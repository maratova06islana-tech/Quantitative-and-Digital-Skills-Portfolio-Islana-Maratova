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7395" activeTab="1"/>
  </bookViews>
  <sheets>
    <sheet name="CorrelationMatrix" sheetId="3" r:id="rId1"/>
    <sheet name="FactorAnalysis" sheetId="4" r:id="rId2"/>
    <sheet name="Dataset" sheetId="1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AV618" i="1" l="1" a="1"/>
  <c r="AV618" i="1" s="1"/>
  <c r="AV626" i="1"/>
  <c r="AV627" i="1"/>
  <c r="AV628" i="1"/>
  <c r="AV629" i="1"/>
  <c r="AV638" i="1"/>
  <c r="AV639" i="1"/>
  <c r="AV640" i="1"/>
  <c r="AV641" i="1"/>
  <c r="AV650" i="1"/>
  <c r="AV651" i="1"/>
  <c r="AV652" i="1"/>
  <c r="AY617" i="1"/>
  <c r="AZ617" i="1" s="1"/>
  <c r="BA617" i="1" s="1"/>
  <c r="BB617" i="1" s="1"/>
  <c r="BC617" i="1" s="1"/>
  <c r="BD617" i="1" s="1"/>
  <c r="BE617" i="1" s="1"/>
  <c r="BF617" i="1" s="1"/>
  <c r="BG617" i="1" s="1"/>
  <c r="AX617" i="1"/>
  <c r="AV558" i="1" a="1"/>
  <c r="AV567" i="1" s="1"/>
  <c r="AV562" i="1"/>
  <c r="AV564" i="1"/>
  <c r="AV565" i="1"/>
  <c r="AV568" i="1"/>
  <c r="AV590" i="1"/>
  <c r="AX557" i="1"/>
  <c r="AY557" i="1" s="1"/>
  <c r="AZ557" i="1" s="1"/>
  <c r="BA557" i="1" s="1"/>
  <c r="BB557" i="1" s="1"/>
  <c r="BC557" i="1" s="1"/>
  <c r="BD557" i="1" s="1"/>
  <c r="BE557" i="1" s="1"/>
  <c r="BF557" i="1" s="1"/>
  <c r="BG557" i="1" s="1"/>
  <c r="AV510" i="1" a="1"/>
  <c r="AV510" i="1" s="1"/>
  <c r="AV515" i="1"/>
  <c r="AV518" i="1"/>
  <c r="AV519" i="1"/>
  <c r="AV543" i="1"/>
  <c r="AV545" i="1"/>
  <c r="AV553" i="1"/>
  <c r="AY509" i="1"/>
  <c r="AZ509" i="1" s="1"/>
  <c r="BA509" i="1" s="1"/>
  <c r="BB509" i="1" s="1"/>
  <c r="BC509" i="1" s="1"/>
  <c r="BD509" i="1" s="1"/>
  <c r="BE509" i="1" s="1"/>
  <c r="BF509" i="1" s="1"/>
  <c r="BG509" i="1" s="1"/>
  <c r="AX509" i="1"/>
  <c r="AV462" i="1" a="1"/>
  <c r="AV467" i="1" s="1"/>
  <c r="AV464" i="1"/>
  <c r="AV466" i="1"/>
  <c r="AV469" i="1"/>
  <c r="AV470" i="1"/>
  <c r="AV471" i="1"/>
  <c r="AV472" i="1"/>
  <c r="AV473" i="1"/>
  <c r="AV482" i="1"/>
  <c r="AV488" i="1"/>
  <c r="AV491" i="1"/>
  <c r="AV496" i="1"/>
  <c r="AV500" i="1"/>
  <c r="AV501" i="1"/>
  <c r="AV502" i="1"/>
  <c r="AW461" i="1" a="1"/>
  <c r="BF461" i="1" s="1"/>
  <c r="BD461" i="1"/>
  <c r="BE461" i="1"/>
  <c r="AV414" i="1" a="1"/>
  <c r="AV419" i="1" s="1"/>
  <c r="AW413" i="1" a="1"/>
  <c r="BJ413" i="1" s="1"/>
  <c r="AW413" i="1"/>
  <c r="AX413" i="1"/>
  <c r="BE413" i="1"/>
  <c r="BF413" i="1"/>
  <c r="BH413" i="1"/>
  <c r="BI413" i="1"/>
  <c r="BK413" i="1"/>
  <c r="BL413" i="1"/>
  <c r="BM413" i="1"/>
  <c r="BU413" i="1"/>
  <c r="BV413" i="1"/>
  <c r="BX413" i="1"/>
  <c r="BY413" i="1"/>
  <c r="CA413" i="1"/>
  <c r="CB413" i="1"/>
  <c r="CC413" i="1"/>
  <c r="CK413" i="1"/>
  <c r="CM413" i="1"/>
  <c r="CN413" i="1"/>
  <c r="AV365" i="1" a="1"/>
  <c r="AV367" i="1" s="1"/>
  <c r="AV375" i="1"/>
  <c r="AV376" i="1"/>
  <c r="AY364" i="1"/>
  <c r="AZ364" i="1" s="1"/>
  <c r="BA364" i="1" s="1"/>
  <c r="BB364" i="1" s="1"/>
  <c r="BC364" i="1" s="1"/>
  <c r="BD364" i="1" s="1"/>
  <c r="BE364" i="1" s="1"/>
  <c r="BF364" i="1" s="1"/>
  <c r="BG364" i="1" s="1"/>
  <c r="AX364" i="1"/>
  <c r="AV316" i="1" a="1"/>
  <c r="AV349" i="1" s="1"/>
  <c r="AX315" i="1"/>
  <c r="AY315" i="1" s="1"/>
  <c r="AZ315" i="1" s="1"/>
  <c r="BA315" i="1" s="1"/>
  <c r="BB315" i="1" s="1"/>
  <c r="BC315" i="1" s="1"/>
  <c r="BD315" i="1" s="1"/>
  <c r="BE315" i="1" s="1"/>
  <c r="BF315" i="1" s="1"/>
  <c r="BG315" i="1" s="1"/>
  <c r="AV219" i="1" a="1"/>
  <c r="AV221" i="1" s="1"/>
  <c r="AV220" i="1"/>
  <c r="AV246" i="1"/>
  <c r="AY218" i="1"/>
  <c r="AZ218" i="1"/>
  <c r="BA218" i="1"/>
  <c r="BB218" i="1" s="1"/>
  <c r="BC218" i="1" s="1"/>
  <c r="BD218" i="1" s="1"/>
  <c r="BE218" i="1" s="1"/>
  <c r="BF218" i="1" s="1"/>
  <c r="BG218" i="1" s="1"/>
  <c r="BH218" i="1" s="1"/>
  <c r="BI218" i="1" s="1"/>
  <c r="BJ218" i="1" s="1"/>
  <c r="BK218" i="1" s="1"/>
  <c r="BL218" i="1" s="1"/>
  <c r="BM218" i="1" s="1"/>
  <c r="BN218" i="1" s="1"/>
  <c r="BO218" i="1" s="1"/>
  <c r="BP218" i="1" s="1"/>
  <c r="BQ218" i="1" s="1"/>
  <c r="BR218" i="1" s="1"/>
  <c r="BS218" i="1" s="1"/>
  <c r="BT218" i="1" s="1"/>
  <c r="BU218" i="1" s="1"/>
  <c r="BV218" i="1" s="1"/>
  <c r="BW218" i="1" s="1"/>
  <c r="BX218" i="1" s="1"/>
  <c r="BY218" i="1" s="1"/>
  <c r="BZ218" i="1" s="1"/>
  <c r="CA218" i="1" s="1"/>
  <c r="CB218" i="1" s="1"/>
  <c r="CC218" i="1" s="1"/>
  <c r="CD218" i="1" s="1"/>
  <c r="CE218" i="1" s="1"/>
  <c r="CF218" i="1" s="1"/>
  <c r="CG218" i="1" s="1"/>
  <c r="CH218" i="1" s="1"/>
  <c r="CI218" i="1" s="1"/>
  <c r="CJ218" i="1" s="1"/>
  <c r="CK218" i="1" s="1"/>
  <c r="CL218" i="1" s="1"/>
  <c r="CM218" i="1" s="1"/>
  <c r="CN218" i="1" s="1"/>
  <c r="AX218" i="1"/>
  <c r="AW165" i="1" a="1"/>
  <c r="BD165" i="1" s="1"/>
  <c r="BP165" i="1"/>
  <c r="CI165" i="1"/>
  <c r="AV117" i="1" a="1"/>
  <c r="AV128" i="1" s="1"/>
  <c r="AV127" i="1"/>
  <c r="AW116" i="1" a="1"/>
  <c r="BH116" i="1" s="1"/>
  <c r="BC116" i="1"/>
  <c r="BG116" i="1"/>
  <c r="AV69" i="1" a="1"/>
  <c r="AV69" i="1" s="1"/>
  <c r="AW68" i="1" a="1"/>
  <c r="BG68" i="1" s="1"/>
  <c r="BE68" i="1"/>
  <c r="AV20" i="1" a="1"/>
  <c r="AV20" i="1" s="1"/>
  <c r="AW19" i="1" a="1"/>
  <c r="AW19" i="1" s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AW15" i="1"/>
  <c r="AW14" i="1"/>
  <c r="AW13" i="1"/>
  <c r="AW12" i="1"/>
  <c r="AW11" i="1" a="1"/>
  <c r="AW11" i="1" s="1"/>
  <c r="AW20" i="1" a="1"/>
  <c r="CF461" i="1" l="1"/>
  <c r="CH19" i="1"/>
  <c r="BH68" i="1"/>
  <c r="AV239" i="1"/>
  <c r="AV338" i="1"/>
  <c r="AV368" i="1"/>
  <c r="CE461" i="1"/>
  <c r="BB461" i="1"/>
  <c r="AV544" i="1"/>
  <c r="AV517" i="1"/>
  <c r="BX19" i="1"/>
  <c r="AV258" i="1"/>
  <c r="AV335" i="1"/>
  <c r="AV398" i="1"/>
  <c r="AV437" i="1"/>
  <c r="CB461" i="1"/>
  <c r="AV350" i="1"/>
  <c r="BV19" i="1"/>
  <c r="AV541" i="1"/>
  <c r="BK19" i="1"/>
  <c r="CB116" i="1"/>
  <c r="BO165" i="1"/>
  <c r="AV253" i="1"/>
  <c r="AV232" i="1"/>
  <c r="AV331" i="1"/>
  <c r="AV393" i="1"/>
  <c r="CI413" i="1"/>
  <c r="BS413" i="1"/>
  <c r="BD413" i="1"/>
  <c r="AV434" i="1"/>
  <c r="BS461" i="1"/>
  <c r="AV531" i="1"/>
  <c r="AV343" i="1"/>
  <c r="AV407" i="1"/>
  <c r="CC461" i="1"/>
  <c r="BU19" i="1"/>
  <c r="AV533" i="1"/>
  <c r="BT19" i="1"/>
  <c r="CN116" i="1"/>
  <c r="AV254" i="1"/>
  <c r="AV233" i="1"/>
  <c r="AV334" i="1"/>
  <c r="AV396" i="1"/>
  <c r="AV436" i="1"/>
  <c r="BT461" i="1"/>
  <c r="AV532" i="1"/>
  <c r="BI19" i="1"/>
  <c r="BT116" i="1"/>
  <c r="BM165" i="1"/>
  <c r="AV250" i="1"/>
  <c r="AV230" i="1"/>
  <c r="AV359" i="1"/>
  <c r="AV327" i="1"/>
  <c r="AV391" i="1"/>
  <c r="CH413" i="1"/>
  <c r="BR413" i="1"/>
  <c r="BC413" i="1"/>
  <c r="AV425" i="1"/>
  <c r="BR461" i="1"/>
  <c r="AV530" i="1"/>
  <c r="CI19" i="1"/>
  <c r="AV234" i="1"/>
  <c r="AV249" i="1"/>
  <c r="AV228" i="1"/>
  <c r="AV358" i="1"/>
  <c r="AV325" i="1"/>
  <c r="AV388" i="1"/>
  <c r="CF413" i="1"/>
  <c r="BQ413" i="1"/>
  <c r="BA413" i="1"/>
  <c r="AV424" i="1"/>
  <c r="BP461" i="1"/>
  <c r="AV240" i="1"/>
  <c r="AV529" i="1"/>
  <c r="AX19" i="1"/>
  <c r="BO116" i="1"/>
  <c r="AV248" i="1"/>
  <c r="AV222" i="1"/>
  <c r="AV355" i="1"/>
  <c r="AV322" i="1"/>
  <c r="AV386" i="1"/>
  <c r="CE413" i="1"/>
  <c r="BP413" i="1"/>
  <c r="AZ413" i="1"/>
  <c r="AV423" i="1"/>
  <c r="BH461" i="1"/>
  <c r="AV485" i="1"/>
  <c r="AV521" i="1"/>
  <c r="AV653" i="1"/>
  <c r="AV625" i="1"/>
  <c r="AV236" i="1"/>
  <c r="AV337" i="1"/>
  <c r="AV449" i="1"/>
  <c r="CD461" i="1"/>
  <c r="AV259" i="1"/>
  <c r="AV235" i="1"/>
  <c r="AV336" i="1"/>
  <c r="AV447" i="1"/>
  <c r="AY19" i="1"/>
  <c r="BP116" i="1"/>
  <c r="AV247" i="1"/>
  <c r="AV351" i="1"/>
  <c r="AV319" i="1"/>
  <c r="AV384" i="1"/>
  <c r="CD413" i="1"/>
  <c r="BO413" i="1"/>
  <c r="AY413" i="1"/>
  <c r="AV422" i="1"/>
  <c r="AV484" i="1"/>
  <c r="AV520" i="1"/>
  <c r="AW165" i="1"/>
  <c r="BA165" i="1"/>
  <c r="BN165" i="1"/>
  <c r="CB165" i="1"/>
  <c r="BG165" i="1"/>
  <c r="BW165" i="1"/>
  <c r="CL165" i="1"/>
  <c r="BH165" i="1"/>
  <c r="BX165" i="1"/>
  <c r="CM165" i="1"/>
  <c r="AX165" i="1"/>
  <c r="BL165" i="1"/>
  <c r="CA165" i="1"/>
  <c r="AY165" i="1"/>
  <c r="BQ165" i="1"/>
  <c r="CK165" i="1"/>
  <c r="AZ165" i="1"/>
  <c r="BR165" i="1"/>
  <c r="CN165" i="1"/>
  <c r="BB165" i="1"/>
  <c r="BS165" i="1"/>
  <c r="BC165" i="1"/>
  <c r="BT165" i="1"/>
  <c r="BE165" i="1"/>
  <c r="BZ165" i="1"/>
  <c r="BF165" i="1"/>
  <c r="CC165" i="1"/>
  <c r="BJ165" i="1"/>
  <c r="CD165" i="1"/>
  <c r="BK165" i="1"/>
  <c r="CE165" i="1"/>
  <c r="BY165" i="1"/>
  <c r="CF165" i="1"/>
  <c r="CJ165" i="1"/>
  <c r="BH19" i="1"/>
  <c r="AZ19" i="1"/>
  <c r="CJ19" i="1"/>
  <c r="BJ19" i="1"/>
  <c r="BL19" i="1"/>
  <c r="AW68" i="1"/>
  <c r="BF68" i="1"/>
  <c r="BW19" i="1"/>
  <c r="AV117" i="1"/>
  <c r="AV140" i="1"/>
  <c r="AV151" i="1"/>
  <c r="AV152" i="1"/>
  <c r="AV139" i="1"/>
  <c r="AW116" i="1"/>
  <c r="CF116" i="1"/>
  <c r="BD116" i="1"/>
  <c r="AV219" i="1"/>
  <c r="AV229" i="1"/>
  <c r="AV242" i="1"/>
  <c r="AV256" i="1"/>
  <c r="AV223" i="1"/>
  <c r="AV237" i="1"/>
  <c r="AV251" i="1"/>
  <c r="AV224" i="1"/>
  <c r="AV238" i="1"/>
  <c r="AV252" i="1"/>
  <c r="AV262" i="1"/>
  <c r="AV245" i="1"/>
  <c r="AV227" i="1"/>
  <c r="AV261" i="1"/>
  <c r="AV244" i="1"/>
  <c r="AV226" i="1"/>
  <c r="AV316" i="1"/>
  <c r="AV326" i="1"/>
  <c r="AV348" i="1"/>
  <c r="AV323" i="1"/>
  <c r="AV346" i="1"/>
  <c r="AV324" i="1"/>
  <c r="AV347" i="1"/>
  <c r="AV260" i="1"/>
  <c r="AV241" i="1"/>
  <c r="AV225" i="1"/>
  <c r="AV339" i="1"/>
  <c r="AV365" i="1"/>
  <c r="AV369" i="1"/>
  <c r="AV383" i="1"/>
  <c r="AV397" i="1"/>
  <c r="AV370" i="1"/>
  <c r="AV385" i="1"/>
  <c r="AV400" i="1"/>
  <c r="AV366" i="1"/>
  <c r="AV382" i="1"/>
  <c r="AV399" i="1"/>
  <c r="AV371" i="1"/>
  <c r="AV387" i="1"/>
  <c r="AV405" i="1"/>
  <c r="AV374" i="1"/>
  <c r="AV392" i="1"/>
  <c r="AV408" i="1"/>
  <c r="AV372" i="1"/>
  <c r="AV394" i="1"/>
  <c r="AV373" i="1"/>
  <c r="AV395" i="1"/>
  <c r="AV379" i="1"/>
  <c r="AV403" i="1"/>
  <c r="AV380" i="1"/>
  <c r="AV404" i="1"/>
  <c r="AV381" i="1"/>
  <c r="AV406" i="1"/>
  <c r="CJ413" i="1"/>
  <c r="BW413" i="1"/>
  <c r="AV421" i="1"/>
  <c r="BB413" i="1"/>
  <c r="BN413" i="1"/>
  <c r="BZ413" i="1"/>
  <c r="CL413" i="1"/>
  <c r="AV414" i="1"/>
  <c r="AV435" i="1"/>
  <c r="CG413" i="1"/>
  <c r="BT413" i="1"/>
  <c r="BG413" i="1"/>
  <c r="AV448" i="1"/>
  <c r="AV490" i="1"/>
  <c r="AV468" i="1"/>
  <c r="AV489" i="1"/>
  <c r="AV462" i="1"/>
  <c r="AV476" i="1"/>
  <c r="AV495" i="1"/>
  <c r="AV477" i="1"/>
  <c r="AV497" i="1"/>
  <c r="AV465" i="1"/>
  <c r="AV483" i="1"/>
  <c r="AV479" i="1"/>
  <c r="AV503" i="1"/>
  <c r="AV478" i="1"/>
  <c r="AV558" i="1"/>
  <c r="AV569" i="1"/>
  <c r="AV578" i="1"/>
  <c r="AV579" i="1"/>
  <c r="AV580" i="1"/>
  <c r="AV581" i="1"/>
  <c r="AV566" i="1"/>
  <c r="AV593" i="1"/>
  <c r="AV591" i="1"/>
  <c r="AV592" i="1"/>
  <c r="AW461" i="1"/>
  <c r="BG461" i="1"/>
  <c r="BQ461" i="1"/>
  <c r="AV542" i="1"/>
  <c r="AV516" i="1"/>
  <c r="AV661" i="1"/>
  <c r="AV649" i="1"/>
  <c r="AV637" i="1"/>
  <c r="AV660" i="1"/>
  <c r="AV648" i="1"/>
  <c r="AV636" i="1"/>
  <c r="AV624" i="1"/>
  <c r="AV659" i="1"/>
  <c r="AV647" i="1"/>
  <c r="AV635" i="1"/>
  <c r="AV623" i="1"/>
  <c r="AV658" i="1"/>
  <c r="AV646" i="1"/>
  <c r="AV634" i="1"/>
  <c r="AV622" i="1"/>
  <c r="AV657" i="1"/>
  <c r="AV645" i="1"/>
  <c r="AV633" i="1"/>
  <c r="AV621" i="1"/>
  <c r="AV656" i="1"/>
  <c r="AV644" i="1"/>
  <c r="AV632" i="1"/>
  <c r="AV620" i="1"/>
  <c r="AV655" i="1"/>
  <c r="AV643" i="1"/>
  <c r="AV631" i="1"/>
  <c r="AV619" i="1"/>
  <c r="AV654" i="1"/>
  <c r="AV642" i="1"/>
  <c r="AV630" i="1"/>
  <c r="AV601" i="1"/>
  <c r="AV589" i="1"/>
  <c r="AV577" i="1"/>
  <c r="AV600" i="1"/>
  <c r="AV588" i="1"/>
  <c r="AV576" i="1"/>
  <c r="AV599" i="1"/>
  <c r="AV587" i="1"/>
  <c r="AV575" i="1"/>
  <c r="AV563" i="1"/>
  <c r="AV598" i="1"/>
  <c r="AV586" i="1"/>
  <c r="AV574" i="1"/>
  <c r="AV597" i="1"/>
  <c r="AV585" i="1"/>
  <c r="AV573" i="1"/>
  <c r="AV561" i="1"/>
  <c r="AV596" i="1"/>
  <c r="AV584" i="1"/>
  <c r="AV572" i="1"/>
  <c r="AV560" i="1"/>
  <c r="AV595" i="1"/>
  <c r="AV583" i="1"/>
  <c r="AV571" i="1"/>
  <c r="AV559" i="1"/>
  <c r="AV594" i="1"/>
  <c r="AV582" i="1"/>
  <c r="AV570" i="1"/>
  <c r="AV552" i="1"/>
  <c r="AV540" i="1"/>
  <c r="AV528" i="1"/>
  <c r="AV551" i="1"/>
  <c r="AV539" i="1"/>
  <c r="AV527" i="1"/>
  <c r="AV550" i="1"/>
  <c r="AV538" i="1"/>
  <c r="AV526" i="1"/>
  <c r="AV514" i="1"/>
  <c r="AV549" i="1"/>
  <c r="AV537" i="1"/>
  <c r="AV525" i="1"/>
  <c r="AV513" i="1"/>
  <c r="AV548" i="1"/>
  <c r="AV536" i="1"/>
  <c r="AV524" i="1"/>
  <c r="AV512" i="1"/>
  <c r="AV547" i="1"/>
  <c r="AV535" i="1"/>
  <c r="AV523" i="1"/>
  <c r="AV511" i="1"/>
  <c r="AV546" i="1"/>
  <c r="AV534" i="1"/>
  <c r="AV522" i="1"/>
  <c r="AV494" i="1"/>
  <c r="AV505" i="1"/>
  <c r="AV493" i="1"/>
  <c r="AV481" i="1"/>
  <c r="AV504" i="1"/>
  <c r="AV492" i="1"/>
  <c r="AV480" i="1"/>
  <c r="AV499" i="1"/>
  <c r="AV487" i="1"/>
  <c r="AV475" i="1"/>
  <c r="AV463" i="1"/>
  <c r="AV498" i="1"/>
  <c r="AV486" i="1"/>
  <c r="AV474" i="1"/>
  <c r="CN461" i="1"/>
  <c r="CM461" i="1"/>
  <c r="CA461" i="1"/>
  <c r="BO461" i="1"/>
  <c r="BC461" i="1"/>
  <c r="CL461" i="1"/>
  <c r="BZ461" i="1"/>
  <c r="BN461" i="1"/>
  <c r="CK461" i="1"/>
  <c r="BY461" i="1"/>
  <c r="BM461" i="1"/>
  <c r="BA461" i="1"/>
  <c r="CJ461" i="1"/>
  <c r="BX461" i="1"/>
  <c r="BL461" i="1"/>
  <c r="AZ461" i="1"/>
  <c r="CI461" i="1"/>
  <c r="BW461" i="1"/>
  <c r="BK461" i="1"/>
  <c r="AY461" i="1"/>
  <c r="CH461" i="1"/>
  <c r="BV461" i="1"/>
  <c r="BJ461" i="1"/>
  <c r="AX461" i="1"/>
  <c r="CG461" i="1"/>
  <c r="BU461" i="1"/>
  <c r="BI461" i="1"/>
  <c r="AV446" i="1"/>
  <c r="AV457" i="1"/>
  <c r="AV445" i="1"/>
  <c r="AV433" i="1"/>
  <c r="AV456" i="1"/>
  <c r="AV444" i="1"/>
  <c r="AV432" i="1"/>
  <c r="AV420" i="1"/>
  <c r="AV455" i="1"/>
  <c r="AV443" i="1"/>
  <c r="AV431" i="1"/>
  <c r="AV454" i="1"/>
  <c r="AV442" i="1"/>
  <c r="AV430" i="1"/>
  <c r="AV418" i="1"/>
  <c r="AV453" i="1"/>
  <c r="AV441" i="1"/>
  <c r="AV429" i="1"/>
  <c r="AV417" i="1"/>
  <c r="AV452" i="1"/>
  <c r="AV440" i="1"/>
  <c r="AV428" i="1"/>
  <c r="AV416" i="1"/>
  <c r="AV451" i="1"/>
  <c r="AV439" i="1"/>
  <c r="AV427" i="1"/>
  <c r="AV415" i="1"/>
  <c r="AV450" i="1"/>
  <c r="AV438" i="1"/>
  <c r="AV426" i="1"/>
  <c r="AV402" i="1"/>
  <c r="AV390" i="1"/>
  <c r="AV378" i="1"/>
  <c r="AV401" i="1"/>
  <c r="AV389" i="1"/>
  <c r="AV377" i="1"/>
  <c r="AV357" i="1"/>
  <c r="AV345" i="1"/>
  <c r="AV333" i="1"/>
  <c r="AV321" i="1"/>
  <c r="AV356" i="1"/>
  <c r="AV344" i="1"/>
  <c r="AV332" i="1"/>
  <c r="AV320" i="1"/>
  <c r="AV354" i="1"/>
  <c r="AV342" i="1"/>
  <c r="AV330" i="1"/>
  <c r="AV318" i="1"/>
  <c r="AV353" i="1"/>
  <c r="AV341" i="1"/>
  <c r="AV329" i="1"/>
  <c r="AV317" i="1"/>
  <c r="AV352" i="1"/>
  <c r="AV340" i="1"/>
  <c r="AV328" i="1"/>
  <c r="AV257" i="1"/>
  <c r="AV255" i="1"/>
  <c r="AV243" i="1"/>
  <c r="AV231" i="1"/>
  <c r="CH165" i="1"/>
  <c r="BV165" i="1"/>
  <c r="CG165" i="1"/>
  <c r="BU165" i="1"/>
  <c r="BI165" i="1"/>
  <c r="AV150" i="1"/>
  <c r="AV138" i="1"/>
  <c r="AV126" i="1"/>
  <c r="AV149" i="1"/>
  <c r="AV137" i="1"/>
  <c r="AV125" i="1"/>
  <c r="AV160" i="1"/>
  <c r="AV148" i="1"/>
  <c r="AV124" i="1"/>
  <c r="AV123" i="1"/>
  <c r="AV158" i="1"/>
  <c r="AV146" i="1"/>
  <c r="AV122" i="1"/>
  <c r="AV157" i="1"/>
  <c r="AV145" i="1"/>
  <c r="AV133" i="1"/>
  <c r="AV121" i="1"/>
  <c r="AV147" i="1"/>
  <c r="AV144" i="1"/>
  <c r="AV155" i="1"/>
  <c r="AV143" i="1"/>
  <c r="AV131" i="1"/>
  <c r="AV119" i="1"/>
  <c r="AV135" i="1"/>
  <c r="AV132" i="1"/>
  <c r="AV154" i="1"/>
  <c r="AV142" i="1"/>
  <c r="AV130" i="1"/>
  <c r="AV118" i="1"/>
  <c r="AV136" i="1"/>
  <c r="AV159" i="1"/>
  <c r="AV134" i="1"/>
  <c r="AV156" i="1"/>
  <c r="AV120" i="1"/>
  <c r="AV153" i="1"/>
  <c r="AV141" i="1"/>
  <c r="AV129" i="1"/>
  <c r="CE116" i="1"/>
  <c r="BS116" i="1"/>
  <c r="CD116" i="1"/>
  <c r="BR116" i="1"/>
  <c r="BF116" i="1"/>
  <c r="CC116" i="1"/>
  <c r="BQ116" i="1"/>
  <c r="BE116" i="1"/>
  <c r="CL116" i="1"/>
  <c r="BZ116" i="1"/>
  <c r="BN116" i="1"/>
  <c r="BB116" i="1"/>
  <c r="CK116" i="1"/>
  <c r="BY116" i="1"/>
  <c r="BM116" i="1"/>
  <c r="BA116" i="1"/>
  <c r="CM116" i="1"/>
  <c r="CA116" i="1"/>
  <c r="CJ116" i="1"/>
  <c r="BX116" i="1"/>
  <c r="BL116" i="1"/>
  <c r="AZ116" i="1"/>
  <c r="CI116" i="1"/>
  <c r="BW116" i="1"/>
  <c r="BK116" i="1"/>
  <c r="AY116" i="1"/>
  <c r="CH116" i="1"/>
  <c r="BV116" i="1"/>
  <c r="BJ116" i="1"/>
  <c r="AX116" i="1"/>
  <c r="CG116" i="1"/>
  <c r="BU116" i="1"/>
  <c r="BI116" i="1"/>
  <c r="AV92" i="1"/>
  <c r="AV103" i="1"/>
  <c r="AV79" i="1"/>
  <c r="AV102" i="1"/>
  <c r="AV90" i="1"/>
  <c r="AV101" i="1"/>
  <c r="AV77" i="1"/>
  <c r="AV100" i="1"/>
  <c r="AV88" i="1"/>
  <c r="AV111" i="1"/>
  <c r="AV87" i="1"/>
  <c r="AV98" i="1"/>
  <c r="AV86" i="1"/>
  <c r="AV97" i="1"/>
  <c r="AV85" i="1"/>
  <c r="AV96" i="1"/>
  <c r="AV72" i="1"/>
  <c r="AV83" i="1"/>
  <c r="AV106" i="1"/>
  <c r="AV94" i="1"/>
  <c r="AV82" i="1"/>
  <c r="AV70" i="1"/>
  <c r="AV104" i="1"/>
  <c r="AV80" i="1"/>
  <c r="AV91" i="1"/>
  <c r="AV78" i="1"/>
  <c r="AV89" i="1"/>
  <c r="AV112" i="1"/>
  <c r="AV76" i="1"/>
  <c r="AV99" i="1"/>
  <c r="AV75" i="1"/>
  <c r="AV110" i="1"/>
  <c r="AV74" i="1"/>
  <c r="AV109" i="1"/>
  <c r="AV73" i="1"/>
  <c r="AV108" i="1"/>
  <c r="AV84" i="1"/>
  <c r="AV107" i="1"/>
  <c r="AV95" i="1"/>
  <c r="AV71" i="1"/>
  <c r="AV105" i="1"/>
  <c r="AV93" i="1"/>
  <c r="AV81" i="1"/>
  <c r="CF68" i="1"/>
  <c r="BT68" i="1"/>
  <c r="CE68" i="1"/>
  <c r="BS68" i="1"/>
  <c r="CD68" i="1"/>
  <c r="BR68" i="1"/>
  <c r="CC68" i="1"/>
  <c r="BQ68" i="1"/>
  <c r="CN68" i="1"/>
  <c r="CB68" i="1"/>
  <c r="BP68" i="1"/>
  <c r="BD68" i="1"/>
  <c r="CM68" i="1"/>
  <c r="CA68" i="1"/>
  <c r="BO68" i="1"/>
  <c r="BC68" i="1"/>
  <c r="CL68" i="1"/>
  <c r="BZ68" i="1"/>
  <c r="BN68" i="1"/>
  <c r="BB68" i="1"/>
  <c r="CK68" i="1"/>
  <c r="BY68" i="1"/>
  <c r="BM68" i="1"/>
  <c r="BA68" i="1"/>
  <c r="CJ68" i="1"/>
  <c r="BX68" i="1"/>
  <c r="BL68" i="1"/>
  <c r="AZ68" i="1"/>
  <c r="CI68" i="1"/>
  <c r="BW68" i="1"/>
  <c r="BK68" i="1"/>
  <c r="AY68" i="1"/>
  <c r="CH68" i="1"/>
  <c r="BV68" i="1"/>
  <c r="BJ68" i="1"/>
  <c r="AX68" i="1"/>
  <c r="CG68" i="1"/>
  <c r="BU68" i="1"/>
  <c r="BI68" i="1"/>
  <c r="BA20" i="1"/>
  <c r="BM20" i="1"/>
  <c r="BY20" i="1"/>
  <c r="CK20" i="1"/>
  <c r="BE21" i="1"/>
  <c r="BQ21" i="1"/>
  <c r="CC21" i="1"/>
  <c r="AW22" i="1"/>
  <c r="BI22" i="1"/>
  <c r="BU22" i="1"/>
  <c r="CG22" i="1"/>
  <c r="BA23" i="1"/>
  <c r="BM23" i="1"/>
  <c r="BY23" i="1"/>
  <c r="CK23" i="1"/>
  <c r="BE24" i="1"/>
  <c r="BQ24" i="1"/>
  <c r="CC24" i="1"/>
  <c r="AW25" i="1"/>
  <c r="BI25" i="1"/>
  <c r="BU25" i="1"/>
  <c r="CG25" i="1"/>
  <c r="BA26" i="1"/>
  <c r="BM26" i="1"/>
  <c r="BY26" i="1"/>
  <c r="CK26" i="1"/>
  <c r="BE27" i="1"/>
  <c r="BQ27" i="1"/>
  <c r="CC27" i="1"/>
  <c r="AW28" i="1"/>
  <c r="BI28" i="1"/>
  <c r="BU28" i="1"/>
  <c r="CG28" i="1"/>
  <c r="BA29" i="1"/>
  <c r="BM29" i="1"/>
  <c r="BY29" i="1"/>
  <c r="CK29" i="1"/>
  <c r="BE30" i="1"/>
  <c r="BQ30" i="1"/>
  <c r="CC30" i="1"/>
  <c r="AW31" i="1"/>
  <c r="BI31" i="1"/>
  <c r="BU31" i="1"/>
  <c r="CG31" i="1"/>
  <c r="BA32" i="1"/>
  <c r="BM32" i="1"/>
  <c r="BY32" i="1"/>
  <c r="CK32" i="1"/>
  <c r="BE33" i="1"/>
  <c r="BQ33" i="1"/>
  <c r="CC33" i="1"/>
  <c r="AW34" i="1"/>
  <c r="BI34" i="1"/>
  <c r="BU34" i="1"/>
  <c r="CG34" i="1"/>
  <c r="BA35" i="1"/>
  <c r="BM35" i="1"/>
  <c r="BY35" i="1"/>
  <c r="CK35" i="1"/>
  <c r="BE36" i="1"/>
  <c r="BQ36" i="1"/>
  <c r="CC36" i="1"/>
  <c r="AW37" i="1"/>
  <c r="BI37" i="1"/>
  <c r="BU37" i="1"/>
  <c r="CG37" i="1"/>
  <c r="BA38" i="1"/>
  <c r="BM38" i="1"/>
  <c r="BY38" i="1"/>
  <c r="CK38" i="1"/>
  <c r="BE39" i="1"/>
  <c r="BQ39" i="1"/>
  <c r="CC39" i="1"/>
  <c r="AW40" i="1"/>
  <c r="BI40" i="1"/>
  <c r="BU40" i="1"/>
  <c r="CG40" i="1"/>
  <c r="BA41" i="1"/>
  <c r="BM41" i="1"/>
  <c r="BY41" i="1"/>
  <c r="CK41" i="1"/>
  <c r="BE42" i="1"/>
  <c r="BQ42" i="1"/>
  <c r="CC42" i="1"/>
  <c r="AW43" i="1"/>
  <c r="BI20" i="1"/>
  <c r="BV20" i="1"/>
  <c r="CI20" i="1"/>
  <c r="BD21" i="1"/>
  <c r="BR21" i="1"/>
  <c r="CE21" i="1"/>
  <c r="AZ22" i="1"/>
  <c r="BM22" i="1"/>
  <c r="BZ22" i="1"/>
  <c r="CM22" i="1"/>
  <c r="BH23" i="1"/>
  <c r="BU23" i="1"/>
  <c r="CH23" i="1"/>
  <c r="BC24" i="1"/>
  <c r="BP24" i="1"/>
  <c r="CD24" i="1"/>
  <c r="AY25" i="1"/>
  <c r="BL25" i="1"/>
  <c r="BY25" i="1"/>
  <c r="CL25" i="1"/>
  <c r="AW20" i="1"/>
  <c r="BJ20" i="1"/>
  <c r="BW20" i="1"/>
  <c r="CJ20" i="1"/>
  <c r="BF21" i="1"/>
  <c r="BS21" i="1"/>
  <c r="CF21" i="1"/>
  <c r="BA22" i="1"/>
  <c r="BN22" i="1"/>
  <c r="CA22" i="1"/>
  <c r="CN22" i="1"/>
  <c r="BI23" i="1"/>
  <c r="BV23" i="1"/>
  <c r="CI23" i="1"/>
  <c r="BD24" i="1"/>
  <c r="BR24" i="1"/>
  <c r="CE24" i="1"/>
  <c r="AZ25" i="1"/>
  <c r="BM25" i="1"/>
  <c r="BZ25" i="1"/>
  <c r="CM25" i="1"/>
  <c r="BH26" i="1"/>
  <c r="BU26" i="1"/>
  <c r="CH26" i="1"/>
  <c r="BC27" i="1"/>
  <c r="BP27" i="1"/>
  <c r="CD27" i="1"/>
  <c r="AY28" i="1"/>
  <c r="BL28" i="1"/>
  <c r="BY28" i="1"/>
  <c r="CL28" i="1"/>
  <c r="BG29" i="1"/>
  <c r="BT29" i="1"/>
  <c r="CG29" i="1"/>
  <c r="BB30" i="1"/>
  <c r="BO30" i="1"/>
  <c r="CB30" i="1"/>
  <c r="AX31" i="1"/>
  <c r="BK31" i="1"/>
  <c r="BX31" i="1"/>
  <c r="CK31" i="1"/>
  <c r="BF32" i="1"/>
  <c r="BS32" i="1"/>
  <c r="CF32" i="1"/>
  <c r="BA33" i="1"/>
  <c r="BN33" i="1"/>
  <c r="CA33" i="1"/>
  <c r="CN33" i="1"/>
  <c r="BJ34" i="1"/>
  <c r="BW34" i="1"/>
  <c r="CJ34" i="1"/>
  <c r="BE35" i="1"/>
  <c r="BR35" i="1"/>
  <c r="CE35" i="1"/>
  <c r="AZ36" i="1"/>
  <c r="BM36" i="1"/>
  <c r="BZ36" i="1"/>
  <c r="CM36" i="1"/>
  <c r="BH37" i="1"/>
  <c r="BV37" i="1"/>
  <c r="CI37" i="1"/>
  <c r="BD38" i="1"/>
  <c r="BQ38" i="1"/>
  <c r="CD38" i="1"/>
  <c r="AY39" i="1"/>
  <c r="BL39" i="1"/>
  <c r="BY39" i="1"/>
  <c r="CL39" i="1"/>
  <c r="BG40" i="1"/>
  <c r="BT40" i="1"/>
  <c r="CH40" i="1"/>
  <c r="BC41" i="1"/>
  <c r="BP41" i="1"/>
  <c r="CC41" i="1"/>
  <c r="AX42" i="1"/>
  <c r="BK42" i="1"/>
  <c r="BX42" i="1"/>
  <c r="CK42" i="1"/>
  <c r="BF43" i="1"/>
  <c r="BR43" i="1"/>
  <c r="CD43" i="1"/>
  <c r="AX44" i="1"/>
  <c r="BJ44" i="1"/>
  <c r="BV44" i="1"/>
  <c r="CH44" i="1"/>
  <c r="AX20" i="1"/>
  <c r="BK20" i="1"/>
  <c r="BX20" i="1"/>
  <c r="CL20" i="1"/>
  <c r="BG21" i="1"/>
  <c r="BT21" i="1"/>
  <c r="CG21" i="1"/>
  <c r="BB22" i="1"/>
  <c r="BO22" i="1"/>
  <c r="CB22" i="1"/>
  <c r="AW23" i="1"/>
  <c r="BJ23" i="1"/>
  <c r="BW23" i="1"/>
  <c r="CJ23" i="1"/>
  <c r="BF24" i="1"/>
  <c r="BS24" i="1"/>
  <c r="CF24" i="1"/>
  <c r="BA25" i="1"/>
  <c r="BN25" i="1"/>
  <c r="CA25" i="1"/>
  <c r="CN25" i="1"/>
  <c r="BI26" i="1"/>
  <c r="BV26" i="1"/>
  <c r="CI26" i="1"/>
  <c r="BD27" i="1"/>
  <c r="BR27" i="1"/>
  <c r="CE27" i="1"/>
  <c r="AZ28" i="1"/>
  <c r="BM28" i="1"/>
  <c r="BZ28" i="1"/>
  <c r="CM28" i="1"/>
  <c r="BH29" i="1"/>
  <c r="BU29" i="1"/>
  <c r="CH29" i="1"/>
  <c r="BC30" i="1"/>
  <c r="BP30" i="1"/>
  <c r="CD30" i="1"/>
  <c r="AY31" i="1"/>
  <c r="BL31" i="1"/>
  <c r="BY31" i="1"/>
  <c r="CL31" i="1"/>
  <c r="BG32" i="1"/>
  <c r="BT32" i="1"/>
  <c r="CG32" i="1"/>
  <c r="BB33" i="1"/>
  <c r="BO33" i="1"/>
  <c r="CB33" i="1"/>
  <c r="AX34" i="1"/>
  <c r="BK34" i="1"/>
  <c r="BX34" i="1"/>
  <c r="CK34" i="1"/>
  <c r="BF35" i="1"/>
  <c r="BS35" i="1"/>
  <c r="CF35" i="1"/>
  <c r="BA36" i="1"/>
  <c r="BN36" i="1"/>
  <c r="CA36" i="1"/>
  <c r="CN36" i="1"/>
  <c r="BJ37" i="1"/>
  <c r="BW37" i="1"/>
  <c r="CJ37" i="1"/>
  <c r="BE38" i="1"/>
  <c r="BR38" i="1"/>
  <c r="CE38" i="1"/>
  <c r="AZ39" i="1"/>
  <c r="BM39" i="1"/>
  <c r="BZ39" i="1"/>
  <c r="AY20" i="1"/>
  <c r="BP20" i="1"/>
  <c r="CF20" i="1"/>
  <c r="BH21" i="1"/>
  <c r="BX21" i="1"/>
  <c r="CN21" i="1"/>
  <c r="BP22" i="1"/>
  <c r="CF22" i="1"/>
  <c r="BE23" i="1"/>
  <c r="BX23" i="1"/>
  <c r="AW24" i="1"/>
  <c r="BM24" i="1"/>
  <c r="CG24" i="1"/>
  <c r="BE25" i="1"/>
  <c r="BV25" i="1"/>
  <c r="AW26" i="1"/>
  <c r="BL26" i="1"/>
  <c r="CB26" i="1"/>
  <c r="AY27" i="1"/>
  <c r="BN27" i="1"/>
  <c r="CF27" i="1"/>
  <c r="BC28" i="1"/>
  <c r="BR28" i="1"/>
  <c r="CH28" i="1"/>
  <c r="BE29" i="1"/>
  <c r="BV29" i="1"/>
  <c r="CL29" i="1"/>
  <c r="BI30" i="1"/>
  <c r="BX30" i="1"/>
  <c r="CM30" i="1"/>
  <c r="BM31" i="1"/>
  <c r="CB31" i="1"/>
  <c r="AY32" i="1"/>
  <c r="BO32" i="1"/>
  <c r="CD32" i="1"/>
  <c r="BC33" i="1"/>
  <c r="BS33" i="1"/>
  <c r="CH33" i="1"/>
  <c r="BE34" i="1"/>
  <c r="BT34" i="1"/>
  <c r="CL34" i="1"/>
  <c r="BI35" i="1"/>
  <c r="BX35" i="1"/>
  <c r="CN35" i="1"/>
  <c r="BK36" i="1"/>
  <c r="CB36" i="1"/>
  <c r="AZ37" i="1"/>
  <c r="BO37" i="1"/>
  <c r="CD37" i="1"/>
  <c r="BB38" i="1"/>
  <c r="BS38" i="1"/>
  <c r="CH38" i="1"/>
  <c r="BF39" i="1"/>
  <c r="BU39" i="1"/>
  <c r="CJ39" i="1"/>
  <c r="BF40" i="1"/>
  <c r="BV40" i="1"/>
  <c r="CJ40" i="1"/>
  <c r="BF41" i="1"/>
  <c r="BT41" i="1"/>
  <c r="CH41" i="1"/>
  <c r="BD42" i="1"/>
  <c r="BS42" i="1"/>
  <c r="CG42" i="1"/>
  <c r="BC43" i="1"/>
  <c r="BP43" i="1"/>
  <c r="CC43" i="1"/>
  <c r="AY44" i="1"/>
  <c r="BL44" i="1"/>
  <c r="BY44" i="1"/>
  <c r="CL44" i="1"/>
  <c r="BF45" i="1"/>
  <c r="BR45" i="1"/>
  <c r="CD45" i="1"/>
  <c r="AX46" i="1"/>
  <c r="BJ46" i="1"/>
  <c r="BV46" i="1"/>
  <c r="CH46" i="1"/>
  <c r="BB47" i="1"/>
  <c r="BN47" i="1"/>
  <c r="BZ47" i="1"/>
  <c r="CL47" i="1"/>
  <c r="BF48" i="1"/>
  <c r="BR48" i="1"/>
  <c r="CD48" i="1"/>
  <c r="AZ20" i="1"/>
  <c r="BQ20" i="1"/>
  <c r="CG20" i="1"/>
  <c r="BI21" i="1"/>
  <c r="BY21" i="1"/>
  <c r="AX22" i="1"/>
  <c r="BQ22" i="1"/>
  <c r="CH22" i="1"/>
  <c r="BF23" i="1"/>
  <c r="BZ23" i="1"/>
  <c r="AX24" i="1"/>
  <c r="BN24" i="1"/>
  <c r="CH24" i="1"/>
  <c r="BF25" i="1"/>
  <c r="BW25" i="1"/>
  <c r="AX26" i="1"/>
  <c r="BN26" i="1"/>
  <c r="CC26" i="1"/>
  <c r="AZ27" i="1"/>
  <c r="BO27" i="1"/>
  <c r="CG27" i="1"/>
  <c r="BD28" i="1"/>
  <c r="BS28" i="1"/>
  <c r="CI28" i="1"/>
  <c r="BF29" i="1"/>
  <c r="BW29" i="1"/>
  <c r="CM29" i="1"/>
  <c r="BJ30" i="1"/>
  <c r="BY30" i="1"/>
  <c r="CN30" i="1"/>
  <c r="BN31" i="1"/>
  <c r="CC31" i="1"/>
  <c r="AZ32" i="1"/>
  <c r="BP32" i="1"/>
  <c r="CE32" i="1"/>
  <c r="BD33" i="1"/>
  <c r="BT33" i="1"/>
  <c r="CI33" i="1"/>
  <c r="BF34" i="1"/>
  <c r="BV34" i="1"/>
  <c r="CM34" i="1"/>
  <c r="BJ35" i="1"/>
  <c r="BZ35" i="1"/>
  <c r="AW36" i="1"/>
  <c r="BL36" i="1"/>
  <c r="CD36" i="1"/>
  <c r="BA37" i="1"/>
  <c r="BP37" i="1"/>
  <c r="CE37" i="1"/>
  <c r="BC38" i="1"/>
  <c r="BT38" i="1"/>
  <c r="CI38" i="1"/>
  <c r="BG39" i="1"/>
  <c r="BV39" i="1"/>
  <c r="CK39" i="1"/>
  <c r="BH40" i="1"/>
  <c r="BW40" i="1"/>
  <c r="CK40" i="1"/>
  <c r="BG41" i="1"/>
  <c r="BU41" i="1"/>
  <c r="CI41" i="1"/>
  <c r="BF42" i="1"/>
  <c r="BT42" i="1"/>
  <c r="CH42" i="1"/>
  <c r="BD43" i="1"/>
  <c r="BQ43" i="1"/>
  <c r="CE43" i="1"/>
  <c r="AZ44" i="1"/>
  <c r="BM44" i="1"/>
  <c r="BZ44" i="1"/>
  <c r="CM44" i="1"/>
  <c r="BG45" i="1"/>
  <c r="BS45" i="1"/>
  <c r="CE45" i="1"/>
  <c r="AY46" i="1"/>
  <c r="BK46" i="1"/>
  <c r="BW46" i="1"/>
  <c r="CI46" i="1"/>
  <c r="BC47" i="1"/>
  <c r="BO47" i="1"/>
  <c r="CA47" i="1"/>
  <c r="CM47" i="1"/>
  <c r="BG48" i="1"/>
  <c r="BS48" i="1"/>
  <c r="CE48" i="1"/>
  <c r="AY49" i="1"/>
  <c r="BB20" i="1"/>
  <c r="BR20" i="1"/>
  <c r="CH20" i="1"/>
  <c r="BJ21" i="1"/>
  <c r="BZ21" i="1"/>
  <c r="AY22" i="1"/>
  <c r="BR22" i="1"/>
  <c r="CI22" i="1"/>
  <c r="BG23" i="1"/>
  <c r="CA23" i="1"/>
  <c r="AY24" i="1"/>
  <c r="BO24" i="1"/>
  <c r="CI24" i="1"/>
  <c r="BG25" i="1"/>
  <c r="BX25" i="1"/>
  <c r="AY26" i="1"/>
  <c r="BO26" i="1"/>
  <c r="CD26" i="1"/>
  <c r="BA27" i="1"/>
  <c r="BS27" i="1"/>
  <c r="CH27" i="1"/>
  <c r="BE28" i="1"/>
  <c r="BT28" i="1"/>
  <c r="CJ28" i="1"/>
  <c r="BI29" i="1"/>
  <c r="BX29" i="1"/>
  <c r="CN29" i="1"/>
  <c r="BK30" i="1"/>
  <c r="BZ30" i="1"/>
  <c r="AZ31" i="1"/>
  <c r="BO31" i="1"/>
  <c r="CD31" i="1"/>
  <c r="BB32" i="1"/>
  <c r="BQ32" i="1"/>
  <c r="CH32" i="1"/>
  <c r="BF33" i="1"/>
  <c r="BU33" i="1"/>
  <c r="CJ33" i="1"/>
  <c r="BG34" i="1"/>
  <c r="BY34" i="1"/>
  <c r="CN34" i="1"/>
  <c r="BK35" i="1"/>
  <c r="CA35" i="1"/>
  <c r="AX36" i="1"/>
  <c r="BO36" i="1"/>
  <c r="CE36" i="1"/>
  <c r="BB37" i="1"/>
  <c r="BQ37" i="1"/>
  <c r="CF37" i="1"/>
  <c r="BF38" i="1"/>
  <c r="BU38" i="1"/>
  <c r="CJ38" i="1"/>
  <c r="BH39" i="1"/>
  <c r="BW39" i="1"/>
  <c r="CM39" i="1"/>
  <c r="BJ40" i="1"/>
  <c r="BX40" i="1"/>
  <c r="CL40" i="1"/>
  <c r="BH41" i="1"/>
  <c r="BV41" i="1"/>
  <c r="BC20" i="1"/>
  <c r="BZ20" i="1"/>
  <c r="BA21" i="1"/>
  <c r="CA21" i="1"/>
  <c r="BF22" i="1"/>
  <c r="CC22" i="1"/>
  <c r="BK23" i="1"/>
  <c r="CE23" i="1"/>
  <c r="BJ24" i="1"/>
  <c r="CJ24" i="1"/>
  <c r="BO25" i="1"/>
  <c r="CI25" i="1"/>
  <c r="BP26" i="1"/>
  <c r="CJ26" i="1"/>
  <c r="BK27" i="1"/>
  <c r="CI27" i="1"/>
  <c r="BJ28" i="1"/>
  <c r="CD28" i="1"/>
  <c r="BJ29" i="1"/>
  <c r="CC29" i="1"/>
  <c r="BF30" i="1"/>
  <c r="CA30" i="1"/>
  <c r="BD31" i="1"/>
  <c r="BW31" i="1"/>
  <c r="BC32" i="1"/>
  <c r="BW32" i="1"/>
  <c r="AX33" i="1"/>
  <c r="BV33" i="1"/>
  <c r="AY34" i="1"/>
  <c r="BQ34" i="1"/>
  <c r="AW35" i="1"/>
  <c r="BP35" i="1"/>
  <c r="CJ35" i="1"/>
  <c r="BP36" i="1"/>
  <c r="CI36" i="1"/>
  <c r="BL37" i="1"/>
  <c r="CH37" i="1"/>
  <c r="BJ38" i="1"/>
  <c r="CC38" i="1"/>
  <c r="BI39" i="1"/>
  <c r="CD39" i="1"/>
  <c r="BC40" i="1"/>
  <c r="BY40" i="1"/>
  <c r="AX41" i="1"/>
  <c r="BQ41" i="1"/>
  <c r="CJ41" i="1"/>
  <c r="BI42" i="1"/>
  <c r="BZ42" i="1"/>
  <c r="AY43" i="1"/>
  <c r="BN43" i="1"/>
  <c r="CF43" i="1"/>
  <c r="BC44" i="1"/>
  <c r="BR44" i="1"/>
  <c r="CG44" i="1"/>
  <c r="BD45" i="1"/>
  <c r="BT45" i="1"/>
  <c r="CH45" i="1"/>
  <c r="BD46" i="1"/>
  <c r="BR46" i="1"/>
  <c r="CF46" i="1"/>
  <c r="BD47" i="1"/>
  <c r="BR47" i="1"/>
  <c r="CF47" i="1"/>
  <c r="BB48" i="1"/>
  <c r="BP48" i="1"/>
  <c r="CF48" i="1"/>
  <c r="BA49" i="1"/>
  <c r="BM49" i="1"/>
  <c r="BY49" i="1"/>
  <c r="CK49" i="1"/>
  <c r="BE50" i="1"/>
  <c r="BQ50" i="1"/>
  <c r="CC50" i="1"/>
  <c r="AW51" i="1"/>
  <c r="BI51" i="1"/>
  <c r="BU51" i="1"/>
  <c r="CG51" i="1"/>
  <c r="BA52" i="1"/>
  <c r="BM52" i="1"/>
  <c r="BY52" i="1"/>
  <c r="CK52" i="1"/>
  <c r="BE53" i="1"/>
  <c r="BQ53" i="1"/>
  <c r="CC53" i="1"/>
  <c r="AW54" i="1"/>
  <c r="BI54" i="1"/>
  <c r="BU54" i="1"/>
  <c r="CG54" i="1"/>
  <c r="BA55" i="1"/>
  <c r="BM55" i="1"/>
  <c r="BY55" i="1"/>
  <c r="CK55" i="1"/>
  <c r="BE56" i="1"/>
  <c r="BQ56" i="1"/>
  <c r="CC56" i="1"/>
  <c r="BD20" i="1"/>
  <c r="CA20" i="1"/>
  <c r="BB21" i="1"/>
  <c r="CB21" i="1"/>
  <c r="BG22" i="1"/>
  <c r="CD22" i="1"/>
  <c r="BL23" i="1"/>
  <c r="CF23" i="1"/>
  <c r="BK24" i="1"/>
  <c r="CK24" i="1"/>
  <c r="BP25" i="1"/>
  <c r="CJ25" i="1"/>
  <c r="BQ26" i="1"/>
  <c r="CL26" i="1"/>
  <c r="BL27" i="1"/>
  <c r="CJ27" i="1"/>
  <c r="BK28" i="1"/>
  <c r="CE28" i="1"/>
  <c r="BK29" i="1"/>
  <c r="CD29" i="1"/>
  <c r="BG30" i="1"/>
  <c r="CE30" i="1"/>
  <c r="BE31" i="1"/>
  <c r="BZ31" i="1"/>
  <c r="BD32" i="1"/>
  <c r="BX32" i="1"/>
  <c r="AY33" i="1"/>
  <c r="BW33" i="1"/>
  <c r="AZ34" i="1"/>
  <c r="BR34" i="1"/>
  <c r="AX35" i="1"/>
  <c r="BQ35" i="1"/>
  <c r="CL35" i="1"/>
  <c r="BR36" i="1"/>
  <c r="CJ36" i="1"/>
  <c r="BM37" i="1"/>
  <c r="CK37" i="1"/>
  <c r="BK38" i="1"/>
  <c r="CF38" i="1"/>
  <c r="BJ39" i="1"/>
  <c r="CE39" i="1"/>
  <c r="BD40" i="1"/>
  <c r="BZ40" i="1"/>
  <c r="AY41" i="1"/>
  <c r="BR41" i="1"/>
  <c r="CL41" i="1"/>
  <c r="BJ42" i="1"/>
  <c r="CA42" i="1"/>
  <c r="AZ43" i="1"/>
  <c r="BO43" i="1"/>
  <c r="CG43" i="1"/>
  <c r="BD44" i="1"/>
  <c r="BS44" i="1"/>
  <c r="CI44" i="1"/>
  <c r="BE45" i="1"/>
  <c r="BU45" i="1"/>
  <c r="CI45" i="1"/>
  <c r="BE46" i="1"/>
  <c r="BS46" i="1"/>
  <c r="CG46" i="1"/>
  <c r="BE47" i="1"/>
  <c r="BS47" i="1"/>
  <c r="CG47" i="1"/>
  <c r="BC48" i="1"/>
  <c r="BQ48" i="1"/>
  <c r="CG48" i="1"/>
  <c r="BB49" i="1"/>
  <c r="BN49" i="1"/>
  <c r="BZ49" i="1"/>
  <c r="CL49" i="1"/>
  <c r="BF50" i="1"/>
  <c r="BR50" i="1"/>
  <c r="CD50" i="1"/>
  <c r="AX51" i="1"/>
  <c r="BJ51" i="1"/>
  <c r="BV51" i="1"/>
  <c r="CH51" i="1"/>
  <c r="BB52" i="1"/>
  <c r="BN52" i="1"/>
  <c r="BZ52" i="1"/>
  <c r="CL52" i="1"/>
  <c r="BF53" i="1"/>
  <c r="BR53" i="1"/>
  <c r="CD53" i="1"/>
  <c r="AX54" i="1"/>
  <c r="BJ54" i="1"/>
  <c r="BV54" i="1"/>
  <c r="CH54" i="1"/>
  <c r="BB55" i="1"/>
  <c r="BN55" i="1"/>
  <c r="BZ55" i="1"/>
  <c r="CL55" i="1"/>
  <c r="BF56" i="1"/>
  <c r="BR56" i="1"/>
  <c r="CD56" i="1"/>
  <c r="AX57" i="1"/>
  <c r="BE20" i="1"/>
  <c r="CB20" i="1"/>
  <c r="BC21" i="1"/>
  <c r="CD21" i="1"/>
  <c r="BH22" i="1"/>
  <c r="CE22" i="1"/>
  <c r="BN23" i="1"/>
  <c r="CG23" i="1"/>
  <c r="BL24" i="1"/>
  <c r="CL24" i="1"/>
  <c r="BQ25" i="1"/>
  <c r="CK25" i="1"/>
  <c r="BR26" i="1"/>
  <c r="CM26" i="1"/>
  <c r="BM27" i="1"/>
  <c r="CK27" i="1"/>
  <c r="BN28" i="1"/>
  <c r="CF28" i="1"/>
  <c r="BL29" i="1"/>
  <c r="CE29" i="1"/>
  <c r="BH30" i="1"/>
  <c r="CF30" i="1"/>
  <c r="BF31" i="1"/>
  <c r="CA31" i="1"/>
  <c r="BE32" i="1"/>
  <c r="BZ32" i="1"/>
  <c r="AZ33" i="1"/>
  <c r="BX33" i="1"/>
  <c r="BA34" i="1"/>
  <c r="BS34" i="1"/>
  <c r="AY35" i="1"/>
  <c r="BT35" i="1"/>
  <c r="CM35" i="1"/>
  <c r="BS36" i="1"/>
  <c r="CK36" i="1"/>
  <c r="BN37" i="1"/>
  <c r="CL37" i="1"/>
  <c r="BL38" i="1"/>
  <c r="CG38" i="1"/>
  <c r="BK39" i="1"/>
  <c r="CF39" i="1"/>
  <c r="BE40" i="1"/>
  <c r="CA40" i="1"/>
  <c r="AZ41" i="1"/>
  <c r="BS41" i="1"/>
  <c r="CM41" i="1"/>
  <c r="BL42" i="1"/>
  <c r="CB42" i="1"/>
  <c r="BA43" i="1"/>
  <c r="BS43" i="1"/>
  <c r="CH43" i="1"/>
  <c r="BE44" i="1"/>
  <c r="BT44" i="1"/>
  <c r="CJ44" i="1"/>
  <c r="BH45" i="1"/>
  <c r="BV45" i="1"/>
  <c r="CJ45" i="1"/>
  <c r="BF46" i="1"/>
  <c r="BT46" i="1"/>
  <c r="CJ46" i="1"/>
  <c r="BF47" i="1"/>
  <c r="BT47" i="1"/>
  <c r="CH47" i="1"/>
  <c r="BD48" i="1"/>
  <c r="BT48" i="1"/>
  <c r="CH48" i="1"/>
  <c r="BC49" i="1"/>
  <c r="BO49" i="1"/>
  <c r="CA49" i="1"/>
  <c r="CM49" i="1"/>
  <c r="BG50" i="1"/>
  <c r="BS50" i="1"/>
  <c r="CE50" i="1"/>
  <c r="AY51" i="1"/>
  <c r="BK51" i="1"/>
  <c r="BW51" i="1"/>
  <c r="CI51" i="1"/>
  <c r="BC52" i="1"/>
  <c r="BO52" i="1"/>
  <c r="CA52" i="1"/>
  <c r="CM52" i="1"/>
  <c r="BG53" i="1"/>
  <c r="BS53" i="1"/>
  <c r="CE53" i="1"/>
  <c r="AY54" i="1"/>
  <c r="BF20" i="1"/>
  <c r="CC20" i="1"/>
  <c r="BK21" i="1"/>
  <c r="CH21" i="1"/>
  <c r="BJ22" i="1"/>
  <c r="BG20" i="1"/>
  <c r="AW21" i="1"/>
  <c r="CI21" i="1"/>
  <c r="BV22" i="1"/>
  <c r="BD23" i="1"/>
  <c r="CN23" i="1"/>
  <c r="BY24" i="1"/>
  <c r="BK25" i="1"/>
  <c r="BC26" i="1"/>
  <c r="CA26" i="1"/>
  <c r="BJ27" i="1"/>
  <c r="CN27" i="1"/>
  <c r="BX28" i="1"/>
  <c r="BD29" i="1"/>
  <c r="CJ29" i="1"/>
  <c r="BT30" i="1"/>
  <c r="BC31" i="1"/>
  <c r="CH31" i="1"/>
  <c r="BN32" i="1"/>
  <c r="AW33" i="1"/>
  <c r="CD33" i="1"/>
  <c r="BM34" i="1"/>
  <c r="CI34" i="1"/>
  <c r="BW35" i="1"/>
  <c r="BG36" i="1"/>
  <c r="CH36" i="1"/>
  <c r="BT37" i="1"/>
  <c r="AZ38" i="1"/>
  <c r="CB38" i="1"/>
  <c r="BP39" i="1"/>
  <c r="AY40" i="1"/>
  <c r="BS40" i="1"/>
  <c r="BE41" i="1"/>
  <c r="CD41" i="1"/>
  <c r="BH42" i="1"/>
  <c r="CF42" i="1"/>
  <c r="BJ43" i="1"/>
  <c r="CB43" i="1"/>
  <c r="BH44" i="1"/>
  <c r="CC44" i="1"/>
  <c r="BC45" i="1"/>
  <c r="BY45" i="1"/>
  <c r="AZ46" i="1"/>
  <c r="BQ46" i="1"/>
  <c r="CM46" i="1"/>
  <c r="BL47" i="1"/>
  <c r="CE47" i="1"/>
  <c r="BI48" i="1"/>
  <c r="BZ48" i="1"/>
  <c r="AZ49" i="1"/>
  <c r="BR49" i="1"/>
  <c r="CG49" i="1"/>
  <c r="BD50" i="1"/>
  <c r="BV50" i="1"/>
  <c r="CK50" i="1"/>
  <c r="BH51" i="1"/>
  <c r="BZ51" i="1"/>
  <c r="AW52" i="1"/>
  <c r="BL52" i="1"/>
  <c r="CD52" i="1"/>
  <c r="BA53" i="1"/>
  <c r="BP53" i="1"/>
  <c r="CH53" i="1"/>
  <c r="BE54" i="1"/>
  <c r="BS54" i="1"/>
  <c r="CI54" i="1"/>
  <c r="BE55" i="1"/>
  <c r="BS55" i="1"/>
  <c r="CG55" i="1"/>
  <c r="BC56" i="1"/>
  <c r="BS56" i="1"/>
  <c r="CG56" i="1"/>
  <c r="BB57" i="1"/>
  <c r="BN57" i="1"/>
  <c r="BZ57" i="1"/>
  <c r="CL57" i="1"/>
  <c r="BF58" i="1"/>
  <c r="BR58" i="1"/>
  <c r="CD58" i="1"/>
  <c r="AX59" i="1"/>
  <c r="BJ59" i="1"/>
  <c r="BV59" i="1"/>
  <c r="CH59" i="1"/>
  <c r="BB60" i="1"/>
  <c r="BN60" i="1"/>
  <c r="BZ60" i="1"/>
  <c r="CL60" i="1"/>
  <c r="BF61" i="1"/>
  <c r="BR61" i="1"/>
  <c r="CD61" i="1"/>
  <c r="AX62" i="1"/>
  <c r="BJ62" i="1"/>
  <c r="BV62" i="1"/>
  <c r="CH62" i="1"/>
  <c r="BB63" i="1"/>
  <c r="BN63" i="1"/>
  <c r="BZ63" i="1"/>
  <c r="CL63" i="1"/>
  <c r="CL42" i="1"/>
  <c r="BJ50" i="1"/>
  <c r="BN51" i="1"/>
  <c r="BR52" i="1"/>
  <c r="BV53" i="1"/>
  <c r="BH54" i="1"/>
  <c r="BH55" i="1"/>
  <c r="BH56" i="1"/>
  <c r="AW58" i="1"/>
  <c r="BA59" i="1"/>
  <c r="CK59" i="1"/>
  <c r="CC60" i="1"/>
  <c r="BU61" i="1"/>
  <c r="BM62" i="1"/>
  <c r="BQ63" i="1"/>
  <c r="BI55" i="1"/>
  <c r="BF57" i="1"/>
  <c r="BJ58" i="1"/>
  <c r="BN59" i="1"/>
  <c r="BR60" i="1"/>
  <c r="BV61" i="1"/>
  <c r="BZ62" i="1"/>
  <c r="CL22" i="1"/>
  <c r="CF51" i="1"/>
  <c r="BH20" i="1"/>
  <c r="AX21" i="1"/>
  <c r="CJ21" i="1"/>
  <c r="BW22" i="1"/>
  <c r="BO23" i="1"/>
  <c r="AZ24" i="1"/>
  <c r="BZ24" i="1"/>
  <c r="BR25" i="1"/>
  <c r="BD26" i="1"/>
  <c r="CE26" i="1"/>
  <c r="BT27" i="1"/>
  <c r="AX28" i="1"/>
  <c r="CA28" i="1"/>
  <c r="BN29" i="1"/>
  <c r="AW30" i="1"/>
  <c r="BU30" i="1"/>
  <c r="BG31" i="1"/>
  <c r="CI31" i="1"/>
  <c r="BR32" i="1"/>
  <c r="BG33" i="1"/>
  <c r="CE33" i="1"/>
  <c r="BN34" i="1"/>
  <c r="AZ35" i="1"/>
  <c r="CB35" i="1"/>
  <c r="BH36" i="1"/>
  <c r="CL36" i="1"/>
  <c r="BX37" i="1"/>
  <c r="BG38" i="1"/>
  <c r="CL38" i="1"/>
  <c r="BR39" i="1"/>
  <c r="AZ40" i="1"/>
  <c r="CB40" i="1"/>
  <c r="BI41" i="1"/>
  <c r="CE41" i="1"/>
  <c r="BM42" i="1"/>
  <c r="CI42" i="1"/>
  <c r="BK43" i="1"/>
  <c r="CI43" i="1"/>
  <c r="BI44" i="1"/>
  <c r="CD44" i="1"/>
  <c r="BI45" i="1"/>
  <c r="BZ45" i="1"/>
  <c r="BA46" i="1"/>
  <c r="BU46" i="1"/>
  <c r="CN46" i="1"/>
  <c r="BM47" i="1"/>
  <c r="CI47" i="1"/>
  <c r="BJ48" i="1"/>
  <c r="CA48" i="1"/>
  <c r="BD49" i="1"/>
  <c r="BS49" i="1"/>
  <c r="CH49" i="1"/>
  <c r="BH50" i="1"/>
  <c r="BW50" i="1"/>
  <c r="CL50" i="1"/>
  <c r="BL51" i="1"/>
  <c r="CA51" i="1"/>
  <c r="AX52" i="1"/>
  <c r="BP52" i="1"/>
  <c r="CE52" i="1"/>
  <c r="BB53" i="1"/>
  <c r="BT53" i="1"/>
  <c r="CI53" i="1"/>
  <c r="BF54" i="1"/>
  <c r="BT54" i="1"/>
  <c r="CJ54" i="1"/>
  <c r="BF55" i="1"/>
  <c r="BT55" i="1"/>
  <c r="CH55" i="1"/>
  <c r="BD56" i="1"/>
  <c r="BT56" i="1"/>
  <c r="CH56" i="1"/>
  <c r="BC57" i="1"/>
  <c r="BO57" i="1"/>
  <c r="CA57" i="1"/>
  <c r="CM57" i="1"/>
  <c r="BG58" i="1"/>
  <c r="BS58" i="1"/>
  <c r="CE58" i="1"/>
  <c r="AY59" i="1"/>
  <c r="BK59" i="1"/>
  <c r="BW59" i="1"/>
  <c r="CI59" i="1"/>
  <c r="BC60" i="1"/>
  <c r="BO60" i="1"/>
  <c r="CA60" i="1"/>
  <c r="CM60" i="1"/>
  <c r="BG61" i="1"/>
  <c r="BS61" i="1"/>
  <c r="CE61" i="1"/>
  <c r="AY62" i="1"/>
  <c r="BK62" i="1"/>
  <c r="BW62" i="1"/>
  <c r="CI62" i="1"/>
  <c r="BC63" i="1"/>
  <c r="BO63" i="1"/>
  <c r="CA63" i="1"/>
  <c r="CM63" i="1"/>
  <c r="BK41" i="1"/>
  <c r="CJ49" i="1"/>
  <c r="CC51" i="1"/>
  <c r="BD53" i="1"/>
  <c r="BX54" i="1"/>
  <c r="CJ55" i="1"/>
  <c r="CJ56" i="1"/>
  <c r="CC57" i="1"/>
  <c r="BU58" i="1"/>
  <c r="BM59" i="1"/>
  <c r="BE60" i="1"/>
  <c r="AW61" i="1"/>
  <c r="CG61" i="1"/>
  <c r="BY62" i="1"/>
  <c r="BE63" i="1"/>
  <c r="CC63" i="1"/>
  <c r="CM54" i="1"/>
  <c r="BR57" i="1"/>
  <c r="BV58" i="1"/>
  <c r="BB59" i="1"/>
  <c r="CL59" i="1"/>
  <c r="CD60" i="1"/>
  <c r="BJ61" i="1"/>
  <c r="BB62" i="1"/>
  <c r="BR63" i="1"/>
  <c r="BD22" i="1"/>
  <c r="BL20" i="1"/>
  <c r="AY21" i="1"/>
  <c r="CK21" i="1"/>
  <c r="BX22" i="1"/>
  <c r="BP23" i="1"/>
  <c r="BA24" i="1"/>
  <c r="CA24" i="1"/>
  <c r="BS25" i="1"/>
  <c r="BE26" i="1"/>
  <c r="CF26" i="1"/>
  <c r="BU27" i="1"/>
  <c r="BA28" i="1"/>
  <c r="CB28" i="1"/>
  <c r="BO29" i="1"/>
  <c r="AX30" i="1"/>
  <c r="BV30" i="1"/>
  <c r="BH31" i="1"/>
  <c r="CJ31" i="1"/>
  <c r="BU32" i="1"/>
  <c r="BH33" i="1"/>
  <c r="CF33" i="1"/>
  <c r="BO34" i="1"/>
  <c r="BB35" i="1"/>
  <c r="CC35" i="1"/>
  <c r="BI36" i="1"/>
  <c r="AX37" i="1"/>
  <c r="BY37" i="1"/>
  <c r="BH38" i="1"/>
  <c r="CM38" i="1"/>
  <c r="BS39" i="1"/>
  <c r="BA40" i="1"/>
  <c r="CC40" i="1"/>
  <c r="BJ41" i="1"/>
  <c r="CF41" i="1"/>
  <c r="BN42" i="1"/>
  <c r="CJ42" i="1"/>
  <c r="BL43" i="1"/>
  <c r="CJ43" i="1"/>
  <c r="BK44" i="1"/>
  <c r="CE44" i="1"/>
  <c r="BJ45" i="1"/>
  <c r="CA45" i="1"/>
  <c r="BB46" i="1"/>
  <c r="BX46" i="1"/>
  <c r="AW47" i="1"/>
  <c r="BP47" i="1"/>
  <c r="CJ47" i="1"/>
  <c r="BK48" i="1"/>
  <c r="CB48" i="1"/>
  <c r="BE49" i="1"/>
  <c r="BT49" i="1"/>
  <c r="CI49" i="1"/>
  <c r="BI50" i="1"/>
  <c r="BX50" i="1"/>
  <c r="CM50" i="1"/>
  <c r="BM51" i="1"/>
  <c r="CB51" i="1"/>
  <c r="AY52" i="1"/>
  <c r="BQ52" i="1"/>
  <c r="CF52" i="1"/>
  <c r="BC53" i="1"/>
  <c r="BU53" i="1"/>
  <c r="CJ53" i="1"/>
  <c r="BG54" i="1"/>
  <c r="BW54" i="1"/>
  <c r="CK54" i="1"/>
  <c r="BG55" i="1"/>
  <c r="BU55" i="1"/>
  <c r="CI55" i="1"/>
  <c r="BG56" i="1"/>
  <c r="BU56" i="1"/>
  <c r="CI56" i="1"/>
  <c r="BD57" i="1"/>
  <c r="BP57" i="1"/>
  <c r="CB57" i="1"/>
  <c r="CN57" i="1"/>
  <c r="BH58" i="1"/>
  <c r="BT58" i="1"/>
  <c r="CF58" i="1"/>
  <c r="AZ59" i="1"/>
  <c r="BL59" i="1"/>
  <c r="BX59" i="1"/>
  <c r="CJ59" i="1"/>
  <c r="BD60" i="1"/>
  <c r="BP60" i="1"/>
  <c r="CB60" i="1"/>
  <c r="CN60" i="1"/>
  <c r="BH61" i="1"/>
  <c r="BT61" i="1"/>
  <c r="CF61" i="1"/>
  <c r="AZ62" i="1"/>
  <c r="BL62" i="1"/>
  <c r="BX62" i="1"/>
  <c r="CJ62" i="1"/>
  <c r="BD63" i="1"/>
  <c r="BP63" i="1"/>
  <c r="CB63" i="1"/>
  <c r="CN63" i="1"/>
  <c r="CG41" i="1"/>
  <c r="BF49" i="1"/>
  <c r="CN50" i="1"/>
  <c r="AZ52" i="1"/>
  <c r="CK53" i="1"/>
  <c r="CL54" i="1"/>
  <c r="BV55" i="1"/>
  <c r="BV56" i="1"/>
  <c r="BQ57" i="1"/>
  <c r="BI58" i="1"/>
  <c r="CG58" i="1"/>
  <c r="BY59" i="1"/>
  <c r="BQ60" i="1"/>
  <c r="BI61" i="1"/>
  <c r="BA62" i="1"/>
  <c r="CK62" i="1"/>
  <c r="BY54" i="1"/>
  <c r="CD57" i="1"/>
  <c r="CH58" i="1"/>
  <c r="BF60" i="1"/>
  <c r="AX61" i="1"/>
  <c r="CH61" i="1"/>
  <c r="CL62" i="1"/>
  <c r="CD63" i="1"/>
  <c r="BN21" i="1"/>
  <c r="BN20" i="1"/>
  <c r="AZ21" i="1"/>
  <c r="CL21" i="1"/>
  <c r="BY22" i="1"/>
  <c r="BQ23" i="1"/>
  <c r="BB24" i="1"/>
  <c r="CB24" i="1"/>
  <c r="BT25" i="1"/>
  <c r="BF26" i="1"/>
  <c r="CG26" i="1"/>
  <c r="BV27" i="1"/>
  <c r="BB28" i="1"/>
  <c r="CC28" i="1"/>
  <c r="BP29" i="1"/>
  <c r="AY30" i="1"/>
  <c r="BW30" i="1"/>
  <c r="BJ31" i="1"/>
  <c r="CM31" i="1"/>
  <c r="BV32" i="1"/>
  <c r="BI33" i="1"/>
  <c r="CG33" i="1"/>
  <c r="BP34" i="1"/>
  <c r="BC35" i="1"/>
  <c r="CD35" i="1"/>
  <c r="BJ36" i="1"/>
  <c r="AY37" i="1"/>
  <c r="BZ37" i="1"/>
  <c r="BI38" i="1"/>
  <c r="CN38" i="1"/>
  <c r="BT39" i="1"/>
  <c r="BB40" i="1"/>
  <c r="CD40" i="1"/>
  <c r="BO42" i="1"/>
  <c r="BM43" i="1"/>
  <c r="CK43" i="1"/>
  <c r="BN44" i="1"/>
  <c r="CF44" i="1"/>
  <c r="BK45" i="1"/>
  <c r="CB45" i="1"/>
  <c r="BC46" i="1"/>
  <c r="BY46" i="1"/>
  <c r="AX47" i="1"/>
  <c r="BQ47" i="1"/>
  <c r="CK47" i="1"/>
  <c r="BL48" i="1"/>
  <c r="CC48" i="1"/>
  <c r="BU49" i="1"/>
  <c r="BY50" i="1"/>
  <c r="CG52" i="1"/>
  <c r="BE57" i="1"/>
  <c r="BN62" i="1"/>
  <c r="BO20" i="1"/>
  <c r="BL21" i="1"/>
  <c r="CM21" i="1"/>
  <c r="CJ22" i="1"/>
  <c r="BR23" i="1"/>
  <c r="BG24" i="1"/>
  <c r="CM24" i="1"/>
  <c r="CB25" i="1"/>
  <c r="BG26" i="1"/>
  <c r="CN26" i="1"/>
  <c r="BW27" i="1"/>
  <c r="BF28" i="1"/>
  <c r="CK28" i="1"/>
  <c r="BQ29" i="1"/>
  <c r="AZ30" i="1"/>
  <c r="CG30" i="1"/>
  <c r="BP31" i="1"/>
  <c r="CN31" i="1"/>
  <c r="CA32" i="1"/>
  <c r="BJ33" i="1"/>
  <c r="CK33" i="1"/>
  <c r="BZ34" i="1"/>
  <c r="BD35" i="1"/>
  <c r="CG35" i="1"/>
  <c r="BT36" i="1"/>
  <c r="BC37" i="1"/>
  <c r="CA37" i="1"/>
  <c r="BN38" i="1"/>
  <c r="AW39" i="1"/>
  <c r="BX39" i="1"/>
  <c r="BK40" i="1"/>
  <c r="CE40" i="1"/>
  <c r="BL41" i="1"/>
  <c r="CN41" i="1"/>
  <c r="BP42" i="1"/>
  <c r="CM42" i="1"/>
  <c r="BT43" i="1"/>
  <c r="CL43" i="1"/>
  <c r="BO44" i="1"/>
  <c r="CK44" i="1"/>
  <c r="BL45" i="1"/>
  <c r="CC45" i="1"/>
  <c r="BG46" i="1"/>
  <c r="BZ46" i="1"/>
  <c r="AY47" i="1"/>
  <c r="BU47" i="1"/>
  <c r="CN47" i="1"/>
  <c r="BM48" i="1"/>
  <c r="CI48" i="1"/>
  <c r="BG49" i="1"/>
  <c r="BV49" i="1"/>
  <c r="CN49" i="1"/>
  <c r="BK50" i="1"/>
  <c r="BZ50" i="1"/>
  <c r="AZ51" i="1"/>
  <c r="BO51" i="1"/>
  <c r="CD51" i="1"/>
  <c r="BD52" i="1"/>
  <c r="BS52" i="1"/>
  <c r="CH52" i="1"/>
  <c r="BH53" i="1"/>
  <c r="BW53" i="1"/>
  <c r="CL53" i="1"/>
  <c r="BK54" i="1"/>
  <c r="BW55" i="1"/>
  <c r="CM55" i="1"/>
  <c r="BI56" i="1"/>
  <c r="BW56" i="1"/>
  <c r="CK56" i="1"/>
  <c r="AX58" i="1"/>
  <c r="BZ59" i="1"/>
  <c r="BF63" i="1"/>
  <c r="BS20" i="1"/>
  <c r="BM21" i="1"/>
  <c r="BC22" i="1"/>
  <c r="CK22" i="1"/>
  <c r="BS23" i="1"/>
  <c r="BH24" i="1"/>
  <c r="CN24" i="1"/>
  <c r="CC25" i="1"/>
  <c r="BJ26" i="1"/>
  <c r="AW27" i="1"/>
  <c r="BX27" i="1"/>
  <c r="BG28" i="1"/>
  <c r="CN28" i="1"/>
  <c r="BR29" i="1"/>
  <c r="BA30" i="1"/>
  <c r="CH30" i="1"/>
  <c r="BQ31" i="1"/>
  <c r="AW32" i="1"/>
  <c r="CB32" i="1"/>
  <c r="BK33" i="1"/>
  <c r="CL33" i="1"/>
  <c r="CA34" i="1"/>
  <c r="BG35" i="1"/>
  <c r="CH35" i="1"/>
  <c r="BU36" i="1"/>
  <c r="BD37" i="1"/>
  <c r="CB37" i="1"/>
  <c r="BO38" i="1"/>
  <c r="AX39" i="1"/>
  <c r="CA39" i="1"/>
  <c r="BL40" i="1"/>
  <c r="CF40" i="1"/>
  <c r="BN41" i="1"/>
  <c r="AW42" i="1"/>
  <c r="BR42" i="1"/>
  <c r="CN42" i="1"/>
  <c r="BU43" i="1"/>
  <c r="CM43" i="1"/>
  <c r="BP44" i="1"/>
  <c r="CN44" i="1"/>
  <c r="BM45" i="1"/>
  <c r="CF45" i="1"/>
  <c r="BH46" i="1"/>
  <c r="CA46" i="1"/>
  <c r="AZ47" i="1"/>
  <c r="BV47" i="1"/>
  <c r="AW48" i="1"/>
  <c r="BN48" i="1"/>
  <c r="CJ48" i="1"/>
  <c r="BH49" i="1"/>
  <c r="BW49" i="1"/>
  <c r="AW50" i="1"/>
  <c r="BL50" i="1"/>
  <c r="CA50" i="1"/>
  <c r="BA51" i="1"/>
  <c r="BP51" i="1"/>
  <c r="CE51" i="1"/>
  <c r="BE52" i="1"/>
  <c r="BT52" i="1"/>
  <c r="CI52" i="1"/>
  <c r="BI53" i="1"/>
  <c r="BX53" i="1"/>
  <c r="CM53" i="1"/>
  <c r="BL54" i="1"/>
  <c r="BZ54" i="1"/>
  <c r="CN54" i="1"/>
  <c r="BJ55" i="1"/>
  <c r="BX55" i="1"/>
  <c r="CN55" i="1"/>
  <c r="BJ56" i="1"/>
  <c r="BX56" i="1"/>
  <c r="CL56" i="1"/>
  <c r="BG57" i="1"/>
  <c r="BS57" i="1"/>
  <c r="CE57" i="1"/>
  <c r="AY58" i="1"/>
  <c r="BK58" i="1"/>
  <c r="BW58" i="1"/>
  <c r="CI58" i="1"/>
  <c r="BC59" i="1"/>
  <c r="BO59" i="1"/>
  <c r="CA59" i="1"/>
  <c r="CM59" i="1"/>
  <c r="BG60" i="1"/>
  <c r="BS60" i="1"/>
  <c r="CE60" i="1"/>
  <c r="AY61" i="1"/>
  <c r="BK61" i="1"/>
  <c r="BW61" i="1"/>
  <c r="CI61" i="1"/>
  <c r="BC62" i="1"/>
  <c r="BO62" i="1"/>
  <c r="CA62" i="1"/>
  <c r="CM62" i="1"/>
  <c r="BG63" i="1"/>
  <c r="BS63" i="1"/>
  <c r="CE63" i="1"/>
  <c r="BT20" i="1"/>
  <c r="BI24" i="1"/>
  <c r="AX25" i="1"/>
  <c r="CD25" i="1"/>
  <c r="BK26" i="1"/>
  <c r="AX27" i="1"/>
  <c r="BY27" i="1"/>
  <c r="BH28" i="1"/>
  <c r="AW29" i="1"/>
  <c r="BS29" i="1"/>
  <c r="BD30" i="1"/>
  <c r="CI30" i="1"/>
  <c r="AX32" i="1"/>
  <c r="CC32" i="1"/>
  <c r="BL33" i="1"/>
  <c r="CM33" i="1"/>
  <c r="CB34" i="1"/>
  <c r="BH35" i="1"/>
  <c r="CI35" i="1"/>
  <c r="BV36" i="1"/>
  <c r="BE37" i="1"/>
  <c r="CC37" i="1"/>
  <c r="BP38" i="1"/>
  <c r="BA39" i="1"/>
  <c r="CB39" i="1"/>
  <c r="BM40" i="1"/>
  <c r="CI40" i="1"/>
  <c r="BO41" i="1"/>
  <c r="AY42" i="1"/>
  <c r="BU42" i="1"/>
  <c r="AX43" i="1"/>
  <c r="BV43" i="1"/>
  <c r="CN43" i="1"/>
  <c r="BQ44" i="1"/>
  <c r="AW45" i="1"/>
  <c r="BN45" i="1"/>
  <c r="CG45" i="1"/>
  <c r="BI46" i="1"/>
  <c r="CB46" i="1"/>
  <c r="BA47" i="1"/>
  <c r="BW47" i="1"/>
  <c r="AX48" i="1"/>
  <c r="BO48" i="1"/>
  <c r="CK48" i="1"/>
  <c r="BI49" i="1"/>
  <c r="BX49" i="1"/>
  <c r="AX50" i="1"/>
  <c r="BM50" i="1"/>
  <c r="CB50" i="1"/>
  <c r="BB51" i="1"/>
  <c r="BQ51" i="1"/>
  <c r="BF52" i="1"/>
  <c r="BJ53" i="1"/>
  <c r="BY53" i="1"/>
  <c r="CN53" i="1"/>
  <c r="BM54" i="1"/>
  <c r="CA54" i="1"/>
  <c r="AW55" i="1"/>
  <c r="BK55" i="1"/>
  <c r="CA55" i="1"/>
  <c r="AW56" i="1"/>
  <c r="BK56" i="1"/>
  <c r="BY56" i="1"/>
  <c r="CM56" i="1"/>
  <c r="BH57" i="1"/>
  <c r="BT57" i="1"/>
  <c r="CF57" i="1"/>
  <c r="AZ58" i="1"/>
  <c r="BL58" i="1"/>
  <c r="BX58" i="1"/>
  <c r="CJ58" i="1"/>
  <c r="BD59" i="1"/>
  <c r="CB59" i="1"/>
  <c r="BU20" i="1"/>
  <c r="BL22" i="1"/>
  <c r="CL23" i="1"/>
  <c r="CE25" i="1"/>
  <c r="BG27" i="1"/>
  <c r="BW28" i="1"/>
  <c r="BM30" i="1"/>
  <c r="BV31" i="1"/>
  <c r="CN32" i="1"/>
  <c r="CD34" i="1"/>
  <c r="BD36" i="1"/>
  <c r="CM37" i="1"/>
  <c r="BD39" i="1"/>
  <c r="BR40" i="1"/>
  <c r="BA42" i="1"/>
  <c r="BH43" i="1"/>
  <c r="BU44" i="1"/>
  <c r="BQ45" i="1"/>
  <c r="BP46" i="1"/>
  <c r="BY47" i="1"/>
  <c r="BX48" i="1"/>
  <c r="CB49" i="1"/>
  <c r="BP50" i="1"/>
  <c r="BG51" i="1"/>
  <c r="BH52" i="1"/>
  <c r="AW53" i="1"/>
  <c r="CF53" i="1"/>
  <c r="CB54" i="1"/>
  <c r="BP55" i="1"/>
  <c r="BB56" i="1"/>
  <c r="AW57" i="1"/>
  <c r="BX57" i="1"/>
  <c r="BM58" i="1"/>
  <c r="CM58" i="1"/>
  <c r="BT59" i="1"/>
  <c r="BA60" i="1"/>
  <c r="BY60" i="1"/>
  <c r="BE61" i="1"/>
  <c r="CC61" i="1"/>
  <c r="BI62" i="1"/>
  <c r="CG62" i="1"/>
  <c r="BM63" i="1"/>
  <c r="CK63" i="1"/>
  <c r="AX38" i="1"/>
  <c r="CE46" i="1"/>
  <c r="CF50" i="1"/>
  <c r="AZ53" i="1"/>
  <c r="BN56" i="1"/>
  <c r="BP58" i="1"/>
  <c r="CH60" i="1"/>
  <c r="AX63" i="1"/>
  <c r="CF54" i="1"/>
  <c r="BK60" i="1"/>
  <c r="AY63" i="1"/>
  <c r="BO21" i="1"/>
  <c r="BC29" i="1"/>
  <c r="BZ33" i="1"/>
  <c r="BV38" i="1"/>
  <c r="BZ43" i="1"/>
  <c r="CL46" i="1"/>
  <c r="AY50" i="1"/>
  <c r="BY51" i="1"/>
  <c r="BC54" i="1"/>
  <c r="CD55" i="1"/>
  <c r="CJ57" i="1"/>
  <c r="BG59" i="1"/>
  <c r="CJ60" i="1"/>
  <c r="AZ63" i="1"/>
  <c r="BB23" i="1"/>
  <c r="BB34" i="1"/>
  <c r="CN39" i="1"/>
  <c r="CA43" i="1"/>
  <c r="BG47" i="1"/>
  <c r="AZ50" i="1"/>
  <c r="BW52" i="1"/>
  <c r="AY55" i="1"/>
  <c r="BK57" i="1"/>
  <c r="BZ58" i="1"/>
  <c r="BM60" i="1"/>
  <c r="AW62" i="1"/>
  <c r="BY63" i="1"/>
  <c r="BW26" i="1"/>
  <c r="CA29" i="1"/>
  <c r="BU35" i="1"/>
  <c r="AW44" i="1"/>
  <c r="BH47" i="1"/>
  <c r="CK51" i="1"/>
  <c r="AZ55" i="1"/>
  <c r="BA58" i="1"/>
  <c r="BT60" i="1"/>
  <c r="CB62" i="1"/>
  <c r="BV21" i="1"/>
  <c r="BG37" i="1"/>
  <c r="BA44" i="1"/>
  <c r="BH48" i="1"/>
  <c r="CL51" i="1"/>
  <c r="BC55" i="1"/>
  <c r="BB58" i="1"/>
  <c r="BU60" i="1"/>
  <c r="CC62" i="1"/>
  <c r="BW21" i="1"/>
  <c r="CA38" i="1"/>
  <c r="BB45" i="1"/>
  <c r="BL49" i="1"/>
  <c r="CC52" i="1"/>
  <c r="BU57" i="1"/>
  <c r="AX60" i="1"/>
  <c r="BF62" i="1"/>
  <c r="BH25" i="1"/>
  <c r="BS31" i="1"/>
  <c r="BR37" i="1"/>
  <c r="BE43" i="1"/>
  <c r="CJ52" i="1"/>
  <c r="BV57" i="1"/>
  <c r="BW60" i="1"/>
  <c r="CE62" i="1"/>
  <c r="CD23" i="1"/>
  <c r="BC36" i="1"/>
  <c r="BG43" i="1"/>
  <c r="BX47" i="1"/>
  <c r="BF51" i="1"/>
  <c r="BR54" i="1"/>
  <c r="CN56" i="1"/>
  <c r="BS59" i="1"/>
  <c r="CB61" i="1"/>
  <c r="CJ63" i="1"/>
  <c r="CD20" i="1"/>
  <c r="BS22" i="1"/>
  <c r="CM23" i="1"/>
  <c r="CF25" i="1"/>
  <c r="BH27" i="1"/>
  <c r="AX29" i="1"/>
  <c r="BN30" i="1"/>
  <c r="CE31" i="1"/>
  <c r="BM33" i="1"/>
  <c r="CE34" i="1"/>
  <c r="BF36" i="1"/>
  <c r="CN37" i="1"/>
  <c r="BN39" i="1"/>
  <c r="CM40" i="1"/>
  <c r="BB42" i="1"/>
  <c r="BI43" i="1"/>
  <c r="BW44" i="1"/>
  <c r="BW45" i="1"/>
  <c r="CC46" i="1"/>
  <c r="CB47" i="1"/>
  <c r="BY48" i="1"/>
  <c r="CC49" i="1"/>
  <c r="BT50" i="1"/>
  <c r="BR51" i="1"/>
  <c r="BI52" i="1"/>
  <c r="AX53" i="1"/>
  <c r="CG53" i="1"/>
  <c r="CC54" i="1"/>
  <c r="BQ55" i="1"/>
  <c r="BL56" i="1"/>
  <c r="AY57" i="1"/>
  <c r="BY57" i="1"/>
  <c r="BN58" i="1"/>
  <c r="CN58" i="1"/>
  <c r="BU59" i="1"/>
  <c r="BH60" i="1"/>
  <c r="CF60" i="1"/>
  <c r="BL61" i="1"/>
  <c r="CJ61" i="1"/>
  <c r="BP62" i="1"/>
  <c r="CN62" i="1"/>
  <c r="BT63" i="1"/>
  <c r="CG39" i="1"/>
  <c r="CK45" i="1"/>
  <c r="CE49" i="1"/>
  <c r="BK52" i="1"/>
  <c r="CE54" i="1"/>
  <c r="BA57" i="1"/>
  <c r="BE59" i="1"/>
  <c r="CL61" i="1"/>
  <c r="BV63" i="1"/>
  <c r="CC55" i="1"/>
  <c r="BF59" i="1"/>
  <c r="CI60" i="1"/>
  <c r="CM61" i="1"/>
  <c r="BW24" i="1"/>
  <c r="CK30" i="1"/>
  <c r="BN35" i="1"/>
  <c r="BD41" i="1"/>
  <c r="AX45" i="1"/>
  <c r="AZ48" i="1"/>
  <c r="CH50" i="1"/>
  <c r="BV52" i="1"/>
  <c r="AX55" i="1"/>
  <c r="BJ57" i="1"/>
  <c r="CF59" i="1"/>
  <c r="BT62" i="1"/>
  <c r="BP21" i="1"/>
  <c r="CL30" i="1"/>
  <c r="CG36" i="1"/>
  <c r="BW41" i="1"/>
  <c r="AY45" i="1"/>
  <c r="BA48" i="1"/>
  <c r="CI50" i="1"/>
  <c r="BM53" i="1"/>
  <c r="BZ56" i="1"/>
  <c r="BH59" i="1"/>
  <c r="BQ61" i="1"/>
  <c r="BA63" i="1"/>
  <c r="BB25" i="1"/>
  <c r="BA31" i="1"/>
  <c r="BF37" i="1"/>
  <c r="AZ45" i="1"/>
  <c r="BJ49" i="1"/>
  <c r="BX52" i="1"/>
  <c r="CF55" i="1"/>
  <c r="CA58" i="1"/>
  <c r="AZ61" i="1"/>
  <c r="BH63" i="1"/>
  <c r="BX26" i="1"/>
  <c r="CB29" i="1"/>
  <c r="BD34" i="1"/>
  <c r="BZ41" i="1"/>
  <c r="BI47" i="1"/>
  <c r="BC51" i="1"/>
  <c r="BO54" i="1"/>
  <c r="BM57" i="1"/>
  <c r="AW60" i="1"/>
  <c r="BE62" i="1"/>
  <c r="CB23" i="1"/>
  <c r="CJ32" i="1"/>
  <c r="CA41" i="1"/>
  <c r="BM46" i="1"/>
  <c r="BD51" i="1"/>
  <c r="BP54" i="1"/>
  <c r="CE56" i="1"/>
  <c r="BQ59" i="1"/>
  <c r="BZ61" i="1"/>
  <c r="CH63" i="1"/>
  <c r="BE22" i="1"/>
  <c r="CL32" i="1"/>
  <c r="BP40" i="1"/>
  <c r="BO45" i="1"/>
  <c r="BV48" i="1"/>
  <c r="BE51" i="1"/>
  <c r="BQ54" i="1"/>
  <c r="CF56" i="1"/>
  <c r="BR59" i="1"/>
  <c r="BG62" i="1"/>
  <c r="BK22" i="1"/>
  <c r="BL30" i="1"/>
  <c r="BS37" i="1"/>
  <c r="AZ42" i="1"/>
  <c r="BP45" i="1"/>
  <c r="BW48" i="1"/>
  <c r="BG52" i="1"/>
  <c r="BA56" i="1"/>
  <c r="CL58" i="1"/>
  <c r="BD61" i="1"/>
  <c r="BL63" i="1"/>
  <c r="CE20" i="1"/>
  <c r="BT22" i="1"/>
  <c r="BT24" i="1"/>
  <c r="CH25" i="1"/>
  <c r="BI27" i="1"/>
  <c r="AY29" i="1"/>
  <c r="BR30" i="1"/>
  <c r="CF31" i="1"/>
  <c r="BP33" i="1"/>
  <c r="CF34" i="1"/>
  <c r="BW36" i="1"/>
  <c r="AW38" i="1"/>
  <c r="BO39" i="1"/>
  <c r="CN40" i="1"/>
  <c r="BC42" i="1"/>
  <c r="BW43" i="1"/>
  <c r="BX44" i="1"/>
  <c r="BX45" i="1"/>
  <c r="CD46" i="1"/>
  <c r="CC47" i="1"/>
  <c r="CL48" i="1"/>
  <c r="CD49" i="1"/>
  <c r="BU50" i="1"/>
  <c r="BS51" i="1"/>
  <c r="BJ52" i="1"/>
  <c r="AY53" i="1"/>
  <c r="AZ54" i="1"/>
  <c r="CD54" i="1"/>
  <c r="BR55" i="1"/>
  <c r="BM56" i="1"/>
  <c r="AZ57" i="1"/>
  <c r="CG57" i="1"/>
  <c r="BO58" i="1"/>
  <c r="AW59" i="1"/>
  <c r="CC59" i="1"/>
  <c r="BI60" i="1"/>
  <c r="CG60" i="1"/>
  <c r="BM61" i="1"/>
  <c r="CK61" i="1"/>
  <c r="BQ62" i="1"/>
  <c r="AW63" i="1"/>
  <c r="BU63" i="1"/>
  <c r="AW41" i="1"/>
  <c r="CD47" i="1"/>
  <c r="BT51" i="1"/>
  <c r="BA54" i="1"/>
  <c r="CB55" i="1"/>
  <c r="CH57" i="1"/>
  <c r="CD59" i="1"/>
  <c r="BN61" i="1"/>
  <c r="BR62" i="1"/>
  <c r="BO56" i="1"/>
  <c r="BQ58" i="1"/>
  <c r="BO61" i="1"/>
  <c r="BW63" i="1"/>
  <c r="AZ23" i="1"/>
  <c r="BJ32" i="1"/>
  <c r="CF36" i="1"/>
  <c r="BW42" i="1"/>
  <c r="CM45" i="1"/>
  <c r="AW49" i="1"/>
  <c r="BL53" i="1"/>
  <c r="BP56" i="1"/>
  <c r="BY58" i="1"/>
  <c r="BL60" i="1"/>
  <c r="CN61" i="1"/>
  <c r="BX63" i="1"/>
  <c r="BX24" i="1"/>
  <c r="BZ29" i="1"/>
  <c r="BK32" i="1"/>
  <c r="BO35" i="1"/>
  <c r="BW38" i="1"/>
  <c r="BY42" i="1"/>
  <c r="CN45" i="1"/>
  <c r="AX49" i="1"/>
  <c r="CJ51" i="1"/>
  <c r="BD54" i="1"/>
  <c r="CE55" i="1"/>
  <c r="CK57" i="1"/>
  <c r="CG59" i="1"/>
  <c r="BU62" i="1"/>
  <c r="BU21" i="1"/>
  <c r="CM27" i="1"/>
  <c r="BL32" i="1"/>
  <c r="BX38" i="1"/>
  <c r="CD42" i="1"/>
  <c r="AW46" i="1"/>
  <c r="BE48" i="1"/>
  <c r="CJ50" i="1"/>
  <c r="BN53" i="1"/>
  <c r="CA56" i="1"/>
  <c r="BI59" i="1"/>
  <c r="BD62" i="1"/>
  <c r="BT23" i="1"/>
  <c r="BB31" i="1"/>
  <c r="BN40" i="1"/>
  <c r="BL46" i="1"/>
  <c r="BB50" i="1"/>
  <c r="BO53" i="1"/>
  <c r="AX56" i="1"/>
  <c r="CB58" i="1"/>
  <c r="BA61" i="1"/>
  <c r="CG63" i="1"/>
  <c r="BD25" i="1"/>
  <c r="CF29" i="1"/>
  <c r="BH34" i="1"/>
  <c r="BB43" i="1"/>
  <c r="BJ47" i="1"/>
  <c r="BC50" i="1"/>
  <c r="BZ53" i="1"/>
  <c r="AY56" i="1"/>
  <c r="CC58" i="1"/>
  <c r="BB61" i="1"/>
  <c r="BJ63" i="1"/>
  <c r="CC23" i="1"/>
  <c r="CI29" i="1"/>
  <c r="BL34" i="1"/>
  <c r="BB39" i="1"/>
  <c r="BF44" i="1"/>
  <c r="BP49" i="1"/>
  <c r="CN51" i="1"/>
  <c r="BL55" i="1"/>
  <c r="CK58" i="1"/>
  <c r="BC61" i="1"/>
  <c r="CI63" i="1"/>
  <c r="BF27" i="1"/>
  <c r="CC34" i="1"/>
  <c r="BQ40" i="1"/>
  <c r="BG44" i="1"/>
  <c r="BQ49" i="1"/>
  <c r="CN52" i="1"/>
  <c r="BO55" i="1"/>
  <c r="BE58" i="1"/>
  <c r="BX60" i="1"/>
  <c r="CF62" i="1"/>
  <c r="CM20" i="1"/>
  <c r="AX23" i="1"/>
  <c r="BU24" i="1"/>
  <c r="AZ26" i="1"/>
  <c r="BZ27" i="1"/>
  <c r="AZ29" i="1"/>
  <c r="BS30" i="1"/>
  <c r="BH32" i="1"/>
  <c r="BR33" i="1"/>
  <c r="CH34" i="1"/>
  <c r="BX36" i="1"/>
  <c r="BG42" i="1"/>
  <c r="BX43" i="1"/>
  <c r="CA44" i="1"/>
  <c r="CM48" i="1"/>
  <c r="BJ60" i="1"/>
  <c r="BS26" i="1"/>
  <c r="BP61" i="1"/>
  <c r="BT26" i="1"/>
  <c r="BC34" i="1"/>
  <c r="BV35" i="1"/>
  <c r="BP28" i="1"/>
  <c r="BK47" i="1"/>
  <c r="BV28" i="1"/>
  <c r="CN20" i="1"/>
  <c r="AY23" i="1"/>
  <c r="BV24" i="1"/>
  <c r="BB26" i="1"/>
  <c r="CA27" i="1"/>
  <c r="BB29" i="1"/>
  <c r="CJ30" i="1"/>
  <c r="BI32" i="1"/>
  <c r="BY33" i="1"/>
  <c r="BL35" i="1"/>
  <c r="BY36" i="1"/>
  <c r="AY38" i="1"/>
  <c r="CH39" i="1"/>
  <c r="BB41" i="1"/>
  <c r="BV42" i="1"/>
  <c r="BY43" i="1"/>
  <c r="CB44" i="1"/>
  <c r="CL45" i="1"/>
  <c r="CK46" i="1"/>
  <c r="AY48" i="1"/>
  <c r="CN48" i="1"/>
  <c r="CF49" i="1"/>
  <c r="CG50" i="1"/>
  <c r="BX51" i="1"/>
  <c r="BU52" i="1"/>
  <c r="BK53" i="1"/>
  <c r="BB54" i="1"/>
  <c r="BI57" i="1"/>
  <c r="CI57" i="1"/>
  <c r="CE59" i="1"/>
  <c r="BS62" i="1"/>
  <c r="CB27" i="1"/>
  <c r="CL27" i="1"/>
  <c r="AX40" i="1"/>
  <c r="BO28" i="1"/>
  <c r="BK37" i="1"/>
  <c r="BQ28" i="1"/>
  <c r="CM32" i="1"/>
  <c r="CI39" i="1"/>
  <c r="CK60" i="1"/>
  <c r="BC23" i="1"/>
  <c r="BX41" i="1"/>
  <c r="BA50" i="1"/>
  <c r="BN54" i="1"/>
  <c r="BL57" i="1"/>
  <c r="CN59" i="1"/>
  <c r="BX61" i="1"/>
  <c r="CF63" i="1"/>
  <c r="BC25" i="1"/>
  <c r="CI32" i="1"/>
  <c r="BZ38" i="1"/>
  <c r="CE42" i="1"/>
  <c r="BA45" i="1"/>
  <c r="BK49" i="1"/>
  <c r="CB52" i="1"/>
  <c r="CB56" i="1"/>
  <c r="BP59" i="1"/>
  <c r="BY61" i="1"/>
  <c r="BI63" i="1"/>
  <c r="BZ26" i="1"/>
  <c r="BR31" i="1"/>
  <c r="AY36" i="1"/>
  <c r="BO40" i="1"/>
  <c r="BB44" i="1"/>
  <c r="BU48" i="1"/>
  <c r="CM51" i="1"/>
  <c r="BD55" i="1"/>
  <c r="BC58" i="1"/>
  <c r="BV60" i="1"/>
  <c r="CD62" i="1"/>
  <c r="BB27" i="1"/>
  <c r="BB36" i="1"/>
  <c r="CB41" i="1"/>
  <c r="BN46" i="1"/>
  <c r="BN50" i="1"/>
  <c r="CA53" i="1"/>
  <c r="AZ56" i="1"/>
  <c r="BD58" i="1"/>
  <c r="AY60" i="1"/>
  <c r="CA61" i="1"/>
  <c r="BK63" i="1"/>
  <c r="BJ25" i="1"/>
  <c r="BT31" i="1"/>
  <c r="BC39" i="1"/>
  <c r="BO46" i="1"/>
  <c r="BO50" i="1"/>
  <c r="CB53" i="1"/>
  <c r="BW57" i="1"/>
  <c r="AZ60" i="1"/>
  <c r="BH62" i="1"/>
  <c r="AV43" i="1"/>
  <c r="AV42" i="1"/>
  <c r="AV41" i="1"/>
  <c r="AV39" i="1"/>
  <c r="AV55" i="1"/>
  <c r="AV54" i="1"/>
  <c r="AV53" i="1"/>
  <c r="AV31" i="1"/>
  <c r="AV30" i="1"/>
  <c r="AV29" i="1"/>
  <c r="AV52" i="1"/>
  <c r="AV40" i="1"/>
  <c r="AV28" i="1"/>
  <c r="AV63" i="1"/>
  <c r="AV51" i="1"/>
  <c r="AV27" i="1"/>
  <c r="AV62" i="1"/>
  <c r="AV50" i="1"/>
  <c r="AV38" i="1"/>
  <c r="AV26" i="1"/>
  <c r="AV61" i="1"/>
  <c r="AV49" i="1"/>
  <c r="AV37" i="1"/>
  <c r="AV25" i="1"/>
  <c r="AV60" i="1"/>
  <c r="AV48" i="1"/>
  <c r="AV36" i="1"/>
  <c r="AV24" i="1"/>
  <c r="AV59" i="1"/>
  <c r="AV47" i="1"/>
  <c r="AV35" i="1"/>
  <c r="AV23" i="1"/>
  <c r="AV58" i="1"/>
  <c r="AV46" i="1"/>
  <c r="AV34" i="1"/>
  <c r="AV22" i="1"/>
  <c r="AV57" i="1"/>
  <c r="AV45" i="1"/>
  <c r="AV33" i="1"/>
  <c r="AV21" i="1"/>
  <c r="AV56" i="1"/>
  <c r="AV44" i="1"/>
  <c r="AV32" i="1"/>
  <c r="CE19" i="1"/>
  <c r="BS19" i="1"/>
  <c r="BG19" i="1"/>
  <c r="CD19" i="1"/>
  <c r="BR19" i="1"/>
  <c r="BF19" i="1"/>
  <c r="CC19" i="1"/>
  <c r="BQ19" i="1"/>
  <c r="BE19" i="1"/>
  <c r="CN19" i="1"/>
  <c r="CB19" i="1"/>
  <c r="BP19" i="1"/>
  <c r="BD19" i="1"/>
  <c r="CM19" i="1"/>
  <c r="CA19" i="1"/>
  <c r="BO19" i="1"/>
  <c r="BC19" i="1"/>
  <c r="CL19" i="1"/>
  <c r="BZ19" i="1"/>
  <c r="BN19" i="1"/>
  <c r="BB19" i="1"/>
  <c r="CK19" i="1"/>
  <c r="BY19" i="1"/>
  <c r="BM19" i="1"/>
  <c r="BA19" i="1"/>
  <c r="CG19" i="1"/>
  <c r="CF19" i="1"/>
  <c r="BG11" i="1"/>
  <c r="CK11" i="1"/>
  <c r="BM11" i="1"/>
  <c r="BX11" i="1"/>
  <c r="CI11" i="1"/>
  <c r="BK11" i="1"/>
  <c r="CH11" i="1"/>
  <c r="BV11" i="1"/>
  <c r="BJ11" i="1"/>
  <c r="CG11" i="1"/>
  <c r="BU11" i="1"/>
  <c r="BI11" i="1"/>
  <c r="CF11" i="1"/>
  <c r="BT11" i="1"/>
  <c r="BH11" i="1"/>
  <c r="CE11" i="1"/>
  <c r="BS11" i="1"/>
  <c r="CD11" i="1"/>
  <c r="BR11" i="1"/>
  <c r="BF11" i="1"/>
  <c r="BE11" i="1"/>
  <c r="BD11" i="1"/>
  <c r="BC11" i="1"/>
  <c r="BY11" i="1"/>
  <c r="CJ11" i="1"/>
  <c r="BL11" i="1"/>
  <c r="BW11" i="1"/>
  <c r="CC11" i="1"/>
  <c r="BQ11" i="1"/>
  <c r="CN11" i="1"/>
  <c r="CB11" i="1"/>
  <c r="BP11" i="1"/>
  <c r="CM11" i="1"/>
  <c r="CA11" i="1"/>
  <c r="BO11" i="1"/>
  <c r="CL11" i="1"/>
  <c r="BZ11" i="1"/>
  <c r="BN11" i="1"/>
  <c r="BB11" i="1"/>
  <c r="BA11" i="1"/>
  <c r="AZ11" i="1"/>
  <c r="AY11" i="1"/>
  <c r="AX11" i="1"/>
  <c r="AW170" i="1" a="1"/>
  <c r="BH170" i="1" l="1"/>
  <c r="BT173" i="1"/>
  <c r="CF176" i="1"/>
  <c r="AZ180" i="1"/>
  <c r="BU170" i="1"/>
  <c r="CG173" i="1"/>
  <c r="BA177" i="1"/>
  <c r="BM180" i="1"/>
  <c r="BY183" i="1"/>
  <c r="CK186" i="1"/>
  <c r="BE190" i="1"/>
  <c r="BJ170" i="1"/>
  <c r="BV173" i="1"/>
  <c r="CH176" i="1"/>
  <c r="BB180" i="1"/>
  <c r="BN183" i="1"/>
  <c r="BZ186" i="1"/>
  <c r="BV172" i="1"/>
  <c r="CL176" i="1"/>
  <c r="BJ181" i="1"/>
  <c r="BM185" i="1"/>
  <c r="BD189" i="1"/>
  <c r="CC192" i="1"/>
  <c r="AX196" i="1"/>
  <c r="BH172" i="1"/>
  <c r="BX176" i="1"/>
  <c r="CN180" i="1"/>
  <c r="AZ185" i="1"/>
  <c r="CJ188" i="1"/>
  <c r="BQ192" i="1"/>
  <c r="CE195" i="1"/>
  <c r="BT171" i="1"/>
  <c r="CJ175" i="1"/>
  <c r="BH180" i="1"/>
  <c r="BO184" i="1"/>
  <c r="BK188" i="1"/>
  <c r="AY173" i="1"/>
  <c r="CH178" i="1"/>
  <c r="BP184" i="1"/>
  <c r="BT189" i="1"/>
  <c r="CD193" i="1"/>
  <c r="BZ197" i="1"/>
  <c r="CM200" i="1"/>
  <c r="AY172" i="1"/>
  <c r="CH177" i="1"/>
  <c r="BV183" i="1"/>
  <c r="CC188" i="1"/>
  <c r="BC193" i="1"/>
  <c r="AY197" i="1"/>
  <c r="BP200" i="1"/>
  <c r="AY171" i="1"/>
  <c r="CK176" i="1"/>
  <c r="CB182" i="1"/>
  <c r="CL187" i="1"/>
  <c r="BR192" i="1"/>
  <c r="BP196" i="1"/>
  <c r="CK199" i="1"/>
  <c r="CI170" i="1"/>
  <c r="BV178" i="1"/>
  <c r="CL185" i="1"/>
  <c r="BG192" i="1"/>
  <c r="BT197" i="1"/>
  <c r="CK201" i="1"/>
  <c r="BP205" i="1"/>
  <c r="CB208" i="1"/>
  <c r="CN211" i="1"/>
  <c r="BF170" i="1"/>
  <c r="CN177" i="1"/>
  <c r="BQ185" i="1"/>
  <c r="CE191" i="1"/>
  <c r="BD197" i="1"/>
  <c r="BW201" i="1"/>
  <c r="BE205" i="1"/>
  <c r="BQ208" i="1"/>
  <c r="CC211" i="1"/>
  <c r="BG170" i="1"/>
  <c r="AW178" i="1"/>
  <c r="BR185" i="1"/>
  <c r="CF191" i="1"/>
  <c r="BE197" i="1"/>
  <c r="BX201" i="1"/>
  <c r="BF205" i="1"/>
  <c r="BR208" i="1"/>
  <c r="CD211" i="1"/>
  <c r="BK170" i="1"/>
  <c r="BA178" i="1"/>
  <c r="BS185" i="1"/>
  <c r="CJ191" i="1"/>
  <c r="BF197" i="1"/>
  <c r="BY201" i="1"/>
  <c r="BD176" i="1"/>
  <c r="CH183" i="1"/>
  <c r="BS190" i="1"/>
  <c r="CL195" i="1"/>
  <c r="BW200" i="1"/>
  <c r="BQ204" i="1"/>
  <c r="CC207" i="1"/>
  <c r="BG178" i="1"/>
  <c r="BF190" i="1"/>
  <c r="BF199" i="1"/>
  <c r="BL205" i="1"/>
  <c r="AY210" i="1"/>
  <c r="BO214" i="1"/>
  <c r="BP180" i="1"/>
  <c r="CN191" i="1"/>
  <c r="BN200" i="1"/>
  <c r="BE206" i="1"/>
  <c r="CG210" i="1"/>
  <c r="BR170" i="1"/>
  <c r="CG183" i="1"/>
  <c r="BK194" i="1"/>
  <c r="BQ202" i="1"/>
  <c r="BR207" i="1"/>
  <c r="CL211" i="1"/>
  <c r="CE171" i="1"/>
  <c r="BZ184" i="1"/>
  <c r="BE195" i="1"/>
  <c r="CM202" i="1"/>
  <c r="CI207" i="1"/>
  <c r="BM212" i="1"/>
  <c r="CK173" i="1"/>
  <c r="CI186" i="1"/>
  <c r="CF196" i="1"/>
  <c r="CI203" i="1"/>
  <c r="CE208" i="1"/>
  <c r="BC213" i="1"/>
  <c r="BZ179" i="1"/>
  <c r="BR191" i="1"/>
  <c r="AX200" i="1"/>
  <c r="CK205" i="1"/>
  <c r="BV210" i="1"/>
  <c r="CL214" i="1"/>
  <c r="CM182" i="1"/>
  <c r="CK193" i="1"/>
  <c r="AW202" i="1"/>
  <c r="AX208" i="1"/>
  <c r="CE212" i="1"/>
  <c r="CD176" i="1"/>
  <c r="BG189" i="1"/>
  <c r="BP198" i="1"/>
  <c r="CG204" i="1"/>
  <c r="BY209" i="1"/>
  <c r="AW214" i="1"/>
  <c r="BN181" i="1"/>
  <c r="BB188" i="1"/>
  <c r="BE209" i="1"/>
  <c r="BJ214" i="1"/>
  <c r="CG197" i="1"/>
  <c r="BV213" i="1"/>
  <c r="CH197" i="1"/>
  <c r="CE214" i="1"/>
  <c r="BW203" i="1"/>
  <c r="BD185" i="1"/>
  <c r="CF214" i="1"/>
  <c r="CM196" i="1"/>
  <c r="BQ196" i="1"/>
  <c r="CJ212" i="1"/>
  <c r="BW177" i="1"/>
  <c r="BC206" i="1"/>
  <c r="BC203" i="1"/>
  <c r="CM203" i="1"/>
  <c r="CL209" i="1"/>
  <c r="BC199" i="1"/>
  <c r="BK214" i="1"/>
  <c r="BK205" i="1"/>
  <c r="BT170" i="1"/>
  <c r="CF173" i="1"/>
  <c r="AZ177" i="1"/>
  <c r="BL180" i="1"/>
  <c r="CG170" i="1"/>
  <c r="BA174" i="1"/>
  <c r="BM177" i="1"/>
  <c r="BY180" i="1"/>
  <c r="CK183" i="1"/>
  <c r="BE187" i="1"/>
  <c r="BQ190" i="1"/>
  <c r="BV170" i="1"/>
  <c r="CH173" i="1"/>
  <c r="BB177" i="1"/>
  <c r="BN180" i="1"/>
  <c r="BZ183" i="1"/>
  <c r="CL186" i="1"/>
  <c r="CK172" i="1"/>
  <c r="BI177" i="1"/>
  <c r="BY181" i="1"/>
  <c r="CA185" i="1"/>
  <c r="BQ189" i="1"/>
  <c r="AX193" i="1"/>
  <c r="BJ196" i="1"/>
  <c r="BW172" i="1"/>
  <c r="CM176" i="1"/>
  <c r="BK181" i="1"/>
  <c r="BN185" i="1"/>
  <c r="BE189" i="1"/>
  <c r="CD192" i="1"/>
  <c r="AY196" i="1"/>
  <c r="CI171" i="1"/>
  <c r="BG176" i="1"/>
  <c r="BW180" i="1"/>
  <c r="CE184" i="1"/>
  <c r="BX188" i="1"/>
  <c r="BQ173" i="1"/>
  <c r="BK179" i="1"/>
  <c r="CI184" i="1"/>
  <c r="CJ189" i="1"/>
  <c r="AZ194" i="1"/>
  <c r="CM197" i="1"/>
  <c r="BG201" i="1"/>
  <c r="BT172" i="1"/>
  <c r="BK178" i="1"/>
  <c r="AW184" i="1"/>
  <c r="BB189" i="1"/>
  <c r="BQ193" i="1"/>
  <c r="BM197" i="1"/>
  <c r="CB200" i="1"/>
  <c r="BW171" i="1"/>
  <c r="BQ177" i="1"/>
  <c r="BF183" i="1"/>
  <c r="BN188" i="1"/>
  <c r="CG192" i="1"/>
  <c r="CD196" i="1"/>
  <c r="BE200" i="1"/>
  <c r="BO171" i="1"/>
  <c r="BE179" i="1"/>
  <c r="BS186" i="1"/>
  <c r="BZ192" i="1"/>
  <c r="CJ197" i="1"/>
  <c r="BH202" i="1"/>
  <c r="CB205" i="1"/>
  <c r="CN208" i="1"/>
  <c r="BH212" i="1"/>
  <c r="CJ170" i="1"/>
  <c r="BW178" i="1"/>
  <c r="CM185" i="1"/>
  <c r="BH192" i="1"/>
  <c r="BU197" i="1"/>
  <c r="CL201" i="1"/>
  <c r="BQ205" i="1"/>
  <c r="CC208" i="1"/>
  <c r="AW212" i="1"/>
  <c r="CK170" i="1"/>
  <c r="BX178" i="1"/>
  <c r="CN185" i="1"/>
  <c r="BI192" i="1"/>
  <c r="BV197" i="1"/>
  <c r="CM201" i="1"/>
  <c r="BR205" i="1"/>
  <c r="CD208" i="1"/>
  <c r="AX212" i="1"/>
  <c r="CL170" i="1"/>
  <c r="BY178" i="1"/>
  <c r="AZ186" i="1"/>
  <c r="BJ192" i="1"/>
  <c r="BW197" i="1"/>
  <c r="CN201" i="1"/>
  <c r="CE176" i="1"/>
  <c r="BL184" i="1"/>
  <c r="CK190" i="1"/>
  <c r="BM196" i="1"/>
  <c r="CL200" i="1"/>
  <c r="CC204" i="1"/>
  <c r="AW208" i="1"/>
  <c r="BA179" i="1"/>
  <c r="BB191" i="1"/>
  <c r="CG199" i="1"/>
  <c r="CE205" i="1"/>
  <c r="BQ210" i="1"/>
  <c r="CG214" i="1"/>
  <c r="BU181" i="1"/>
  <c r="CI192" i="1"/>
  <c r="BA201" i="1"/>
  <c r="BX206" i="1"/>
  <c r="BG211" i="1"/>
  <c r="CD171" i="1"/>
  <c r="BY184" i="1"/>
  <c r="BD195" i="1"/>
  <c r="CL202" i="1"/>
  <c r="CH207" i="1"/>
  <c r="BL212" i="1"/>
  <c r="CI172" i="1"/>
  <c r="CI185" i="1"/>
  <c r="CM195" i="1"/>
  <c r="BO203" i="1"/>
  <c r="BK208" i="1"/>
  <c r="CB212" i="1"/>
  <c r="BG175" i="1"/>
  <c r="AY188" i="1"/>
  <c r="BR197" i="1"/>
  <c r="BH204" i="1"/>
  <c r="BB209" i="1"/>
  <c r="BR213" i="1"/>
  <c r="CH180" i="1"/>
  <c r="BF192" i="1"/>
  <c r="BZ200" i="1"/>
  <c r="BL206" i="1"/>
  <c r="CN210" i="1"/>
  <c r="CM170" i="1"/>
  <c r="BB184" i="1"/>
  <c r="BY194" i="1"/>
  <c r="BU202" i="1"/>
  <c r="BN208" i="1"/>
  <c r="BE213" i="1"/>
  <c r="CE177" i="1"/>
  <c r="BB190" i="1"/>
  <c r="CM198" i="1"/>
  <c r="BH205" i="1"/>
  <c r="CN209" i="1"/>
  <c r="BL214" i="1"/>
  <c r="BL182" i="1"/>
  <c r="CE190" i="1"/>
  <c r="BI210" i="1"/>
  <c r="BA193" i="1"/>
  <c r="CA199" i="1"/>
  <c r="BZ214" i="1"/>
  <c r="CB199" i="1"/>
  <c r="AW172" i="1"/>
  <c r="BH207" i="1"/>
  <c r="AX189" i="1"/>
  <c r="BS176" i="1"/>
  <c r="BG205" i="1"/>
  <c r="BQ198" i="1"/>
  <c r="CN213" i="1"/>
  <c r="BC182" i="1"/>
  <c r="BW208" i="1"/>
  <c r="AX210" i="1"/>
  <c r="BC205" i="1"/>
  <c r="CD190" i="1"/>
  <c r="AX201" i="1"/>
  <c r="BK174" i="1"/>
  <c r="BS206" i="1"/>
  <c r="CF170" i="1"/>
  <c r="AZ174" i="1"/>
  <c r="BL177" i="1"/>
  <c r="BX180" i="1"/>
  <c r="BA171" i="1"/>
  <c r="BM174" i="1"/>
  <c r="BY177" i="1"/>
  <c r="CK180" i="1"/>
  <c r="BE184" i="1"/>
  <c r="BQ187" i="1"/>
  <c r="CC190" i="1"/>
  <c r="CH170" i="1"/>
  <c r="BB174" i="1"/>
  <c r="BN177" i="1"/>
  <c r="BZ180" i="1"/>
  <c r="CL183" i="1"/>
  <c r="BF187" i="1"/>
  <c r="BK173" i="1"/>
  <c r="CA177" i="1"/>
  <c r="AY182" i="1"/>
  <c r="AW186" i="1"/>
  <c r="CD189" i="1"/>
  <c r="BJ193" i="1"/>
  <c r="BV196" i="1"/>
  <c r="CL172" i="1"/>
  <c r="BJ177" i="1"/>
  <c r="BZ181" i="1"/>
  <c r="CB185" i="1"/>
  <c r="BR189" i="1"/>
  <c r="AY193" i="1"/>
  <c r="BK196" i="1"/>
  <c r="BI172" i="1"/>
  <c r="BY176" i="1"/>
  <c r="AW181" i="1"/>
  <c r="BA185" i="1"/>
  <c r="CK188" i="1"/>
  <c r="CL173" i="1"/>
  <c r="CC179" i="1"/>
  <c r="BH185" i="1"/>
  <c r="BH190" i="1"/>
  <c r="BP194" i="1"/>
  <c r="BG198" i="1"/>
  <c r="BS201" i="1"/>
  <c r="AZ173" i="1"/>
  <c r="CI178" i="1"/>
  <c r="BS184" i="1"/>
  <c r="BU189" i="1"/>
  <c r="CE193" i="1"/>
  <c r="CB197" i="1"/>
  <c r="CN200" i="1"/>
  <c r="AZ172" i="1"/>
  <c r="CI177" i="1"/>
  <c r="BW183" i="1"/>
  <c r="CD188" i="1"/>
  <c r="BD193" i="1"/>
  <c r="AZ197" i="1"/>
  <c r="BQ200" i="1"/>
  <c r="BA172" i="1"/>
  <c r="CL179" i="1"/>
  <c r="BC187" i="1"/>
  <c r="BE193" i="1"/>
  <c r="BJ198" i="1"/>
  <c r="BZ202" i="1"/>
  <c r="CN205" i="1"/>
  <c r="BH209" i="1"/>
  <c r="BT212" i="1"/>
  <c r="BP171" i="1"/>
  <c r="BF179" i="1"/>
  <c r="BT186" i="1"/>
  <c r="CA192" i="1"/>
  <c r="CK197" i="1"/>
  <c r="BI202" i="1"/>
  <c r="CC205" i="1"/>
  <c r="AW209" i="1"/>
  <c r="BI212" i="1"/>
  <c r="BQ171" i="1"/>
  <c r="BG179" i="1"/>
  <c r="BU186" i="1"/>
  <c r="CB192" i="1"/>
  <c r="CL197" i="1"/>
  <c r="BJ202" i="1"/>
  <c r="CD205" i="1"/>
  <c r="AX209" i="1"/>
  <c r="BJ212" i="1"/>
  <c r="CA171" i="1"/>
  <c r="BN179" i="1"/>
  <c r="CD186" i="1"/>
  <c r="CH192" i="1"/>
  <c r="AX198" i="1"/>
  <c r="BN202" i="1"/>
  <c r="BT177" i="1"/>
  <c r="CN184" i="1"/>
  <c r="BQ191" i="1"/>
  <c r="CG196" i="1"/>
  <c r="BL201" i="1"/>
  <c r="AW205" i="1"/>
  <c r="BI208" i="1"/>
  <c r="BO180" i="1"/>
  <c r="CM191" i="1"/>
  <c r="BM200" i="1"/>
  <c r="BD206" i="1"/>
  <c r="CF210" i="1"/>
  <c r="CL203" i="1"/>
  <c r="CF182" i="1"/>
  <c r="BT193" i="1"/>
  <c r="CC201" i="1"/>
  <c r="AW207" i="1"/>
  <c r="BV211" i="1"/>
  <c r="CA172" i="1"/>
  <c r="BZ185" i="1"/>
  <c r="CK195" i="1"/>
  <c r="BN203" i="1"/>
  <c r="BJ208" i="1"/>
  <c r="CA212" i="1"/>
  <c r="CJ173" i="1"/>
  <c r="CH186" i="1"/>
  <c r="BX196" i="1"/>
  <c r="CE203" i="1"/>
  <c r="CA208" i="1"/>
  <c r="AY213" i="1"/>
  <c r="BL176" i="1"/>
  <c r="CA188" i="1"/>
  <c r="BC198" i="1"/>
  <c r="CA204" i="1"/>
  <c r="BQ209" i="1"/>
  <c r="BG214" i="1"/>
  <c r="CL181" i="1"/>
  <c r="AW193" i="1"/>
  <c r="BM201" i="1"/>
  <c r="CC206" i="1"/>
  <c r="BK211" i="1"/>
  <c r="CN171" i="1"/>
  <c r="BC185" i="1"/>
  <c r="BJ195" i="1"/>
  <c r="BB203" i="1"/>
  <c r="CG208" i="1"/>
  <c r="BT213" i="1"/>
  <c r="CM178" i="1"/>
  <c r="CJ190" i="1"/>
  <c r="BZ199" i="1"/>
  <c r="BY205" i="1"/>
  <c r="BK210" i="1"/>
  <c r="CA214" i="1"/>
  <c r="BL183" i="1"/>
  <c r="BI193" i="1"/>
  <c r="BM211" i="1"/>
  <c r="BW205" i="1"/>
  <c r="BR201" i="1"/>
  <c r="BE185" i="1"/>
  <c r="BZ201" i="1"/>
  <c r="BG200" i="1"/>
  <c r="BW209" i="1"/>
  <c r="BW191" i="1"/>
  <c r="AY189" i="1"/>
  <c r="AX211" i="1"/>
  <c r="BK200" i="1"/>
  <c r="BK207" i="1"/>
  <c r="BH186" i="1"/>
  <c r="BZ209" i="1"/>
  <c r="BF212" i="1"/>
  <c r="BO206" i="1"/>
  <c r="CE206" i="1"/>
  <c r="CF202" i="1"/>
  <c r="CL178" i="1"/>
  <c r="CE207" i="1"/>
  <c r="BX171" i="1"/>
  <c r="CJ174" i="1"/>
  <c r="BD178" i="1"/>
  <c r="BP181" i="1"/>
  <c r="CK171" i="1"/>
  <c r="BE175" i="1"/>
  <c r="BQ178" i="1"/>
  <c r="CC181" i="1"/>
  <c r="AW185" i="1"/>
  <c r="BI188" i="1"/>
  <c r="BU191" i="1"/>
  <c r="BZ171" i="1"/>
  <c r="CL174" i="1"/>
  <c r="BF178" i="1"/>
  <c r="BR181" i="1"/>
  <c r="CD184" i="1"/>
  <c r="AY170" i="1"/>
  <c r="BO174" i="1"/>
  <c r="CE178" i="1"/>
  <c r="AY183" i="1"/>
  <c r="AW187" i="1"/>
  <c r="BY190" i="1"/>
  <c r="BB194" i="1"/>
  <c r="BN197" i="1"/>
  <c r="AX174" i="1"/>
  <c r="BN178" i="1"/>
  <c r="CD182" i="1"/>
  <c r="CB186" i="1"/>
  <c r="BM190" i="1"/>
  <c r="CI193" i="1"/>
  <c r="BC197" i="1"/>
  <c r="BM173" i="1"/>
  <c r="CC177" i="1"/>
  <c r="BA182" i="1"/>
  <c r="AY186" i="1"/>
  <c r="CF189" i="1"/>
  <c r="BM175" i="1"/>
  <c r="BG181" i="1"/>
  <c r="BV186" i="1"/>
  <c r="BL191" i="1"/>
  <c r="BN195" i="1"/>
  <c r="AY199" i="1"/>
  <c r="BK202" i="1"/>
  <c r="BS174" i="1"/>
  <c r="BJ180" i="1"/>
  <c r="CE185" i="1"/>
  <c r="BX190" i="1"/>
  <c r="CE194" i="1"/>
  <c r="BT198" i="1"/>
  <c r="CF201" i="1"/>
  <c r="BS173" i="1"/>
  <c r="BM179" i="1"/>
  <c r="CK184" i="1"/>
  <c r="CM189" i="1"/>
  <c r="BD194" i="1"/>
  <c r="AW198" i="1"/>
  <c r="BI201" i="1"/>
  <c r="BC174" i="1"/>
  <c r="CH181" i="1"/>
  <c r="CE188" i="1"/>
  <c r="BS194" i="1"/>
  <c r="BN199" i="1"/>
  <c r="BT203" i="1"/>
  <c r="CF206" i="1"/>
  <c r="AZ210" i="1"/>
  <c r="BL213" i="1"/>
  <c r="BO173" i="1"/>
  <c r="BB181" i="1"/>
  <c r="BF188" i="1"/>
  <c r="AX194" i="1"/>
  <c r="AW199" i="1"/>
  <c r="BI203" i="1"/>
  <c r="BU206" i="1"/>
  <c r="CG209" i="1"/>
  <c r="BA213" i="1"/>
  <c r="BP173" i="1"/>
  <c r="BC181" i="1"/>
  <c r="BG188" i="1"/>
  <c r="AY194" i="1"/>
  <c r="AX199" i="1"/>
  <c r="BJ203" i="1"/>
  <c r="BV206" i="1"/>
  <c r="CH209" i="1"/>
  <c r="BB213" i="1"/>
  <c r="BW173" i="1"/>
  <c r="BM181" i="1"/>
  <c r="BO188" i="1"/>
  <c r="BE194" i="1"/>
  <c r="BB199" i="1"/>
  <c r="CC171" i="1"/>
  <c r="BP179" i="1"/>
  <c r="CF186" i="1"/>
  <c r="CJ192" i="1"/>
  <c r="AZ198" i="1"/>
  <c r="BP202" i="1"/>
  <c r="CG205" i="1"/>
  <c r="BL170" i="1"/>
  <c r="BS183" i="1"/>
  <c r="BI194" i="1"/>
  <c r="BG202" i="1"/>
  <c r="BO207" i="1"/>
  <c r="CJ211" i="1"/>
  <c r="BZ172" i="1"/>
  <c r="BY185" i="1"/>
  <c r="CA195" i="1"/>
  <c r="BL203" i="1"/>
  <c r="BH208" i="1"/>
  <c r="BZ212" i="1"/>
  <c r="BC176" i="1"/>
  <c r="BY188" i="1"/>
  <c r="BA198" i="1"/>
  <c r="BV204" i="1"/>
  <c r="BO209" i="1"/>
  <c r="CE213" i="1"/>
  <c r="BE177" i="1"/>
  <c r="BZ189" i="1"/>
  <c r="CC198" i="1"/>
  <c r="AY205" i="1"/>
  <c r="CE209" i="1"/>
  <c r="BC214" i="1"/>
  <c r="BY179" i="1"/>
  <c r="BP191" i="1"/>
  <c r="AW200" i="1"/>
  <c r="CJ205" i="1"/>
  <c r="BU210" i="1"/>
  <c r="CM171" i="1"/>
  <c r="BB185" i="1"/>
  <c r="BI195" i="1"/>
  <c r="AZ203" i="1"/>
  <c r="CN207" i="1"/>
  <c r="BO212" i="1"/>
  <c r="BI175" i="1"/>
  <c r="BA188" i="1"/>
  <c r="BX197" i="1"/>
  <c r="BB205" i="1"/>
  <c r="BH210" i="1"/>
  <c r="BX214" i="1"/>
  <c r="BK182" i="1"/>
  <c r="BM193" i="1"/>
  <c r="BQ201" i="1"/>
  <c r="CJ206" i="1"/>
  <c r="BO211" i="1"/>
  <c r="BX173" i="1"/>
  <c r="BP186" i="1"/>
  <c r="BV199" i="1"/>
  <c r="BY214" i="1"/>
  <c r="BY175" i="1"/>
  <c r="BZ205" i="1"/>
  <c r="CE175" i="1"/>
  <c r="CA205" i="1"/>
  <c r="BL209" i="1"/>
  <c r="BA190" i="1"/>
  <c r="BF198" i="1"/>
  <c r="BC202" i="1"/>
  <c r="BO172" i="1"/>
  <c r="CH204" i="1"/>
  <c r="BP206" i="1"/>
  <c r="BH194" i="1"/>
  <c r="CL212" i="1"/>
  <c r="AW190" i="1"/>
  <c r="CA209" i="1"/>
  <c r="CK178" i="1"/>
  <c r="BR206" i="1"/>
  <c r="BD190" i="1"/>
  <c r="BA211" i="1"/>
  <c r="CJ171" i="1"/>
  <c r="BH176" i="1"/>
  <c r="CB181" i="1"/>
  <c r="BI173" i="1"/>
  <c r="CC178" i="1"/>
  <c r="BA183" i="1"/>
  <c r="BU188" i="1"/>
  <c r="CK192" i="1"/>
  <c r="BF175" i="1"/>
  <c r="BV179" i="1"/>
  <c r="AX185" i="1"/>
  <c r="CG171" i="1"/>
  <c r="BB179" i="1"/>
  <c r="CA184" i="1"/>
  <c r="CL190" i="1"/>
  <c r="BR195" i="1"/>
  <c r="BP174" i="1"/>
  <c r="BG180" i="1"/>
  <c r="AX187" i="1"/>
  <c r="CI191" i="1"/>
  <c r="BO197" i="1"/>
  <c r="BC175" i="1"/>
  <c r="BP182" i="1"/>
  <c r="CA187" i="1"/>
  <c r="CK175" i="1"/>
  <c r="BU183" i="1"/>
  <c r="CA191" i="1"/>
  <c r="AX197" i="1"/>
  <c r="BW202" i="1"/>
  <c r="CJ176" i="1"/>
  <c r="BF186" i="1"/>
  <c r="BO192" i="1"/>
  <c r="CF198" i="1"/>
  <c r="BD170" i="1"/>
  <c r="CE179" i="1"/>
  <c r="BB187" i="1"/>
  <c r="BR194" i="1"/>
  <c r="BM199" i="1"/>
  <c r="CA174" i="1"/>
  <c r="CF184" i="1"/>
  <c r="CJ194" i="1"/>
  <c r="BD201" i="1"/>
  <c r="AZ207" i="1"/>
  <c r="BP211" i="1"/>
  <c r="BD174" i="1"/>
  <c r="BH184" i="1"/>
  <c r="BT194" i="1"/>
  <c r="CH200" i="1"/>
  <c r="CG206" i="1"/>
  <c r="BE211" i="1"/>
  <c r="BE174" i="1"/>
  <c r="BI184" i="1"/>
  <c r="BU194" i="1"/>
  <c r="CI200" i="1"/>
  <c r="CH206" i="1"/>
  <c r="BF211" i="1"/>
  <c r="BF174" i="1"/>
  <c r="BJ184" i="1"/>
  <c r="BV194" i="1"/>
  <c r="CJ200" i="1"/>
  <c r="AY180" i="1"/>
  <c r="BP189" i="1"/>
  <c r="BO198" i="1"/>
  <c r="CK203" i="1"/>
  <c r="BK171" i="1"/>
  <c r="BS188" i="1"/>
  <c r="CH202" i="1"/>
  <c r="BM209" i="1"/>
  <c r="CE173" i="1"/>
  <c r="BG190" i="1"/>
  <c r="CC203" i="1"/>
  <c r="BC210" i="1"/>
  <c r="BD177" i="1"/>
  <c r="CL192" i="1"/>
  <c r="AX205" i="1"/>
  <c r="BH211" i="1"/>
  <c r="BS178" i="1"/>
  <c r="CB193" i="1"/>
  <c r="BO205" i="1"/>
  <c r="BX211" i="1"/>
  <c r="CG180" i="1"/>
  <c r="BH195" i="1"/>
  <c r="BK206" i="1"/>
  <c r="BN212" i="1"/>
  <c r="CK185" i="1"/>
  <c r="CI198" i="1"/>
  <c r="BM208" i="1"/>
  <c r="BH214" i="1"/>
  <c r="AW189" i="1"/>
  <c r="CD200" i="1"/>
  <c r="BW210" i="1"/>
  <c r="BU174" i="1"/>
  <c r="CN193" i="1"/>
  <c r="AW204" i="1"/>
  <c r="CG211" i="1"/>
  <c r="AY179" i="1"/>
  <c r="BP201" i="1"/>
  <c r="CF200" i="1"/>
  <c r="CL206" i="1"/>
  <c r="BO193" i="1"/>
  <c r="BT211" i="1"/>
  <c r="BD209" i="1"/>
  <c r="CF204" i="1"/>
  <c r="BZ191" i="1"/>
  <c r="BT195" i="1"/>
  <c r="CA203" i="1"/>
  <c r="BS192" i="1"/>
  <c r="BM182" i="1"/>
  <c r="CD207" i="1"/>
  <c r="CG202" i="1"/>
  <c r="BD172" i="1"/>
  <c r="BT176" i="1"/>
  <c r="CN181" i="1"/>
  <c r="BU173" i="1"/>
  <c r="AW179" i="1"/>
  <c r="BM183" i="1"/>
  <c r="CG188" i="1"/>
  <c r="AX170" i="1"/>
  <c r="BR175" i="1"/>
  <c r="CH179" i="1"/>
  <c r="BJ185" i="1"/>
  <c r="BG172" i="1"/>
  <c r="BQ179" i="1"/>
  <c r="AY185" i="1"/>
  <c r="BG191" i="1"/>
  <c r="CD195" i="1"/>
  <c r="CE174" i="1"/>
  <c r="BV180" i="1"/>
  <c r="BL187" i="1"/>
  <c r="BD192" i="1"/>
  <c r="CA197" i="1"/>
  <c r="BU175" i="1"/>
  <c r="CE182" i="1"/>
  <c r="AX188" i="1"/>
  <c r="BN176" i="1"/>
  <c r="CN183" i="1"/>
  <c r="AX192" i="1"/>
  <c r="BL197" i="1"/>
  <c r="CI202" i="1"/>
  <c r="BP177" i="1"/>
  <c r="BW186" i="1"/>
  <c r="CF192" i="1"/>
  <c r="AZ199" i="1"/>
  <c r="BY170" i="1"/>
  <c r="BK180" i="1"/>
  <c r="BU187" i="1"/>
  <c r="CF194" i="1"/>
  <c r="BY199" i="1"/>
  <c r="BJ175" i="1"/>
  <c r="BP185" i="1"/>
  <c r="BK195" i="1"/>
  <c r="BV201" i="1"/>
  <c r="BL207" i="1"/>
  <c r="CB211" i="1"/>
  <c r="CB174" i="1"/>
  <c r="CG184" i="1"/>
  <c r="CK194" i="1"/>
  <c r="BE201" i="1"/>
  <c r="BA207" i="1"/>
  <c r="BQ211" i="1"/>
  <c r="CC174" i="1"/>
  <c r="CH184" i="1"/>
  <c r="CN194" i="1"/>
  <c r="BF201" i="1"/>
  <c r="BB207" i="1"/>
  <c r="BR211" i="1"/>
  <c r="CG174" i="1"/>
  <c r="CL184" i="1"/>
  <c r="AW195" i="1"/>
  <c r="BJ201" i="1"/>
  <c r="CC180" i="1"/>
  <c r="AX190" i="1"/>
  <c r="CD198" i="1"/>
  <c r="BE204" i="1"/>
  <c r="BY172" i="1"/>
  <c r="BO189" i="1"/>
  <c r="BK203" i="1"/>
  <c r="CB209" i="1"/>
  <c r="AX175" i="1"/>
  <c r="BC191" i="1"/>
  <c r="BD204" i="1"/>
  <c r="BR210" i="1"/>
  <c r="BI178" i="1"/>
  <c r="BU193" i="1"/>
  <c r="BN205" i="1"/>
  <c r="BW211" i="1"/>
  <c r="BX179" i="1"/>
  <c r="BL194" i="1"/>
  <c r="CI205" i="1"/>
  <c r="CM211" i="1"/>
  <c r="BX181" i="1"/>
  <c r="CN195" i="1"/>
  <c r="CB206" i="1"/>
  <c r="CC212" i="1"/>
  <c r="CJ186" i="1"/>
  <c r="BR199" i="1"/>
  <c r="CF208" i="1"/>
  <c r="BW214" i="1"/>
  <c r="CC189" i="1"/>
  <c r="BN201" i="1"/>
  <c r="AW211" i="1"/>
  <c r="BZ175" i="1"/>
  <c r="CG194" i="1"/>
  <c r="BP204" i="1"/>
  <c r="BD212" i="1"/>
  <c r="BD180" i="1"/>
  <c r="BD203" i="1"/>
  <c r="CI208" i="1"/>
  <c r="BB208" i="1"/>
  <c r="BY195" i="1"/>
  <c r="CB213" i="1"/>
  <c r="AX181" i="1"/>
  <c r="AY206" i="1"/>
  <c r="BF194" i="1"/>
  <c r="BU199" i="1"/>
  <c r="CI204" i="1"/>
  <c r="CB194" i="1"/>
  <c r="CC202" i="1"/>
  <c r="CK208" i="1"/>
  <c r="AY204" i="1"/>
  <c r="BP172" i="1"/>
  <c r="BX177" i="1"/>
  <c r="BH182" i="1"/>
  <c r="BY174" i="1"/>
  <c r="BI179" i="1"/>
  <c r="BQ184" i="1"/>
  <c r="BA189" i="1"/>
  <c r="BB171" i="1"/>
  <c r="CD175" i="1"/>
  <c r="CL180" i="1"/>
  <c r="BV185" i="1"/>
  <c r="BZ173" i="1"/>
  <c r="CI179" i="1"/>
  <c r="BK186" i="1"/>
  <c r="BT191" i="1"/>
  <c r="CH196" i="1"/>
  <c r="BB175" i="1"/>
  <c r="AZ182" i="1"/>
  <c r="BZ187" i="1"/>
  <c r="BK193" i="1"/>
  <c r="BA170" i="1"/>
  <c r="CN176" i="1"/>
  <c r="BC183" i="1"/>
  <c r="BF189" i="1"/>
  <c r="CI176" i="1"/>
  <c r="CD185" i="1"/>
  <c r="BN192" i="1"/>
  <c r="BS198" i="1"/>
  <c r="BC170" i="1"/>
  <c r="BL179" i="1"/>
  <c r="BA187" i="1"/>
  <c r="BA194" i="1"/>
  <c r="BL199" i="1"/>
  <c r="BU172" i="1"/>
  <c r="CF180" i="1"/>
  <c r="BC189" i="1"/>
  <c r="BB195" i="1"/>
  <c r="CC200" i="1"/>
  <c r="AY176" i="1"/>
  <c r="CB187" i="1"/>
  <c r="CG195" i="1"/>
  <c r="CN202" i="1"/>
  <c r="BX207" i="1"/>
  <c r="CF212" i="1"/>
  <c r="BK175" i="1"/>
  <c r="BD187" i="1"/>
  <c r="BL195" i="1"/>
  <c r="CA202" i="1"/>
  <c r="BM207" i="1"/>
  <c r="BU212" i="1"/>
  <c r="BL175" i="1"/>
  <c r="BG187" i="1"/>
  <c r="BM195" i="1"/>
  <c r="CB202" i="1"/>
  <c r="BN207" i="1"/>
  <c r="BV212" i="1"/>
  <c r="BV175" i="1"/>
  <c r="BH187" i="1"/>
  <c r="BQ195" i="1"/>
  <c r="BM170" i="1"/>
  <c r="BO181" i="1"/>
  <c r="CL191" i="1"/>
  <c r="BD199" i="1"/>
  <c r="BI205" i="1"/>
  <c r="CD173" i="1"/>
  <c r="BX192" i="1"/>
  <c r="CB203" i="1"/>
  <c r="BC211" i="1"/>
  <c r="CG175" i="1"/>
  <c r="BJ194" i="1"/>
  <c r="BU204" i="1"/>
  <c r="CK211" i="1"/>
  <c r="BW179" i="1"/>
  <c r="BU196" i="1"/>
  <c r="CH205" i="1"/>
  <c r="AX213" i="1"/>
  <c r="CB180" i="1"/>
  <c r="BQ197" i="1"/>
  <c r="BG206" i="1"/>
  <c r="BQ213" i="1"/>
  <c r="CK182" i="1"/>
  <c r="CH198" i="1"/>
  <c r="BC207" i="1"/>
  <c r="CK214" i="1"/>
  <c r="AZ188" i="1"/>
  <c r="CJ201" i="1"/>
  <c r="BC209" i="1"/>
  <c r="BD173" i="1"/>
  <c r="CB190" i="1"/>
  <c r="BR203" i="1"/>
  <c r="BL211" i="1"/>
  <c r="BC180" i="1"/>
  <c r="BW195" i="1"/>
  <c r="AZ206" i="1"/>
  <c r="BS212" i="1"/>
  <c r="BU184" i="1"/>
  <c r="BO204" i="1"/>
  <c r="BN214" i="1"/>
  <c r="BF209" i="1"/>
  <c r="BG203" i="1"/>
  <c r="BK172" i="1"/>
  <c r="CL193" i="1"/>
  <c r="BS208" i="1"/>
  <c r="BE202" i="1"/>
  <c r="BO201" i="1"/>
  <c r="CD210" i="1"/>
  <c r="CL196" i="1"/>
  <c r="BJ213" i="1"/>
  <c r="CM209" i="1"/>
  <c r="CL208" i="1"/>
  <c r="BH173" i="1"/>
  <c r="CB178" i="1"/>
  <c r="BI170" i="1"/>
  <c r="CC175" i="1"/>
  <c r="BA180" i="1"/>
  <c r="BU185" i="1"/>
  <c r="CK189" i="1"/>
  <c r="BF172" i="1"/>
  <c r="BV176" i="1"/>
  <c r="AX182" i="1"/>
  <c r="BN186" i="1"/>
  <c r="BA175" i="1"/>
  <c r="CM180" i="1"/>
  <c r="BY187" i="1"/>
  <c r="BP192" i="1"/>
  <c r="BO170" i="1"/>
  <c r="BF176" i="1"/>
  <c r="BP183" i="1"/>
  <c r="BW188" i="1"/>
  <c r="BO194" i="1"/>
  <c r="BE171" i="1"/>
  <c r="BO178" i="1"/>
  <c r="BA184" i="1"/>
  <c r="BW170" i="1"/>
  <c r="BJ178" i="1"/>
  <c r="BS187" i="1"/>
  <c r="BP193" i="1"/>
  <c r="BW199" i="1"/>
  <c r="BV171" i="1"/>
  <c r="BH181" i="1"/>
  <c r="BM188" i="1"/>
  <c r="BO195" i="1"/>
  <c r="BD200" i="1"/>
  <c r="BT174" i="1"/>
  <c r="BG182" i="1"/>
  <c r="CA190" i="1"/>
  <c r="BB196" i="1"/>
  <c r="CG201" i="1"/>
  <c r="CM177" i="1"/>
  <c r="CG189" i="1"/>
  <c r="BA197" i="1"/>
  <c r="AZ204" i="1"/>
  <c r="BP208" i="1"/>
  <c r="CJ213" i="1"/>
  <c r="BG177" i="1"/>
  <c r="BK189" i="1"/>
  <c r="BZ196" i="1"/>
  <c r="CG203" i="1"/>
  <c r="BE208" i="1"/>
  <c r="BY213" i="1"/>
  <c r="BH177" i="1"/>
  <c r="BL189" i="1"/>
  <c r="CA196" i="1"/>
  <c r="CH203" i="1"/>
  <c r="BF208" i="1"/>
  <c r="BZ213" i="1"/>
  <c r="BR177" i="1"/>
  <c r="BN189" i="1"/>
  <c r="CE196" i="1"/>
  <c r="CJ172" i="1"/>
  <c r="BI183" i="1"/>
  <c r="CC193" i="1"/>
  <c r="BH200" i="1"/>
  <c r="BM206" i="1"/>
  <c r="AY177" i="1"/>
  <c r="BZ195" i="1"/>
  <c r="CM204" i="1"/>
  <c r="BY212" i="1"/>
  <c r="BO179" i="1"/>
  <c r="BJ197" i="1"/>
  <c r="CF205" i="1"/>
  <c r="BO213" i="1"/>
  <c r="CI182" i="1"/>
  <c r="BH199" i="1"/>
  <c r="AX207" i="1"/>
  <c r="BT214" i="1"/>
  <c r="CI183" i="1"/>
  <c r="CN199" i="1"/>
  <c r="BS207" i="1"/>
  <c r="CJ214" i="1"/>
  <c r="CJ185" i="1"/>
  <c r="BK201" i="1"/>
  <c r="BL208" i="1"/>
  <c r="BG174" i="1"/>
  <c r="BV190" i="1"/>
  <c r="CJ203" i="1"/>
  <c r="BG210" i="1"/>
  <c r="BV177" i="1"/>
  <c r="AZ193" i="1"/>
  <c r="CL205" i="1"/>
  <c r="BP212" i="1"/>
  <c r="BK184" i="1"/>
  <c r="CF197" i="1"/>
  <c r="CB207" i="1"/>
  <c r="BW213" i="1"/>
  <c r="BP188" i="1"/>
  <c r="AZ208" i="1"/>
  <c r="BD184" i="1"/>
  <c r="BR212" i="1"/>
  <c r="BC208" i="1"/>
  <c r="BI200" i="1"/>
  <c r="BS203" i="1"/>
  <c r="BT192" i="1"/>
  <c r="BJ207" i="1"/>
  <c r="BE173" i="1"/>
  <c r="BF173" i="1"/>
  <c r="BV202" i="1"/>
  <c r="CN186" i="1"/>
  <c r="BG213" i="1"/>
  <c r="BI213" i="1"/>
  <c r="BL174" i="1"/>
  <c r="CN178" i="1"/>
  <c r="BM171" i="1"/>
  <c r="AW176" i="1"/>
  <c r="BE181" i="1"/>
  <c r="CG185" i="1"/>
  <c r="AW191" i="1"/>
  <c r="BR172" i="1"/>
  <c r="BZ177" i="1"/>
  <c r="BJ182" i="1"/>
  <c r="BR187" i="1"/>
  <c r="BS175" i="1"/>
  <c r="BN182" i="1"/>
  <c r="CM187" i="1"/>
  <c r="BV193" i="1"/>
  <c r="CD170" i="1"/>
  <c r="CB177" i="1"/>
  <c r="CD183" i="1"/>
  <c r="CE189" i="1"/>
  <c r="CA194" i="1"/>
  <c r="BX172" i="1"/>
  <c r="CG178" i="1"/>
  <c r="BO185" i="1"/>
  <c r="AW171" i="1"/>
  <c r="BI180" i="1"/>
  <c r="CJ187" i="1"/>
  <c r="CD194" i="1"/>
  <c r="CI199" i="1"/>
  <c r="BR173" i="1"/>
  <c r="CF181" i="1"/>
  <c r="CL189" i="1"/>
  <c r="CC195" i="1"/>
  <c r="BH201" i="1"/>
  <c r="AW175" i="1"/>
  <c r="AX184" i="1"/>
  <c r="AY191" i="1"/>
  <c r="BP197" i="1"/>
  <c r="BA202" i="1"/>
  <c r="BR180" i="1"/>
  <c r="BK190" i="1"/>
  <c r="BY198" i="1"/>
  <c r="BL204" i="1"/>
  <c r="BT209" i="1"/>
  <c r="BD214" i="1"/>
  <c r="CM179" i="1"/>
  <c r="CH189" i="1"/>
  <c r="BK198" i="1"/>
  <c r="BA204" i="1"/>
  <c r="BI209" i="1"/>
  <c r="CK213" i="1"/>
  <c r="CN179" i="1"/>
  <c r="CI189" i="1"/>
  <c r="BL198" i="1"/>
  <c r="BB204" i="1"/>
  <c r="BJ209" i="1"/>
  <c r="CL213" i="1"/>
  <c r="AW180" i="1"/>
  <c r="CN189" i="1"/>
  <c r="BM198" i="1"/>
  <c r="BY173" i="1"/>
  <c r="BW185" i="1"/>
  <c r="BG194" i="1"/>
  <c r="CA201" i="1"/>
  <c r="BY206" i="1"/>
  <c r="BT181" i="1"/>
  <c r="BS196" i="1"/>
  <c r="BW206" i="1"/>
  <c r="CN212" i="1"/>
  <c r="BT183" i="1"/>
  <c r="AY198" i="1"/>
  <c r="BP207" i="1"/>
  <c r="CD213" i="1"/>
  <c r="CG186" i="1"/>
  <c r="CM199" i="1"/>
  <c r="BZ208" i="1"/>
  <c r="CI214" i="1"/>
  <c r="CH187" i="1"/>
  <c r="BX200" i="1"/>
  <c r="BA209" i="1"/>
  <c r="BV214" i="1"/>
  <c r="CA189" i="1"/>
  <c r="CI201" i="1"/>
  <c r="CI209" i="1"/>
  <c r="BH175" i="1"/>
  <c r="CJ193" i="1"/>
  <c r="BI204" i="1"/>
  <c r="BZ211" i="1"/>
  <c r="BZ178" i="1"/>
  <c r="BC196" i="1"/>
  <c r="BN206" i="1"/>
  <c r="CI213" i="1"/>
  <c r="BF185" i="1"/>
  <c r="BJ200" i="1"/>
  <c r="BA208" i="1"/>
  <c r="BI171" i="1"/>
  <c r="BF171" i="1"/>
  <c r="BQ212" i="1"/>
  <c r="BC188" i="1"/>
  <c r="CC194" i="1"/>
  <c r="BK209" i="1"/>
  <c r="CE211" i="1"/>
  <c r="CM205" i="1"/>
  <c r="BP187" i="1"/>
  <c r="BV208" i="1"/>
  <c r="BI189" i="1"/>
  <c r="CC173" i="1"/>
  <c r="BW207" i="1"/>
  <c r="BC190" i="1"/>
  <c r="BJ183" i="1"/>
  <c r="BM214" i="1"/>
  <c r="BX174" i="1"/>
  <c r="BH179" i="1"/>
  <c r="BY171" i="1"/>
  <c r="BI176" i="1"/>
  <c r="BQ181" i="1"/>
  <c r="BA186" i="1"/>
  <c r="BI191" i="1"/>
  <c r="CD172" i="1"/>
  <c r="CL177" i="1"/>
  <c r="BV182" i="1"/>
  <c r="CD187" i="1"/>
  <c r="CH175" i="1"/>
  <c r="CC182" i="1"/>
  <c r="BH188" i="1"/>
  <c r="CH193" i="1"/>
  <c r="BD171" i="1"/>
  <c r="AY178" i="1"/>
  <c r="AZ184" i="1"/>
  <c r="AZ190" i="1"/>
  <c r="CM194" i="1"/>
  <c r="CM172" i="1"/>
  <c r="BD179" i="1"/>
  <c r="CC185" i="1"/>
  <c r="BU171" i="1"/>
  <c r="CD180" i="1"/>
  <c r="BL188" i="1"/>
  <c r="AZ195" i="1"/>
  <c r="BC200" i="1"/>
  <c r="CM173" i="1"/>
  <c r="BF182" i="1"/>
  <c r="BI190" i="1"/>
  <c r="BA196" i="1"/>
  <c r="BT201" i="1"/>
  <c r="BO175" i="1"/>
  <c r="BT184" i="1"/>
  <c r="BN191" i="1"/>
  <c r="CC197" i="1"/>
  <c r="BM202" i="1"/>
  <c r="BA181" i="1"/>
  <c r="CF190" i="1"/>
  <c r="CN198" i="1"/>
  <c r="BX204" i="1"/>
  <c r="CF209" i="1"/>
  <c r="BP214" i="1"/>
  <c r="BS180" i="1"/>
  <c r="BN190" i="1"/>
  <c r="BZ198" i="1"/>
  <c r="BM204" i="1"/>
  <c r="BU209" i="1"/>
  <c r="BE214" i="1"/>
  <c r="BT180" i="1"/>
  <c r="BO190" i="1"/>
  <c r="CA198" i="1"/>
  <c r="BN204" i="1"/>
  <c r="BV209" i="1"/>
  <c r="BF214" i="1"/>
  <c r="CA180" i="1"/>
  <c r="BP190" i="1"/>
  <c r="CB198" i="1"/>
  <c r="BH174" i="1"/>
  <c r="BD186" i="1"/>
  <c r="BX194" i="1"/>
  <c r="AX202" i="1"/>
  <c r="CK206" i="1"/>
  <c r="BX182" i="1"/>
  <c r="BI197" i="1"/>
  <c r="CN206" i="1"/>
  <c r="BK213" i="1"/>
  <c r="BX184" i="1"/>
  <c r="BL171" i="1"/>
  <c r="BD181" i="1"/>
  <c r="BE178" i="1"/>
  <c r="AW188" i="1"/>
  <c r="BZ174" i="1"/>
  <c r="BR184" i="1"/>
  <c r="BM178" i="1"/>
  <c r="BL190" i="1"/>
  <c r="CA173" i="1"/>
  <c r="BL186" i="1"/>
  <c r="CI196" i="1"/>
  <c r="CA181" i="1"/>
  <c r="CM174" i="1"/>
  <c r="CN190" i="1"/>
  <c r="AY202" i="1"/>
  <c r="BK185" i="1"/>
  <c r="BH198" i="1"/>
  <c r="CJ178" i="1"/>
  <c r="CF193" i="1"/>
  <c r="BN173" i="1"/>
  <c r="AW194" i="1"/>
  <c r="BT206" i="1"/>
  <c r="CF172" i="1"/>
  <c r="BY193" i="1"/>
  <c r="BI206" i="1"/>
  <c r="CG172" i="1"/>
  <c r="BZ193" i="1"/>
  <c r="BJ206" i="1"/>
  <c r="CH172" i="1"/>
  <c r="CA193" i="1"/>
  <c r="CA178" i="1"/>
  <c r="BY197" i="1"/>
  <c r="BZ170" i="1"/>
  <c r="CB201" i="1"/>
  <c r="CB171" i="1"/>
  <c r="BO202" i="1"/>
  <c r="BS214" i="1"/>
  <c r="BX198" i="1"/>
  <c r="CH210" i="1"/>
  <c r="BE191" i="1"/>
  <c r="BP209" i="1"/>
  <c r="CJ183" i="1"/>
  <c r="AZ205" i="1"/>
  <c r="BU177" i="1"/>
  <c r="BQ203" i="1"/>
  <c r="CH213" i="1"/>
  <c r="CJ198" i="1"/>
  <c r="BI214" i="1"/>
  <c r="BL196" i="1"/>
  <c r="CC210" i="1"/>
  <c r="CB179" i="1"/>
  <c r="AX180" i="1"/>
  <c r="BA191" i="1"/>
  <c r="CA207" i="1"/>
  <c r="BK204" i="1"/>
  <c r="AY208" i="1"/>
  <c r="BD182" i="1"/>
  <c r="CH194" i="1"/>
  <c r="BE212" i="1"/>
  <c r="CB172" i="1"/>
  <c r="BT182" i="1"/>
  <c r="BU179" i="1"/>
  <c r="BM189" i="1"/>
  <c r="AX176" i="1"/>
  <c r="CH185" i="1"/>
  <c r="BF180" i="1"/>
  <c r="CH191" i="1"/>
  <c r="BT175" i="1"/>
  <c r="CN187" i="1"/>
  <c r="BP170" i="1"/>
  <c r="BQ183" i="1"/>
  <c r="BO177" i="1"/>
  <c r="CE192" i="1"/>
  <c r="BX170" i="1"/>
  <c r="BT187" i="1"/>
  <c r="BX199" i="1"/>
  <c r="BI181" i="1"/>
  <c r="BP195" i="1"/>
  <c r="BZ176" i="1"/>
  <c r="BF196" i="1"/>
  <c r="CJ207" i="1"/>
  <c r="AZ176" i="1"/>
  <c r="CH195" i="1"/>
  <c r="BY207" i="1"/>
  <c r="BA176" i="1"/>
  <c r="CI195" i="1"/>
  <c r="BZ207" i="1"/>
  <c r="BB176" i="1"/>
  <c r="CJ195" i="1"/>
  <c r="CM181" i="1"/>
  <c r="BS199" i="1"/>
  <c r="CH174" i="1"/>
  <c r="BC204" i="1"/>
  <c r="BC177" i="1"/>
  <c r="CK202" i="1"/>
  <c r="CH214" i="1"/>
  <c r="BV200" i="1"/>
  <c r="BP213" i="1"/>
  <c r="BB192" i="1"/>
  <c r="BE210" i="1"/>
  <c r="CM184" i="1"/>
  <c r="BS205" i="1"/>
  <c r="BU178" i="1"/>
  <c r="CB204" i="1"/>
  <c r="BI174" i="1"/>
  <c r="BT199" i="1"/>
  <c r="CM214" i="1"/>
  <c r="CN196" i="1"/>
  <c r="AZ211" i="1"/>
  <c r="BC184" i="1"/>
  <c r="AZ191" i="1"/>
  <c r="BS204" i="1"/>
  <c r="BB212" i="1"/>
  <c r="AX177" i="1"/>
  <c r="BB211" i="1"/>
  <c r="BI186" i="1"/>
  <c r="AW197" i="1"/>
  <c r="BW174" i="1"/>
  <c r="CN172" i="1"/>
  <c r="AW170" i="1"/>
  <c r="CG179" i="1"/>
  <c r="BY189" i="1"/>
  <c r="BJ176" i="1"/>
  <c r="BB186" i="1"/>
  <c r="BU180" i="1"/>
  <c r="BC192" i="1"/>
  <c r="CI175" i="1"/>
  <c r="BJ188" i="1"/>
  <c r="CE170" i="1"/>
  <c r="CE183" i="1"/>
  <c r="CG177" i="1"/>
  <c r="BB193" i="1"/>
  <c r="AX171" i="1"/>
  <c r="CK187" i="1"/>
  <c r="CJ199" i="1"/>
  <c r="CG181" i="1"/>
  <c r="CF195" i="1"/>
  <c r="BF177" i="1"/>
  <c r="BY196" i="1"/>
  <c r="BD208" i="1"/>
  <c r="CA176" i="1"/>
  <c r="BG196" i="1"/>
  <c r="CK207" i="1"/>
  <c r="CB176" i="1"/>
  <c r="BH196" i="1"/>
  <c r="CL207" i="1"/>
  <c r="CC176" i="1"/>
  <c r="BI196" i="1"/>
  <c r="BY182" i="1"/>
  <c r="CH199" i="1"/>
  <c r="CF175" i="1"/>
  <c r="BT204" i="1"/>
  <c r="BH178" i="1"/>
  <c r="CN204" i="1"/>
  <c r="CI173" i="1"/>
  <c r="BB201" i="1"/>
  <c r="BB214" i="1"/>
  <c r="CM192" i="1"/>
  <c r="BT210" i="1"/>
  <c r="BU190" i="1"/>
  <c r="BT207" i="1"/>
  <c r="CL182" i="1"/>
  <c r="BA205" i="1"/>
  <c r="BQ176" i="1"/>
  <c r="AY200" i="1"/>
  <c r="BH171" i="1"/>
  <c r="CK200" i="1"/>
  <c r="CK212" i="1"/>
  <c r="BV195" i="1"/>
  <c r="BN193" i="1"/>
  <c r="CM206" i="1"/>
  <c r="BR183" i="1"/>
  <c r="BS181" i="1"/>
  <c r="CK191" i="1"/>
  <c r="CK198" i="1"/>
  <c r="AX204" i="1"/>
  <c r="BE199" i="1"/>
  <c r="BD175" i="1"/>
  <c r="BE172" i="1"/>
  <c r="AW182" i="1"/>
  <c r="CG191" i="1"/>
  <c r="BR178" i="1"/>
  <c r="BN170" i="1"/>
  <c r="BO183" i="1"/>
  <c r="BN194" i="1"/>
  <c r="CF178" i="1"/>
  <c r="BZ190" i="1"/>
  <c r="CB173" i="1"/>
  <c r="BO186" i="1"/>
  <c r="CE181" i="1"/>
  <c r="CB195" i="1"/>
  <c r="CN174" i="1"/>
  <c r="AX191" i="1"/>
  <c r="AZ202" i="1"/>
  <c r="BL185" i="1"/>
  <c r="BI198" i="1"/>
  <c r="BQ182" i="1"/>
  <c r="CC199" i="1"/>
  <c r="BL210" i="1"/>
  <c r="CI181" i="1"/>
  <c r="BO199" i="1"/>
  <c r="BA210" i="1"/>
  <c r="CJ181" i="1"/>
  <c r="BP199" i="1"/>
  <c r="BB210" i="1"/>
  <c r="CK181" i="1"/>
  <c r="BQ199" i="1"/>
  <c r="BJ187" i="1"/>
  <c r="CE202" i="1"/>
  <c r="BW184" i="1"/>
  <c r="CF207" i="1"/>
  <c r="CE186" i="1"/>
  <c r="BM205" i="1"/>
  <c r="AY175" i="1"/>
  <c r="CD201" i="1"/>
  <c r="CG213" i="1"/>
  <c r="BB198" i="1"/>
  <c r="CI210" i="1"/>
  <c r="BE192" i="1"/>
  <c r="CM207" i="1"/>
  <c r="CM183" i="1"/>
  <c r="BT205" i="1"/>
  <c r="CA179" i="1"/>
  <c r="CD204" i="1"/>
  <c r="BM172" i="1"/>
  <c r="BD202" i="1"/>
  <c r="BH213" i="1"/>
  <c r="CE197" i="1"/>
  <c r="BX195" i="1"/>
  <c r="BS211" i="1"/>
  <c r="BD196" i="1"/>
  <c r="BT185" i="1"/>
  <c r="BR196" i="1"/>
  <c r="CE200" i="1"/>
  <c r="BJ205" i="1"/>
  <c r="CD197" i="1"/>
  <c r="BP175" i="1"/>
  <c r="BQ172" i="1"/>
  <c r="BI182" i="1"/>
  <c r="BA192" i="1"/>
  <c r="CD178" i="1"/>
  <c r="CC170" i="1"/>
  <c r="CC183" i="1"/>
  <c r="BZ194" i="1"/>
  <c r="BC179" i="1"/>
  <c r="CM190" i="1"/>
  <c r="AY174" i="1"/>
  <c r="CC186" i="1"/>
  <c r="BE182" i="1"/>
  <c r="AZ196" i="1"/>
  <c r="BN175" i="1"/>
  <c r="BM191" i="1"/>
  <c r="BL202" i="1"/>
  <c r="CF185" i="1"/>
  <c r="BU198" i="1"/>
  <c r="CN182" i="1"/>
  <c r="AZ200" i="1"/>
  <c r="BX210" i="1"/>
  <c r="BR182" i="1"/>
  <c r="CD199" i="1"/>
  <c r="BM210" i="1"/>
  <c r="BS182" i="1"/>
  <c r="CE199" i="1"/>
  <c r="BN210" i="1"/>
  <c r="BW182" i="1"/>
  <c r="CF199" i="1"/>
  <c r="CI187" i="1"/>
  <c r="BA203" i="1"/>
  <c r="BX185" i="1"/>
  <c r="BG208" i="1"/>
  <c r="BW187" i="1"/>
  <c r="CG207" i="1"/>
  <c r="BQ180" i="1"/>
  <c r="CD203" i="1"/>
  <c r="BJ204" i="1"/>
  <c r="BI199" i="1"/>
  <c r="BI211" i="1"/>
  <c r="CN192" i="1"/>
  <c r="BF210" i="1"/>
  <c r="CM188" i="1"/>
  <c r="BD207" i="1"/>
  <c r="CI180" i="1"/>
  <c r="BV205" i="1"/>
  <c r="BG173" i="1"/>
  <c r="CD202" i="1"/>
  <c r="BN172" i="1"/>
  <c r="BX205" i="1"/>
  <c r="BF203" i="1"/>
  <c r="BW212" i="1"/>
  <c r="BB202" i="1"/>
  <c r="BH189" i="1"/>
  <c r="BR198" i="1"/>
  <c r="CH208" i="1"/>
  <c r="AY211" i="1"/>
  <c r="CB175" i="1"/>
  <c r="CC172" i="1"/>
  <c r="BU182" i="1"/>
  <c r="BM192" i="1"/>
  <c r="AX179" i="1"/>
  <c r="BC171" i="1"/>
  <c r="AY184" i="1"/>
  <c r="CL194" i="1"/>
  <c r="BR179" i="1"/>
  <c r="BH191" i="1"/>
  <c r="BQ174" i="1"/>
  <c r="AY187" i="1"/>
  <c r="BZ182" i="1"/>
  <c r="BN196" i="1"/>
  <c r="CL175" i="1"/>
  <c r="CB191" i="1"/>
  <c r="BX202" i="1"/>
  <c r="BG186" i="1"/>
  <c r="CG198" i="1"/>
  <c r="BX183" i="1"/>
  <c r="BR200" i="1"/>
  <c r="CJ210" i="1"/>
  <c r="AW183" i="1"/>
  <c r="BA200" i="1"/>
  <c r="BY210" i="1"/>
  <c r="AX183" i="1"/>
  <c r="BB200" i="1"/>
  <c r="BZ210" i="1"/>
  <c r="BG183" i="1"/>
  <c r="BF200" i="1"/>
  <c r="BQ188" i="1"/>
  <c r="BM203" i="1"/>
  <c r="BR186" i="1"/>
  <c r="BX208" i="1"/>
  <c r="BT188" i="1"/>
  <c r="BY208" i="1"/>
  <c r="BV181" i="1"/>
  <c r="BF204" i="1"/>
  <c r="BS170" i="1"/>
  <c r="BC201" i="1"/>
  <c r="CF213" i="1"/>
  <c r="CG193" i="1"/>
  <c r="CM210" i="1"/>
  <c r="CB189" i="1"/>
  <c r="BU207" i="1"/>
  <c r="BB182" i="1"/>
  <c r="CD206" i="1"/>
  <c r="AZ181" i="1"/>
  <c r="BE203" i="1"/>
  <c r="BV174" i="1"/>
  <c r="CI206" i="1"/>
  <c r="BR204" i="1"/>
  <c r="CA213" i="1"/>
  <c r="BO208" i="1"/>
  <c r="BZ203" i="1"/>
  <c r="BL200" i="1"/>
  <c r="CE210" i="1"/>
  <c r="BC212" i="1"/>
  <c r="CN175" i="1"/>
  <c r="AW173" i="1"/>
  <c r="CG182" i="1"/>
  <c r="BY192" i="1"/>
  <c r="BJ179" i="1"/>
  <c r="BR171" i="1"/>
  <c r="BM184" i="1"/>
  <c r="BF195" i="1"/>
  <c r="CJ179" i="1"/>
  <c r="BV191" i="1"/>
  <c r="CF174" i="1"/>
  <c r="BM187" i="1"/>
  <c r="BD183" i="1"/>
  <c r="CB196" i="1"/>
  <c r="BO176" i="1"/>
  <c r="AY192" i="1"/>
  <c r="CJ202" i="1"/>
  <c r="BX186" i="1"/>
  <c r="BA199" i="1"/>
  <c r="BG184" i="1"/>
  <c r="CG200" i="1"/>
  <c r="BD211" i="1"/>
  <c r="CA183" i="1"/>
  <c r="BS200" i="1"/>
  <c r="CK210" i="1"/>
  <c r="CB183" i="1"/>
  <c r="BT200" i="1"/>
  <c r="CL210" i="1"/>
  <c r="CF183" i="1"/>
  <c r="BU200" i="1"/>
  <c r="CN188" i="1"/>
  <c r="BY203" i="1"/>
  <c r="BV187" i="1"/>
  <c r="CM208" i="1"/>
  <c r="BW189" i="1"/>
  <c r="AY209" i="1"/>
  <c r="BX187" i="1"/>
  <c r="BF206" i="1"/>
  <c r="AZ175" i="1"/>
  <c r="CH201" i="1"/>
  <c r="BU214" i="1"/>
  <c r="BM194" i="1"/>
  <c r="BJ211" i="1"/>
  <c r="BW194" i="1"/>
  <c r="BR209" i="1"/>
  <c r="BC186" i="1"/>
  <c r="BF207" i="1"/>
  <c r="BK183" i="1"/>
  <c r="BX203" i="1"/>
  <c r="CA175" i="1"/>
  <c r="BU213" i="1"/>
  <c r="BJ210" i="1"/>
  <c r="CE204" i="1"/>
  <c r="BP210" i="1"/>
  <c r="BB206" i="1"/>
  <c r="BF202" i="1"/>
  <c r="CI211" i="1"/>
  <c r="BI187" i="1"/>
  <c r="BP178" i="1"/>
  <c r="BQ175" i="1"/>
  <c r="BI185" i="1"/>
  <c r="CL171" i="1"/>
  <c r="CD181" i="1"/>
  <c r="CD174" i="1"/>
  <c r="BK187" i="1"/>
  <c r="AZ170" i="1"/>
  <c r="AZ183" i="1"/>
  <c r="BC194" i="1"/>
  <c r="AZ178" i="1"/>
  <c r="BB170" i="1"/>
  <c r="AZ187" i="1"/>
  <c r="BK199" i="1"/>
  <c r="CE180" i="1"/>
  <c r="BA195" i="1"/>
  <c r="CN173" i="1"/>
  <c r="BJ190" i="1"/>
  <c r="BU201" i="1"/>
  <c r="BJ189" i="1"/>
  <c r="CF203" i="1"/>
  <c r="BX213" i="1"/>
  <c r="CF188" i="1"/>
  <c r="BU203" i="1"/>
  <c r="BM213" i="1"/>
  <c r="CH188" i="1"/>
  <c r="BV203" i="1"/>
  <c r="BN213" i="1"/>
  <c r="CL188" i="1"/>
  <c r="BL172" i="1"/>
  <c r="BL193" i="1"/>
  <c r="BA206" i="1"/>
  <c r="AX195" i="1"/>
  <c r="BG212" i="1"/>
  <c r="BT196" i="1"/>
  <c r="CC209" i="1"/>
  <c r="BR190" i="1"/>
  <c r="AZ209" i="1"/>
  <c r="BW181" i="1"/>
  <c r="BG204" i="1"/>
  <c r="CF171" i="1"/>
  <c r="BY200" i="1"/>
  <c r="AY212" i="1"/>
  <c r="CJ196" i="1"/>
  <c r="AZ212" i="1"/>
  <c r="BS191" i="1"/>
  <c r="BS209" i="1"/>
  <c r="BN187" i="1"/>
  <c r="BI207" i="1"/>
  <c r="CF177" i="1"/>
  <c r="BR176" i="1"/>
  <c r="BJ171" i="1"/>
  <c r="BX191" i="1"/>
  <c r="CM193" i="1"/>
  <c r="CB210" i="1"/>
  <c r="AX214" i="1"/>
  <c r="AY214" i="1"/>
  <c r="CI194" i="1"/>
  <c r="CJ177" i="1"/>
  <c r="BN171" i="1"/>
  <c r="CA186" i="1"/>
  <c r="BW193" i="1"/>
  <c r="BE186" i="1"/>
  <c r="BQ194" i="1"/>
  <c r="AW201" i="1"/>
  <c r="AZ213" i="1"/>
  <c r="CG212" i="1"/>
  <c r="CH212" i="1"/>
  <c r="BL192" i="1"/>
  <c r="BU211" i="1"/>
  <c r="BX189" i="1"/>
  <c r="BR202" i="1"/>
  <c r="BY211" i="1"/>
  <c r="CM186" i="1"/>
  <c r="BQ206" i="1"/>
  <c r="BN211" i="1"/>
  <c r="BX209" i="1"/>
  <c r="BW192" i="1"/>
  <c r="BT179" i="1"/>
  <c r="AX173" i="1"/>
  <c r="BV188" i="1"/>
  <c r="BG195" i="1"/>
  <c r="CB188" i="1"/>
  <c r="BO196" i="1"/>
  <c r="BY202" i="1"/>
  <c r="CB214" i="1"/>
  <c r="BQ214" i="1"/>
  <c r="BR214" i="1"/>
  <c r="AY195" i="1"/>
  <c r="CC213" i="1"/>
  <c r="BD191" i="1"/>
  <c r="BW204" i="1"/>
  <c r="CB170" i="1"/>
  <c r="BK192" i="1"/>
  <c r="BT208" i="1"/>
  <c r="BE180" i="1"/>
  <c r="CF211" i="1"/>
  <c r="BG197" i="1"/>
  <c r="CF179" i="1"/>
  <c r="BJ173" i="1"/>
  <c r="CI188" i="1"/>
  <c r="BS195" i="1"/>
  <c r="AZ189" i="1"/>
  <c r="CC196" i="1"/>
  <c r="BE170" i="1"/>
  <c r="CN214" i="1"/>
  <c r="CC214" i="1"/>
  <c r="CD214" i="1"/>
  <c r="BU195" i="1"/>
  <c r="AZ214" i="1"/>
  <c r="AW192" i="1"/>
  <c r="CA206" i="1"/>
  <c r="BC173" i="1"/>
  <c r="CK196" i="1"/>
  <c r="CJ208" i="1"/>
  <c r="BV184" i="1"/>
  <c r="CD177" i="1"/>
  <c r="AY201" i="1"/>
  <c r="CJ180" i="1"/>
  <c r="BN174" i="1"/>
  <c r="AY190" i="1"/>
  <c r="BW196" i="1"/>
  <c r="BW190" i="1"/>
  <c r="CN197" i="1"/>
  <c r="CE172" i="1"/>
  <c r="BB172" i="1"/>
  <c r="BC172" i="1"/>
  <c r="BJ172" i="1"/>
  <c r="BH197" i="1"/>
  <c r="BQ170" i="1"/>
  <c r="BK197" i="1"/>
  <c r="AY207" i="1"/>
  <c r="BM176" i="1"/>
  <c r="BE198" i="1"/>
  <c r="BG209" i="1"/>
  <c r="BR188" i="1"/>
  <c r="BB178" i="1"/>
  <c r="AW210" i="1"/>
  <c r="CK174" i="1"/>
  <c r="BF181" i="1"/>
  <c r="BB197" i="1"/>
  <c r="BK177" i="1"/>
  <c r="CE198" i="1"/>
  <c r="BA173" i="1"/>
  <c r="BE188" i="1"/>
  <c r="CE187" i="1"/>
  <c r="CF187" i="1"/>
  <c r="CG187" i="1"/>
  <c r="BU205" i="1"/>
  <c r="BC195" i="1"/>
  <c r="BZ206" i="1"/>
  <c r="CA170" i="1"/>
  <c r="AW196" i="1"/>
  <c r="BV207" i="1"/>
  <c r="AW177" i="1"/>
  <c r="BG207" i="1"/>
  <c r="CH211" i="1"/>
  <c r="BU176" i="1"/>
  <c r="CH182" i="1"/>
  <c r="BS171" i="1"/>
  <c r="BS179" i="1"/>
  <c r="BO200" i="1"/>
  <c r="CM175" i="1"/>
  <c r="BF191" i="1"/>
  <c r="CG190" i="1"/>
  <c r="CH190" i="1"/>
  <c r="CI190" i="1"/>
  <c r="BE207" i="1"/>
  <c r="BW198" i="1"/>
  <c r="CD209" i="1"/>
  <c r="BB173" i="1"/>
  <c r="BS197" i="1"/>
  <c r="CK209" i="1"/>
  <c r="BG185" i="1"/>
  <c r="BE196" i="1"/>
  <c r="CN203" i="1"/>
  <c r="CG176" i="1"/>
  <c r="BB183" i="1"/>
  <c r="CH171" i="1"/>
  <c r="CK179" i="1"/>
  <c r="CA200" i="1"/>
  <c r="BP176" i="1"/>
  <c r="CD191" i="1"/>
  <c r="BJ191" i="1"/>
  <c r="BK191" i="1"/>
  <c r="BO191" i="1"/>
  <c r="BQ207" i="1"/>
  <c r="BG199" i="1"/>
  <c r="BD210" i="1"/>
  <c r="BS177" i="1"/>
  <c r="BD198" i="1"/>
  <c r="CA211" i="1"/>
  <c r="BO187" i="1"/>
  <c r="CM213" i="1"/>
  <c r="BF213" i="1"/>
  <c r="CK177" i="1"/>
  <c r="BF184" i="1"/>
  <c r="BL173" i="1"/>
  <c r="BL181" i="1"/>
  <c r="CE201" i="1"/>
  <c r="BL178" i="1"/>
  <c r="BX193" i="1"/>
  <c r="BF193" i="1"/>
  <c r="BG193" i="1"/>
  <c r="BH193" i="1"/>
  <c r="BU208" i="1"/>
  <c r="CL199" i="1"/>
  <c r="BS210" i="1"/>
  <c r="BT178" i="1"/>
  <c r="BT202" i="1"/>
  <c r="BA212" i="1"/>
  <c r="BW175" i="1"/>
  <c r="CL198" i="1"/>
  <c r="AZ179" i="1"/>
  <c r="CC184" i="1"/>
  <c r="AW174" i="1"/>
  <c r="BO182" i="1"/>
  <c r="BS189" i="1"/>
  <c r="CD179" i="1"/>
  <c r="BV189" i="1"/>
  <c r="BH203" i="1"/>
  <c r="AW203" i="1"/>
  <c r="AX203" i="1"/>
  <c r="CN170" i="1"/>
  <c r="BS193" i="1"/>
  <c r="BN209" i="1"/>
  <c r="BK176" i="1"/>
  <c r="BJ199" i="1"/>
  <c r="CJ209" i="1"/>
  <c r="BJ186" i="1"/>
  <c r="BO210" i="1"/>
  <c r="BX212" i="1"/>
  <c r="CM212" i="1"/>
  <c r="AZ171" i="1"/>
  <c r="BR174" i="1"/>
  <c r="AW206" i="1"/>
  <c r="BA214" i="1"/>
  <c r="BU192" i="1"/>
  <c r="BM186" i="1"/>
  <c r="CA182" i="1"/>
  <c r="BZ204" i="1"/>
  <c r="CJ182" i="1"/>
  <c r="AY181" i="1"/>
  <c r="BY186" i="1"/>
  <c r="BE183" i="1"/>
  <c r="CL204" i="1"/>
  <c r="BZ188" i="1"/>
  <c r="BQ186" i="1"/>
  <c r="CC187" i="1"/>
  <c r="CJ184" i="1"/>
  <c r="AX206" i="1"/>
  <c r="BT190" i="1"/>
  <c r="BG171" i="1"/>
  <c r="BE176" i="1"/>
  <c r="CC191" i="1"/>
  <c r="CI174" i="1"/>
  <c r="BS202" i="1"/>
  <c r="BN198" i="1"/>
  <c r="BW176" i="1"/>
  <c r="AZ192" i="1"/>
  <c r="BX175" i="1"/>
  <c r="AY203" i="1"/>
  <c r="CA210" i="1"/>
  <c r="AX178" i="1"/>
  <c r="BR193" i="1"/>
  <c r="BC178" i="1"/>
  <c r="BP203" i="1"/>
  <c r="CI212" i="1"/>
  <c r="BN184" i="1"/>
  <c r="CJ204" i="1"/>
  <c r="CI197" i="1"/>
  <c r="CD212" i="1"/>
  <c r="BJ174" i="1"/>
  <c r="CB184" i="1"/>
  <c r="BD205" i="1"/>
  <c r="BV198" i="1"/>
  <c r="BD213" i="1"/>
  <c r="BS172" i="1"/>
  <c r="CK204" i="1"/>
  <c r="AW213" i="1"/>
  <c r="BY191" i="1"/>
  <c r="BH206" i="1"/>
  <c r="BY204" i="1"/>
  <c r="BS213" i="1"/>
  <c r="AZ201" i="1"/>
  <c r="BK212" i="1"/>
  <c r="BD188" i="1"/>
  <c r="BV192" i="1"/>
  <c r="AX172" i="1"/>
  <c r="BH183" i="1"/>
  <c r="AX186" i="1"/>
  <c r="BG64" i="1"/>
  <c r="BM64" i="1"/>
  <c r="CD64" i="1"/>
  <c r="BT64" i="1"/>
  <c r="BO64" i="1"/>
  <c r="CL64" i="1"/>
  <c r="CN64" i="1"/>
  <c r="CM64" i="1"/>
  <c r="BS64" i="1"/>
  <c r="BI64" i="1"/>
  <c r="BV64" i="1"/>
  <c r="BY64" i="1"/>
  <c r="BN64" i="1"/>
  <c r="CC64" i="1"/>
  <c r="BF64" i="1"/>
  <c r="CB64" i="1"/>
  <c r="CA64" i="1"/>
  <c r="CE64" i="1"/>
  <c r="BL64" i="1"/>
  <c r="BE64" i="1"/>
  <c r="BD64" i="1"/>
  <c r="BU64" i="1"/>
  <c r="BH64" i="1"/>
  <c r="CI64" i="1"/>
  <c r="CK64" i="1"/>
  <c r="BX64" i="1"/>
  <c r="CJ64" i="1"/>
  <c r="BA64" i="1"/>
  <c r="BK64" i="1"/>
  <c r="BW64" i="1"/>
  <c r="CH64" i="1"/>
  <c r="AX64" i="1"/>
  <c r="BJ64" i="1"/>
  <c r="BZ64" i="1"/>
  <c r="BR64" i="1"/>
  <c r="AW69" i="1" a="1"/>
  <c r="AW64" i="1"/>
  <c r="BC64" i="1"/>
  <c r="BB64" i="1"/>
  <c r="CG64" i="1"/>
  <c r="BQ64" i="1"/>
  <c r="CF64" i="1"/>
  <c r="AZ64" i="1"/>
  <c r="BP64" i="1"/>
  <c r="AY64" i="1"/>
  <c r="BO258" i="1" l="1"/>
  <c r="CD227" i="1"/>
  <c r="CD239" i="1"/>
  <c r="BW238" i="1"/>
  <c r="AW240" i="1"/>
  <c r="CK258" i="1"/>
  <c r="CD254" i="1"/>
  <c r="AW231" i="1"/>
  <c r="CH256" i="1"/>
  <c r="BD255" i="1"/>
  <c r="CF243" i="1"/>
  <c r="BU228" i="1"/>
  <c r="BB260" i="1"/>
  <c r="CJ243" i="1"/>
  <c r="CH233" i="1"/>
  <c r="BK257" i="1"/>
  <c r="BZ226" i="1"/>
  <c r="BY254" i="1"/>
  <c r="BS251" i="1"/>
  <c r="CL253" i="1"/>
  <c r="BC259" i="1"/>
  <c r="CF260" i="1"/>
  <c r="BK241" i="1"/>
  <c r="BP252" i="1"/>
  <c r="CN243" i="1"/>
  <c r="BB235" i="1"/>
  <c r="CA235" i="1"/>
  <c r="CG219" i="1"/>
  <c r="BF246" i="1"/>
  <c r="CJ254" i="1"/>
  <c r="CE254" i="1"/>
  <c r="BZ249" i="1"/>
  <c r="BG262" i="1"/>
  <c r="BG246" i="1"/>
  <c r="AY241" i="1"/>
  <c r="BH250" i="1"/>
  <c r="CI232" i="1"/>
  <c r="BK229" i="1"/>
  <c r="BQ244" i="1"/>
  <c r="BN229" i="1"/>
  <c r="CJ230" i="1"/>
  <c r="BU256" i="1"/>
  <c r="CM261" i="1"/>
  <c r="BU224" i="1"/>
  <c r="CE235" i="1"/>
  <c r="BQ223" i="1"/>
  <c r="BK231" i="1"/>
  <c r="AY257" i="1"/>
  <c r="BH239" i="1"/>
  <c r="BR246" i="1"/>
  <c r="BI244" i="1"/>
  <c r="BB234" i="1"/>
  <c r="BS252" i="1"/>
  <c r="BB224" i="1"/>
  <c r="BX247" i="1"/>
  <c r="BZ259" i="1"/>
  <c r="CA249" i="1"/>
  <c r="CN227" i="1"/>
  <c r="AX220" i="1"/>
  <c r="BR241" i="1"/>
  <c r="BW237" i="1"/>
  <c r="CF222" i="1"/>
  <c r="CE258" i="1"/>
  <c r="BQ247" i="1"/>
  <c r="CC224" i="1"/>
  <c r="AW222" i="1"/>
  <c r="BA221" i="1"/>
  <c r="BE228" i="1"/>
  <c r="BU251" i="1"/>
  <c r="BC234" i="1"/>
  <c r="CJ241" i="1"/>
  <c r="BW233" i="1"/>
  <c r="BP245" i="1"/>
  <c r="CM225" i="1"/>
  <c r="BK220" i="1"/>
  <c r="CM237" i="1"/>
  <c r="BE223" i="1"/>
  <c r="BW253" i="1"/>
  <c r="CB260" i="1"/>
  <c r="BE243" i="1"/>
  <c r="CG248" i="1"/>
  <c r="BW260" i="1"/>
  <c r="CG239" i="1"/>
  <c r="CG227" i="1"/>
  <c r="BA224" i="1"/>
  <c r="CF259" i="1"/>
  <c r="BI255" i="1"/>
  <c r="BR238" i="1"/>
  <c r="CA231" i="1"/>
  <c r="BR248" i="1"/>
  <c r="BZ241" i="1"/>
  <c r="BH222" i="1"/>
  <c r="BV240" i="1"/>
  <c r="CC257" i="1"/>
  <c r="BI235" i="1"/>
  <c r="BZ246" i="1"/>
  <c r="CG234" i="1"/>
  <c r="BI228" i="1"/>
  <c r="BH225" i="1"/>
  <c r="BP241" i="1"/>
  <c r="CM219" i="1"/>
  <c r="CE261" i="1"/>
  <c r="BL261" i="1"/>
  <c r="BZ257" i="1"/>
  <c r="CK243" i="1"/>
  <c r="CK247" i="1"/>
  <c r="CH225" i="1"/>
  <c r="CJ223" i="1"/>
  <c r="AW219" i="1" a="1"/>
  <c r="CH244" i="1"/>
  <c r="AY225" i="1"/>
  <c r="CB251" i="1"/>
  <c r="BX255" i="1"/>
  <c r="BZ235" i="1"/>
  <c r="BA237" i="1"/>
  <c r="CG242" i="1"/>
  <c r="BX229" i="1"/>
  <c r="CC251" i="1"/>
  <c r="BV242" i="1"/>
  <c r="CE227" i="1"/>
  <c r="AX233" i="1"/>
  <c r="BD238" i="1"/>
  <c r="BQ249" i="1"/>
  <c r="CC229" i="1"/>
  <c r="BE233" i="1"/>
  <c r="BT261" i="1"/>
  <c r="BQ257" i="1"/>
  <c r="BD254" i="1"/>
  <c r="AX246" i="1"/>
  <c r="BA227" i="1"/>
  <c r="CC256" i="1"/>
  <c r="CJ245" i="1"/>
  <c r="CB248" i="1"/>
  <c r="BK227" i="1"/>
  <c r="BB225" i="1"/>
  <c r="BV226" i="1"/>
  <c r="BO232" i="1"/>
  <c r="CC240" i="1"/>
  <c r="BC236" i="1"/>
  <c r="CM247" i="1"/>
  <c r="BG242" i="1"/>
  <c r="BL237" i="1"/>
  <c r="CG237" i="1"/>
  <c r="CC223" i="1"/>
  <c r="CL241" i="1"/>
  <c r="BQ245" i="1"/>
  <c r="CB250" i="1"/>
  <c r="BR259" i="1"/>
  <c r="CB259" i="1"/>
  <c r="CA251" i="1"/>
  <c r="BH243" i="1"/>
  <c r="BG238" i="1"/>
  <c r="BH232" i="1"/>
  <c r="BK250" i="1"/>
  <c r="BC245" i="1"/>
  <c r="CE226" i="1"/>
  <c r="BQ226" i="1"/>
  <c r="BF260" i="1"/>
  <c r="BR249" i="1"/>
  <c r="BX228" i="1"/>
  <c r="CN261" i="1"/>
  <c r="CE238" i="1"/>
  <c r="BG223" i="1"/>
  <c r="AW256" i="1"/>
  <c r="BZ240" i="1"/>
  <c r="BV231" i="1"/>
  <c r="CK234" i="1"/>
  <c r="CK219" i="1"/>
  <c r="BK260" i="1"/>
  <c r="BU240" i="1"/>
  <c r="AY249" i="1"/>
  <c r="BA240" i="1"/>
  <c r="CG261" i="1"/>
  <c r="CK260" i="1"/>
  <c r="CH262" i="1"/>
  <c r="BH221" i="1"/>
  <c r="CH253" i="1"/>
  <c r="CF254" i="1"/>
  <c r="BK255" i="1"/>
  <c r="BR240" i="1"/>
  <c r="BA262" i="1"/>
  <c r="CG224" i="1"/>
  <c r="CG238" i="1"/>
  <c r="CK250" i="1"/>
  <c r="CH243" i="1"/>
  <c r="CF220" i="1"/>
  <c r="BK261" i="1"/>
  <c r="BF262" i="1"/>
  <c r="BA256" i="1"/>
  <c r="BA246" i="1"/>
  <c r="BR229" i="1"/>
  <c r="BK248" i="1"/>
  <c r="CK236" i="1"/>
  <c r="BH253" i="1"/>
  <c r="CK238" i="1"/>
  <c r="BF239" i="1"/>
  <c r="BF229" i="1"/>
  <c r="BW252" i="1"/>
  <c r="CH260" i="1"/>
  <c r="BA254" i="1"/>
  <c r="BP258" i="1"/>
  <c r="BA258" i="1"/>
  <c r="BH219" i="1"/>
  <c r="CH242" i="1"/>
  <c r="CH261" i="1"/>
  <c r="CF257" i="1"/>
  <c r="AW228" i="1"/>
  <c r="AW237" i="1"/>
  <c r="BK219" i="1"/>
  <c r="CJ242" i="1"/>
  <c r="BW250" i="1"/>
  <c r="BH242" i="1"/>
  <c r="CG257" i="1"/>
  <c r="BH255" i="1"/>
  <c r="BF240" i="1"/>
  <c r="BU229" i="1"/>
  <c r="BR255" i="1"/>
  <c r="BF245" i="1"/>
  <c r="BW224" i="1"/>
  <c r="AZ237" i="1"/>
  <c r="CB258" i="1"/>
  <c r="AY260" i="1"/>
  <c r="BL241" i="1"/>
  <c r="BU249" i="1"/>
  <c r="BK235" i="1"/>
  <c r="CH238" i="1"/>
  <c r="BE231" i="1"/>
  <c r="BF232" i="1"/>
  <c r="BR230" i="1"/>
  <c r="CB232" i="1"/>
  <c r="BH251" i="1"/>
  <c r="BW235" i="1"/>
  <c r="CF255" i="1"/>
  <c r="CF223" i="1"/>
  <c r="CH239" i="1"/>
  <c r="CF241" i="1"/>
  <c r="CK254" i="1"/>
  <c r="CF248" i="1"/>
  <c r="BH224" i="1"/>
  <c r="CH257" i="1"/>
  <c r="CH229" i="1"/>
  <c r="AY234" i="1"/>
  <c r="BF227" i="1"/>
  <c r="BG252" i="1"/>
  <c r="BF254" i="1"/>
  <c r="AW221" i="1"/>
  <c r="AY235" i="1"/>
  <c r="AY259" i="1"/>
  <c r="BW232" i="1"/>
  <c r="BF256" i="1"/>
  <c r="CK237" i="1"/>
  <c r="CK230" i="1"/>
  <c r="CG223" i="1"/>
  <c r="BK223" i="1"/>
  <c r="CK242" i="1"/>
  <c r="BM258" i="1"/>
  <c r="BE230" i="1"/>
  <c r="BP223" i="1"/>
  <c r="BM253" i="1"/>
  <c r="BH226" i="1"/>
  <c r="AW245" i="1"/>
  <c r="CB255" i="1"/>
  <c r="BK237" i="1"/>
  <c r="CK262" i="1"/>
  <c r="CK259" i="1"/>
  <c r="AY252" i="1"/>
  <c r="BR247" i="1"/>
  <c r="BW221" i="1"/>
  <c r="BU254" i="1"/>
  <c r="BK258" i="1"/>
  <c r="BA220" i="1"/>
  <c r="AW229" i="1"/>
  <c r="AW220" i="1"/>
  <c r="CJ252" i="1"/>
  <c r="BG233" i="1"/>
  <c r="AW258" i="1"/>
  <c r="CK244" i="1"/>
  <c r="BW240" i="1"/>
  <c r="CH249" i="1"/>
  <c r="BR225" i="1"/>
  <c r="CF228" i="1"/>
  <c r="CK256" i="1"/>
  <c r="BA255" i="1"/>
  <c r="CF242" i="1"/>
  <c r="CG253" i="1"/>
  <c r="CD219" i="1"/>
  <c r="BN248" i="1"/>
  <c r="CL243" i="1"/>
  <c r="CD242" i="1"/>
  <c r="BY250" i="1"/>
  <c r="CI243" i="1"/>
  <c r="CC258" i="1"/>
  <c r="BT232" i="1"/>
  <c r="CD235" i="1"/>
  <c r="CD221" i="1"/>
  <c r="BI227" i="1"/>
  <c r="CD228" i="1"/>
  <c r="BY259" i="1"/>
  <c r="BN251" i="1"/>
  <c r="BO244" i="1"/>
  <c r="BJ256" i="1"/>
  <c r="BO221" i="1"/>
  <c r="BD237" i="1"/>
  <c r="BN222" i="1"/>
  <c r="BN219" i="1"/>
  <c r="CO64" i="1"/>
  <c r="BJ235" i="1"/>
  <c r="BY233" i="1"/>
  <c r="BX249" i="1"/>
  <c r="BD236" i="1"/>
  <c r="BD253" i="1"/>
  <c r="CA258" i="1"/>
  <c r="BM234" i="1"/>
  <c r="CC232" i="1"/>
  <c r="BX237" i="1"/>
  <c r="CJ225" i="1"/>
  <c r="BT244" i="1"/>
  <c r="AZ226" i="1"/>
  <c r="CJ227" i="1"/>
  <c r="CM258" i="1"/>
  <c r="BV243" i="1"/>
  <c r="BB262" i="1"/>
  <c r="BV248" i="1"/>
  <c r="CE240" i="1"/>
  <c r="BT230" i="1"/>
  <c r="BL244" i="1"/>
  <c r="CD261" i="1"/>
  <c r="BY221" i="1"/>
  <c r="AW219" i="1"/>
  <c r="BS223" i="1"/>
  <c r="BI261" i="1"/>
  <c r="CJ251" i="1"/>
  <c r="BG235" i="1"/>
  <c r="BS246" i="1"/>
  <c r="BY222" i="1"/>
  <c r="BN249" i="1"/>
  <c r="BL242" i="1"/>
  <c r="BO237" i="1"/>
  <c r="CI239" i="1"/>
  <c r="CA257" i="1"/>
  <c r="CE223" i="1"/>
  <c r="BX262" i="1"/>
  <c r="BO257" i="1"/>
  <c r="BO255" i="1"/>
  <c r="BO228" i="1"/>
  <c r="BN227" i="1"/>
  <c r="CN248" i="1"/>
  <c r="CC227" i="1"/>
  <c r="AZ222" i="1"/>
  <c r="BG253" i="1"/>
  <c r="AX241" i="1"/>
  <c r="BQ238" i="1"/>
  <c r="BP246" i="1"/>
  <c r="BZ232" i="1"/>
  <c r="BP228" i="1"/>
  <c r="CH231" i="1"/>
  <c r="BC246" i="1"/>
  <c r="BI260" i="1"/>
  <c r="AX260" i="1"/>
  <c r="BJ244" i="1"/>
  <c r="BD233" i="1"/>
  <c r="CJ232" i="1"/>
  <c r="BG260" i="1"/>
  <c r="BC242" i="1"/>
  <c r="BY251" i="1"/>
  <c r="BG232" i="1"/>
  <c r="BO256" i="1"/>
  <c r="BG234" i="1"/>
  <c r="CB224" i="1"/>
  <c r="BB241" i="1"/>
  <c r="AW267" i="1" a="1"/>
  <c r="CN244" i="1"/>
  <c r="CB220" i="1"/>
  <c r="BI262" i="1"/>
  <c r="CL225" i="1"/>
  <c r="BI219" i="1"/>
  <c r="BM246" i="1"/>
  <c r="AX232" i="1"/>
  <c r="BG261" i="1"/>
  <c r="AZ256" i="1"/>
  <c r="BL223" i="1"/>
  <c r="BN240" i="1"/>
  <c r="CB261" i="1"/>
  <c r="CC237" i="1"/>
  <c r="BX227" i="1"/>
  <c r="CN242" i="1"/>
  <c r="BZ253" i="1"/>
  <c r="BV252" i="1"/>
  <c r="BG250" i="1"/>
  <c r="BP221" i="1"/>
  <c r="BM227" i="1"/>
  <c r="BL239" i="1"/>
  <c r="BE241" i="1"/>
  <c r="CB245" i="1"/>
  <c r="CL221" i="1"/>
  <c r="CL220" i="1"/>
  <c r="BB222" i="1"/>
  <c r="BS224" i="1"/>
  <c r="BC247" i="1"/>
  <c r="CE262" i="1"/>
  <c r="BG237" i="1"/>
  <c r="CE219" i="1"/>
  <c r="CF239" i="1"/>
  <c r="CM248" i="1"/>
  <c r="CL246" i="1"/>
  <c r="BD258" i="1"/>
  <c r="BB245" i="1"/>
  <c r="BV236" i="1"/>
  <c r="BL240" i="1"/>
  <c r="BX250" i="1"/>
  <c r="AX227" i="1"/>
  <c r="BJ252" i="1"/>
  <c r="BN223" i="1"/>
  <c r="BI230" i="1"/>
  <c r="CJ229" i="1"/>
  <c r="CI244" i="1"/>
  <c r="CM242" i="1"/>
  <c r="CD220" i="1"/>
  <c r="CC221" i="1"/>
  <c r="CI249" i="1"/>
  <c r="CN237" i="1"/>
  <c r="BN262" i="1"/>
  <c r="CJ249" i="1"/>
  <c r="BU244" i="1"/>
  <c r="CL239" i="1"/>
  <c r="BU260" i="1"/>
  <c r="CD233" i="1"/>
  <c r="BD257" i="1"/>
  <c r="CB241" i="1"/>
  <c r="BS236" i="1"/>
  <c r="BD249" i="1"/>
  <c r="BG228" i="1"/>
  <c r="CL260" i="1"/>
  <c r="BD226" i="1"/>
  <c r="BL231" i="1"/>
  <c r="BV259" i="1"/>
  <c r="AW253" i="1"/>
  <c r="BI250" i="1"/>
  <c r="CE241" i="1"/>
  <c r="BE248" i="1"/>
  <c r="BG224" i="1"/>
  <c r="CH245" i="1"/>
  <c r="BC261" i="1"/>
  <c r="CL259" i="1"/>
  <c r="AY258" i="1"/>
  <c r="CN251" i="1"/>
  <c r="BJ220" i="1"/>
  <c r="BV232" i="1"/>
  <c r="CC244" i="1"/>
  <c r="AX221" i="1"/>
  <c r="AX262" i="1"/>
  <c r="CN252" i="1"/>
  <c r="CE231" i="1"/>
  <c r="BT247" i="1"/>
  <c r="AZ224" i="1"/>
  <c r="BT254" i="1"/>
  <c r="BV257" i="1"/>
  <c r="CM227" i="1"/>
  <c r="BZ225" i="1"/>
  <c r="BV250" i="1"/>
  <c r="CE244" i="1"/>
  <c r="BN234" i="1"/>
  <c r="CM257" i="1"/>
  <c r="BN253" i="1"/>
  <c r="CD246" i="1"/>
  <c r="BJ223" i="1"/>
  <c r="AX240" i="1"/>
  <c r="BS226" i="1"/>
  <c r="BN247" i="1"/>
  <c r="BN226" i="1"/>
  <c r="CA256" i="1"/>
  <c r="BL249" i="1"/>
  <c r="CI219" i="1"/>
  <c r="BY229" i="1"/>
  <c r="BY228" i="1"/>
  <c r="CM251" i="1"/>
  <c r="BV261" i="1"/>
  <c r="CE256" i="1"/>
  <c r="BZ234" i="1"/>
  <c r="BY252" i="1"/>
  <c r="CI245" i="1"/>
  <c r="CM223" i="1"/>
  <c r="BC220" i="1"/>
  <c r="BT227" i="1"/>
  <c r="BJ227" i="1"/>
  <c r="CI254" i="1"/>
  <c r="BC252" i="1"/>
  <c r="CN235" i="1"/>
  <c r="BD230" i="1"/>
  <c r="BI245" i="1"/>
  <c r="BN252" i="1"/>
  <c r="CA242" i="1"/>
  <c r="BJ245" i="1"/>
  <c r="BN237" i="1"/>
  <c r="AX230" i="1"/>
  <c r="BJ261" i="1"/>
  <c r="BZ221" i="1"/>
  <c r="CI256" i="1"/>
  <c r="AX245" i="1"/>
  <c r="BV247" i="1"/>
  <c r="BY227" i="1"/>
  <c r="BC224" i="1"/>
  <c r="BS242" i="1"/>
  <c r="BT246" i="1"/>
  <c r="BM223" i="1"/>
  <c r="BS232" i="1"/>
  <c r="CD237" i="1"/>
  <c r="AX249" i="1"/>
  <c r="BB238" i="1"/>
  <c r="CI251" i="1"/>
  <c r="BQ250" i="1"/>
  <c r="CJ239" i="1"/>
  <c r="BT237" i="1"/>
  <c r="AZ233" i="1"/>
  <c r="AZ228" i="1"/>
  <c r="AW69" i="1"/>
  <c r="BH69" i="1"/>
  <c r="BX69" i="1"/>
  <c r="CL69" i="1"/>
  <c r="BH70" i="1"/>
  <c r="BV70" i="1"/>
  <c r="CJ70" i="1"/>
  <c r="BH71" i="1"/>
  <c r="BV71" i="1"/>
  <c r="CJ71" i="1"/>
  <c r="BF72" i="1"/>
  <c r="BT72" i="1"/>
  <c r="CJ72" i="1"/>
  <c r="BF73" i="1"/>
  <c r="BT73" i="1"/>
  <c r="CH73" i="1"/>
  <c r="BD74" i="1"/>
  <c r="BT74" i="1"/>
  <c r="CH74" i="1"/>
  <c r="BD75" i="1"/>
  <c r="BR75" i="1"/>
  <c r="CF75" i="1"/>
  <c r="BD76" i="1"/>
  <c r="BR76" i="1"/>
  <c r="CF76" i="1"/>
  <c r="BB77" i="1"/>
  <c r="AY69" i="1"/>
  <c r="BN69" i="1"/>
  <c r="CC69" i="1"/>
  <c r="AZ70" i="1"/>
  <c r="BQ70" i="1"/>
  <c r="CF70" i="1"/>
  <c r="BC71" i="1"/>
  <c r="BT71" i="1"/>
  <c r="CI71" i="1"/>
  <c r="BG72" i="1"/>
  <c r="BX72" i="1"/>
  <c r="CM72" i="1"/>
  <c r="BJ73" i="1"/>
  <c r="CA73" i="1"/>
  <c r="AX74" i="1"/>
  <c r="BM74" i="1"/>
  <c r="CB74" i="1"/>
  <c r="BA75" i="1"/>
  <c r="BP75" i="1"/>
  <c r="CE75" i="1"/>
  <c r="BE76" i="1"/>
  <c r="BT76" i="1"/>
  <c r="CI76" i="1"/>
  <c r="BH77" i="1"/>
  <c r="BV77" i="1"/>
  <c r="CJ77" i="1"/>
  <c r="BF78" i="1"/>
  <c r="BT78" i="1"/>
  <c r="CJ78" i="1"/>
  <c r="BF79" i="1"/>
  <c r="BT79" i="1"/>
  <c r="CH79" i="1"/>
  <c r="BD80" i="1"/>
  <c r="BT80" i="1"/>
  <c r="CH80" i="1"/>
  <c r="BD81" i="1"/>
  <c r="BR81" i="1"/>
  <c r="CF81" i="1"/>
  <c r="BD82" i="1"/>
  <c r="BR82" i="1"/>
  <c r="CF82" i="1"/>
  <c r="BB83" i="1"/>
  <c r="BP83" i="1"/>
  <c r="CF83" i="1"/>
  <c r="BB84" i="1"/>
  <c r="BP84" i="1"/>
  <c r="CD84" i="1"/>
  <c r="AZ85" i="1"/>
  <c r="BP85" i="1"/>
  <c r="CD85" i="1"/>
  <c r="AY86" i="1"/>
  <c r="BL86" i="1"/>
  <c r="BY86" i="1"/>
  <c r="CL86" i="1"/>
  <c r="BG87" i="1"/>
  <c r="BT87" i="1"/>
  <c r="CG87" i="1"/>
  <c r="BC88" i="1"/>
  <c r="BP88" i="1"/>
  <c r="CC88" i="1"/>
  <c r="AX89" i="1"/>
  <c r="BK89" i="1"/>
  <c r="BX89" i="1"/>
  <c r="CK89" i="1"/>
  <c r="BF90" i="1"/>
  <c r="BS90" i="1"/>
  <c r="CF90" i="1"/>
  <c r="BA91" i="1"/>
  <c r="BO91" i="1"/>
  <c r="CB91" i="1"/>
  <c r="AW92" i="1"/>
  <c r="BI92" i="1"/>
  <c r="BU92" i="1"/>
  <c r="CG92" i="1"/>
  <c r="BA93" i="1"/>
  <c r="BM93" i="1"/>
  <c r="BY93" i="1"/>
  <c r="CK93" i="1"/>
  <c r="BE94" i="1"/>
  <c r="BQ94" i="1"/>
  <c r="CC94" i="1"/>
  <c r="AW95" i="1"/>
  <c r="BI95" i="1"/>
  <c r="BU95" i="1"/>
  <c r="CG95" i="1"/>
  <c r="BA96" i="1"/>
  <c r="BM96" i="1"/>
  <c r="BY96" i="1"/>
  <c r="CK96" i="1"/>
  <c r="BE97" i="1"/>
  <c r="BQ97" i="1"/>
  <c r="CC97" i="1"/>
  <c r="AW98" i="1"/>
  <c r="BI98" i="1"/>
  <c r="BU98" i="1"/>
  <c r="CG98" i="1"/>
  <c r="BA99" i="1"/>
  <c r="BM99" i="1"/>
  <c r="BY99" i="1"/>
  <c r="CK99" i="1"/>
  <c r="BE100" i="1"/>
  <c r="BQ100" i="1"/>
  <c r="CC100" i="1"/>
  <c r="AW101" i="1"/>
  <c r="BI101" i="1"/>
  <c r="BU101" i="1"/>
  <c r="CG101" i="1"/>
  <c r="BA102" i="1"/>
  <c r="BM102" i="1"/>
  <c r="BY102" i="1"/>
  <c r="CK102" i="1"/>
  <c r="BE103" i="1"/>
  <c r="BQ103" i="1"/>
  <c r="CC103" i="1"/>
  <c r="AW104" i="1"/>
  <c r="BI104" i="1"/>
  <c r="BU104" i="1"/>
  <c r="CG104" i="1"/>
  <c r="BA105" i="1"/>
  <c r="BM105" i="1"/>
  <c r="BY105" i="1"/>
  <c r="CK105" i="1"/>
  <c r="BE106" i="1"/>
  <c r="BQ106" i="1"/>
  <c r="CC106" i="1"/>
  <c r="AW107" i="1"/>
  <c r="BI107" i="1"/>
  <c r="BU107" i="1"/>
  <c r="CG107" i="1"/>
  <c r="BA108" i="1"/>
  <c r="BM108" i="1"/>
  <c r="BY108" i="1"/>
  <c r="CK108" i="1"/>
  <c r="BE109" i="1"/>
  <c r="BQ109" i="1"/>
  <c r="CC109" i="1"/>
  <c r="AW110" i="1"/>
  <c r="BI110" i="1"/>
  <c r="BU110" i="1"/>
  <c r="CG110" i="1"/>
  <c r="BA111" i="1"/>
  <c r="BM111" i="1"/>
  <c r="BY111" i="1"/>
  <c r="CK111" i="1"/>
  <c r="BE112" i="1"/>
  <c r="BQ112" i="1"/>
  <c r="CC112" i="1"/>
  <c r="BB69" i="1"/>
  <c r="BQ69" i="1"/>
  <c r="CF69" i="1"/>
  <c r="BE70" i="1"/>
  <c r="BT70" i="1"/>
  <c r="CI70" i="1"/>
  <c r="BI71" i="1"/>
  <c r="BX71" i="1"/>
  <c r="CM71" i="1"/>
  <c r="BL72" i="1"/>
  <c r="CA72" i="1"/>
  <c r="AX73" i="1"/>
  <c r="BO73" i="1"/>
  <c r="CD73" i="1"/>
  <c r="BA74" i="1"/>
  <c r="BP74" i="1"/>
  <c r="CG74" i="1"/>
  <c r="BE75" i="1"/>
  <c r="BT75" i="1"/>
  <c r="CK75" i="1"/>
  <c r="BH76" i="1"/>
  <c r="BC69" i="1"/>
  <c r="BT69" i="1"/>
  <c r="CN69" i="1"/>
  <c r="BO70" i="1"/>
  <c r="CG70" i="1"/>
  <c r="BJ71" i="1"/>
  <c r="CA71" i="1"/>
  <c r="BB72" i="1"/>
  <c r="BS72" i="1"/>
  <c r="CN72" i="1"/>
  <c r="BP73" i="1"/>
  <c r="CG73" i="1"/>
  <c r="BI74" i="1"/>
  <c r="BZ74" i="1"/>
  <c r="BB75" i="1"/>
  <c r="BW75" i="1"/>
  <c r="CN75" i="1"/>
  <c r="BO76" i="1"/>
  <c r="CE76" i="1"/>
  <c r="BD77" i="1"/>
  <c r="BU77" i="1"/>
  <c r="CK77" i="1"/>
  <c r="BH78" i="1"/>
  <c r="BY78" i="1"/>
  <c r="CN78" i="1"/>
  <c r="BK79" i="1"/>
  <c r="CB79" i="1"/>
  <c r="AY80" i="1"/>
  <c r="BN80" i="1"/>
  <c r="CE80" i="1"/>
  <c r="BB81" i="1"/>
  <c r="BQ81" i="1"/>
  <c r="CI81" i="1"/>
  <c r="BF82" i="1"/>
  <c r="BU82" i="1"/>
  <c r="CJ82" i="1"/>
  <c r="BI83" i="1"/>
  <c r="BX83" i="1"/>
  <c r="CM83" i="1"/>
  <c r="BL84" i="1"/>
  <c r="CA84" i="1"/>
  <c r="AX85" i="1"/>
  <c r="BO85" i="1"/>
  <c r="CE85" i="1"/>
  <c r="BA86" i="1"/>
  <c r="BO86" i="1"/>
  <c r="CC86" i="1"/>
  <c r="AZ87" i="1"/>
  <c r="BN87" i="1"/>
  <c r="CB87" i="1"/>
  <c r="AX88" i="1"/>
  <c r="BL88" i="1"/>
  <c r="CA88" i="1"/>
  <c r="AW89" i="1"/>
  <c r="BL89" i="1"/>
  <c r="BZ89" i="1"/>
  <c r="CN89" i="1"/>
  <c r="BK90" i="1"/>
  <c r="BY90" i="1"/>
  <c r="CM90" i="1"/>
  <c r="BI91" i="1"/>
  <c r="BW91" i="1"/>
  <c r="CK91" i="1"/>
  <c r="BG92" i="1"/>
  <c r="BT92" i="1"/>
  <c r="CH92" i="1"/>
  <c r="BC93" i="1"/>
  <c r="BP93" i="1"/>
  <c r="CC93" i="1"/>
  <c r="AX94" i="1"/>
  <c r="BK94" i="1"/>
  <c r="BX94" i="1"/>
  <c r="CK94" i="1"/>
  <c r="BF95" i="1"/>
  <c r="BS95" i="1"/>
  <c r="CF95" i="1"/>
  <c r="BB96" i="1"/>
  <c r="BO96" i="1"/>
  <c r="CB96" i="1"/>
  <c r="AW97" i="1"/>
  <c r="BJ97" i="1"/>
  <c r="BW97" i="1"/>
  <c r="CJ97" i="1"/>
  <c r="BE98" i="1"/>
  <c r="BR98" i="1"/>
  <c r="CE98" i="1"/>
  <c r="BD69" i="1"/>
  <c r="BW69" i="1"/>
  <c r="AW70" i="1"/>
  <c r="BP70" i="1"/>
  <c r="CH70" i="1"/>
  <c r="BK71" i="1"/>
  <c r="CB71" i="1"/>
  <c r="BC72" i="1"/>
  <c r="BW72" i="1"/>
  <c r="AW73" i="1"/>
  <c r="BQ73" i="1"/>
  <c r="CI73" i="1"/>
  <c r="BJ74" i="1"/>
  <c r="CA74" i="1"/>
  <c r="BC75" i="1"/>
  <c r="BX75" i="1"/>
  <c r="AW76" i="1"/>
  <c r="BP76" i="1"/>
  <c r="CG76" i="1"/>
  <c r="BG77" i="1"/>
  <c r="BW77" i="1"/>
  <c r="CL77" i="1"/>
  <c r="BK78" i="1"/>
  <c r="BZ78" i="1"/>
  <c r="AW79" i="1"/>
  <c r="BL79" i="1"/>
  <c r="CC79" i="1"/>
  <c r="AZ80" i="1"/>
  <c r="BO80" i="1"/>
  <c r="CF80" i="1"/>
  <c r="BC81" i="1"/>
  <c r="BS81" i="1"/>
  <c r="CJ81" i="1"/>
  <c r="BG82" i="1"/>
  <c r="BV82" i="1"/>
  <c r="CM82" i="1"/>
  <c r="BJ83" i="1"/>
  <c r="BY83" i="1"/>
  <c r="CN83" i="1"/>
  <c r="BM84" i="1"/>
  <c r="CB84" i="1"/>
  <c r="AY85" i="1"/>
  <c r="BQ85" i="1"/>
  <c r="CF85" i="1"/>
  <c r="BB86" i="1"/>
  <c r="BP86" i="1"/>
  <c r="CE86" i="1"/>
  <c r="BA87" i="1"/>
  <c r="BO87" i="1"/>
  <c r="CC87" i="1"/>
  <c r="AY88" i="1"/>
  <c r="BM88" i="1"/>
  <c r="CB88" i="1"/>
  <c r="AY89" i="1"/>
  <c r="BM89" i="1"/>
  <c r="CA89" i="1"/>
  <c r="AW90" i="1"/>
  <c r="BL90" i="1"/>
  <c r="BZ90" i="1"/>
  <c r="CN90" i="1"/>
  <c r="BJ91" i="1"/>
  <c r="BX91" i="1"/>
  <c r="CM91" i="1"/>
  <c r="BH92" i="1"/>
  <c r="BV92" i="1"/>
  <c r="CI92" i="1"/>
  <c r="BD93" i="1"/>
  <c r="BQ93" i="1"/>
  <c r="CD93" i="1"/>
  <c r="AY94" i="1"/>
  <c r="BL94" i="1"/>
  <c r="BY94" i="1"/>
  <c r="CL94" i="1"/>
  <c r="BG95" i="1"/>
  <c r="BT95" i="1"/>
  <c r="CH95" i="1"/>
  <c r="BC96" i="1"/>
  <c r="BP96" i="1"/>
  <c r="CC96" i="1"/>
  <c r="AX97" i="1"/>
  <c r="BK97" i="1"/>
  <c r="BX97" i="1"/>
  <c r="CK97" i="1"/>
  <c r="BF98" i="1"/>
  <c r="BS98" i="1"/>
  <c r="CF98" i="1"/>
  <c r="BB99" i="1"/>
  <c r="BO99" i="1"/>
  <c r="CB99" i="1"/>
  <c r="AW100" i="1"/>
  <c r="BJ100" i="1"/>
  <c r="BW100" i="1"/>
  <c r="CJ100" i="1"/>
  <c r="BE101" i="1"/>
  <c r="BR101" i="1"/>
  <c r="CE101" i="1"/>
  <c r="AZ102" i="1"/>
  <c r="BN102" i="1"/>
  <c r="CA102" i="1"/>
  <c r="CN102" i="1"/>
  <c r="BI103" i="1"/>
  <c r="BV103" i="1"/>
  <c r="CI103" i="1"/>
  <c r="BD104" i="1"/>
  <c r="BQ104" i="1"/>
  <c r="CD104" i="1"/>
  <c r="AY105" i="1"/>
  <c r="BL105" i="1"/>
  <c r="BZ105" i="1"/>
  <c r="CM105" i="1"/>
  <c r="BH106" i="1"/>
  <c r="BU106" i="1"/>
  <c r="CH106" i="1"/>
  <c r="BC107" i="1"/>
  <c r="BP107" i="1"/>
  <c r="CC107" i="1"/>
  <c r="AX108" i="1"/>
  <c r="BK108" i="1"/>
  <c r="BX108" i="1"/>
  <c r="CL108" i="1"/>
  <c r="BG109" i="1"/>
  <c r="BT109" i="1"/>
  <c r="CG109" i="1"/>
  <c r="BB110" i="1"/>
  <c r="BO110" i="1"/>
  <c r="CB110" i="1"/>
  <c r="AW111" i="1"/>
  <c r="BJ111" i="1"/>
  <c r="BW111" i="1"/>
  <c r="CJ111" i="1"/>
  <c r="BF112" i="1"/>
  <c r="BS112" i="1"/>
  <c r="CF112" i="1"/>
  <c r="BE69" i="1"/>
  <c r="BY69" i="1"/>
  <c r="AX70" i="1"/>
  <c r="BR70" i="1"/>
  <c r="CM70" i="1"/>
  <c r="BL71" i="1"/>
  <c r="CE71" i="1"/>
  <c r="BD72" i="1"/>
  <c r="BY72" i="1"/>
  <c r="AY73" i="1"/>
  <c r="BR73" i="1"/>
  <c r="CJ73" i="1"/>
  <c r="BK74" i="1"/>
  <c r="CE74" i="1"/>
  <c r="BF75" i="1"/>
  <c r="BY75" i="1"/>
  <c r="AX76" i="1"/>
  <c r="BQ76" i="1"/>
  <c r="CH76" i="1"/>
  <c r="BI77" i="1"/>
  <c r="BX77" i="1"/>
  <c r="CM77" i="1"/>
  <c r="BL78" i="1"/>
  <c r="CA78" i="1"/>
  <c r="AX79" i="1"/>
  <c r="BO79" i="1"/>
  <c r="CD79" i="1"/>
  <c r="BA80" i="1"/>
  <c r="BP80" i="1"/>
  <c r="CG80" i="1"/>
  <c r="BE81" i="1"/>
  <c r="BT81" i="1"/>
  <c r="CK81" i="1"/>
  <c r="BH82" i="1"/>
  <c r="BW82" i="1"/>
  <c r="CN82" i="1"/>
  <c r="BK83" i="1"/>
  <c r="BZ83" i="1"/>
  <c r="AY84" i="1"/>
  <c r="BN84" i="1"/>
  <c r="CC84" i="1"/>
  <c r="BC85" i="1"/>
  <c r="BR85" i="1"/>
  <c r="CG85" i="1"/>
  <c r="BC86" i="1"/>
  <c r="BQ86" i="1"/>
  <c r="CF86" i="1"/>
  <c r="BB87" i="1"/>
  <c r="BP87" i="1"/>
  <c r="CD87" i="1"/>
  <c r="AZ88" i="1"/>
  <c r="BO88" i="1"/>
  <c r="CD88" i="1"/>
  <c r="AZ89" i="1"/>
  <c r="BN89" i="1"/>
  <c r="CB89" i="1"/>
  <c r="AY90" i="1"/>
  <c r="BM90" i="1"/>
  <c r="CA90" i="1"/>
  <c r="AW91" i="1"/>
  <c r="BK91" i="1"/>
  <c r="BY91" i="1"/>
  <c r="CN91" i="1"/>
  <c r="BJ92" i="1"/>
  <c r="BW92" i="1"/>
  <c r="CJ92" i="1"/>
  <c r="BE93" i="1"/>
  <c r="BR93" i="1"/>
  <c r="CE93" i="1"/>
  <c r="AZ94" i="1"/>
  <c r="BM94" i="1"/>
  <c r="BZ94" i="1"/>
  <c r="CM94" i="1"/>
  <c r="BH95" i="1"/>
  <c r="BV95" i="1"/>
  <c r="CI95" i="1"/>
  <c r="BD96" i="1"/>
  <c r="BQ96" i="1"/>
  <c r="CD96" i="1"/>
  <c r="AY97" i="1"/>
  <c r="BL97" i="1"/>
  <c r="BY97" i="1"/>
  <c r="CL97" i="1"/>
  <c r="BG98" i="1"/>
  <c r="BT98" i="1"/>
  <c r="CH98" i="1"/>
  <c r="BC99" i="1"/>
  <c r="BP99" i="1"/>
  <c r="CC99" i="1"/>
  <c r="AX100" i="1"/>
  <c r="BK100" i="1"/>
  <c r="BX100" i="1"/>
  <c r="CK100" i="1"/>
  <c r="BF101" i="1"/>
  <c r="BS101" i="1"/>
  <c r="CF101" i="1"/>
  <c r="BB102" i="1"/>
  <c r="BO102" i="1"/>
  <c r="CB102" i="1"/>
  <c r="AW103" i="1"/>
  <c r="BJ103" i="1"/>
  <c r="BW103" i="1"/>
  <c r="CJ103" i="1"/>
  <c r="BE104" i="1"/>
  <c r="BR104" i="1"/>
  <c r="CE104" i="1"/>
  <c r="AZ105" i="1"/>
  <c r="BN105" i="1"/>
  <c r="CA105" i="1"/>
  <c r="CN105" i="1"/>
  <c r="BI106" i="1"/>
  <c r="BV106" i="1"/>
  <c r="CI106" i="1"/>
  <c r="BD107" i="1"/>
  <c r="BQ107" i="1"/>
  <c r="CD107" i="1"/>
  <c r="AY108" i="1"/>
  <c r="BL108" i="1"/>
  <c r="BZ108" i="1"/>
  <c r="CM108" i="1"/>
  <c r="BH109" i="1"/>
  <c r="BU109" i="1"/>
  <c r="CH109" i="1"/>
  <c r="BC110" i="1"/>
  <c r="BP110" i="1"/>
  <c r="CC110" i="1"/>
  <c r="AX111" i="1"/>
  <c r="BK111" i="1"/>
  <c r="BX111" i="1"/>
  <c r="CL111" i="1"/>
  <c r="BG112" i="1"/>
  <c r="BT112" i="1"/>
  <c r="CG112" i="1"/>
  <c r="BF69" i="1"/>
  <c r="BZ69" i="1"/>
  <c r="AY70" i="1"/>
  <c r="BS70" i="1"/>
  <c r="CN70" i="1"/>
  <c r="BM71" i="1"/>
  <c r="CF71" i="1"/>
  <c r="BE72" i="1"/>
  <c r="BZ72" i="1"/>
  <c r="AZ73" i="1"/>
  <c r="BS73" i="1"/>
  <c r="CM73" i="1"/>
  <c r="BL74" i="1"/>
  <c r="CF74" i="1"/>
  <c r="BG75" i="1"/>
  <c r="BZ75" i="1"/>
  <c r="AY76" i="1"/>
  <c r="BS76" i="1"/>
  <c r="CJ76" i="1"/>
  <c r="BJ77" i="1"/>
  <c r="BY77" i="1"/>
  <c r="CN77" i="1"/>
  <c r="BM78" i="1"/>
  <c r="CB78" i="1"/>
  <c r="AY79" i="1"/>
  <c r="BP79" i="1"/>
  <c r="CE79" i="1"/>
  <c r="BB80" i="1"/>
  <c r="BS80" i="1"/>
  <c r="CI80" i="1"/>
  <c r="BF81" i="1"/>
  <c r="BW81" i="1"/>
  <c r="CL81" i="1"/>
  <c r="BI82" i="1"/>
  <c r="BX82" i="1"/>
  <c r="AW83" i="1"/>
  <c r="BL83" i="1"/>
  <c r="CA83" i="1"/>
  <c r="AZ84" i="1"/>
  <c r="BO84" i="1"/>
  <c r="CE84" i="1"/>
  <c r="BD85" i="1"/>
  <c r="BS85" i="1"/>
  <c r="CH85" i="1"/>
  <c r="BD86" i="1"/>
  <c r="BS86" i="1"/>
  <c r="CG86" i="1"/>
  <c r="BC87" i="1"/>
  <c r="BQ87" i="1"/>
  <c r="CE87" i="1"/>
  <c r="BA88" i="1"/>
  <c r="BQ88" i="1"/>
  <c r="CE88" i="1"/>
  <c r="BA89" i="1"/>
  <c r="BO89" i="1"/>
  <c r="CC89" i="1"/>
  <c r="AZ90" i="1"/>
  <c r="BN90" i="1"/>
  <c r="CB90" i="1"/>
  <c r="AX91" i="1"/>
  <c r="BL91" i="1"/>
  <c r="CA91" i="1"/>
  <c r="AX92" i="1"/>
  <c r="BK92" i="1"/>
  <c r="BX92" i="1"/>
  <c r="CK92" i="1"/>
  <c r="BF93" i="1"/>
  <c r="BS93" i="1"/>
  <c r="CF93" i="1"/>
  <c r="BA94" i="1"/>
  <c r="BN94" i="1"/>
  <c r="CA94" i="1"/>
  <c r="CN94" i="1"/>
  <c r="BJ95" i="1"/>
  <c r="BW95" i="1"/>
  <c r="CJ95" i="1"/>
  <c r="BE96" i="1"/>
  <c r="BR96" i="1"/>
  <c r="CE96" i="1"/>
  <c r="AZ97" i="1"/>
  <c r="BM97" i="1"/>
  <c r="BZ97" i="1"/>
  <c r="CM97" i="1"/>
  <c r="BH98" i="1"/>
  <c r="BV98" i="1"/>
  <c r="CI98" i="1"/>
  <c r="BD99" i="1"/>
  <c r="BQ99" i="1"/>
  <c r="CD99" i="1"/>
  <c r="AY100" i="1"/>
  <c r="BL100" i="1"/>
  <c r="BY100" i="1"/>
  <c r="CL100" i="1"/>
  <c r="BG101" i="1"/>
  <c r="BT101" i="1"/>
  <c r="CH101" i="1"/>
  <c r="BC102" i="1"/>
  <c r="BP102" i="1"/>
  <c r="CC102" i="1"/>
  <c r="AX103" i="1"/>
  <c r="BK103" i="1"/>
  <c r="BX103" i="1"/>
  <c r="CK103" i="1"/>
  <c r="BF104" i="1"/>
  <c r="BS104" i="1"/>
  <c r="CF104" i="1"/>
  <c r="BB105" i="1"/>
  <c r="BO105" i="1"/>
  <c r="CB105" i="1"/>
  <c r="AW106" i="1"/>
  <c r="BJ106" i="1"/>
  <c r="BW106" i="1"/>
  <c r="CJ106" i="1"/>
  <c r="BE107" i="1"/>
  <c r="BR107" i="1"/>
  <c r="CE107" i="1"/>
  <c r="AZ108" i="1"/>
  <c r="BN108" i="1"/>
  <c r="CA108" i="1"/>
  <c r="CN108" i="1"/>
  <c r="BI109" i="1"/>
  <c r="BV109" i="1"/>
  <c r="CI109" i="1"/>
  <c r="BD110" i="1"/>
  <c r="BQ110" i="1"/>
  <c r="CD110" i="1"/>
  <c r="AY111" i="1"/>
  <c r="BL111" i="1"/>
  <c r="BZ111" i="1"/>
  <c r="CM111" i="1"/>
  <c r="BH112" i="1"/>
  <c r="BU112" i="1"/>
  <c r="CH112" i="1"/>
  <c r="BK69" i="1"/>
  <c r="CB69" i="1"/>
  <c r="BD70" i="1"/>
  <c r="BW70" i="1"/>
  <c r="AX71" i="1"/>
  <c r="BO71" i="1"/>
  <c r="CH71" i="1"/>
  <c r="BK72" i="1"/>
  <c r="CC72" i="1"/>
  <c r="BD73" i="1"/>
  <c r="BV73" i="1"/>
  <c r="AW74" i="1"/>
  <c r="BO74" i="1"/>
  <c r="CJ74" i="1"/>
  <c r="BK75" i="1"/>
  <c r="CB75" i="1"/>
  <c r="BC76" i="1"/>
  <c r="BV76" i="1"/>
  <c r="CN76" i="1"/>
  <c r="BL77" i="1"/>
  <c r="CA77" i="1"/>
  <c r="AZ78" i="1"/>
  <c r="BO78" i="1"/>
  <c r="CD78" i="1"/>
  <c r="BC79" i="1"/>
  <c r="BR79" i="1"/>
  <c r="CG79" i="1"/>
  <c r="BG80" i="1"/>
  <c r="BV80" i="1"/>
  <c r="CK80" i="1"/>
  <c r="BH81" i="1"/>
  <c r="BY81" i="1"/>
  <c r="CN81" i="1"/>
  <c r="BK82" i="1"/>
  <c r="CB82" i="1"/>
  <c r="AY83" i="1"/>
  <c r="BN83" i="1"/>
  <c r="CE83" i="1"/>
  <c r="BC84" i="1"/>
  <c r="BR84" i="1"/>
  <c r="CI84" i="1"/>
  <c r="BF85" i="1"/>
  <c r="BU85" i="1"/>
  <c r="CJ85" i="1"/>
  <c r="BG86" i="1"/>
  <c r="BU86" i="1"/>
  <c r="CI86" i="1"/>
  <c r="BE87" i="1"/>
  <c r="BS87" i="1"/>
  <c r="CI87" i="1"/>
  <c r="BE88" i="1"/>
  <c r="BS88" i="1"/>
  <c r="CG88" i="1"/>
  <c r="BC89" i="1"/>
  <c r="BQ89" i="1"/>
  <c r="CF89" i="1"/>
  <c r="BB90" i="1"/>
  <c r="BP90" i="1"/>
  <c r="CD90" i="1"/>
  <c r="AZ91" i="1"/>
  <c r="BP91" i="1"/>
  <c r="CD91" i="1"/>
  <c r="AZ92" i="1"/>
  <c r="BM92" i="1"/>
  <c r="BZ92" i="1"/>
  <c r="CM92" i="1"/>
  <c r="BH93" i="1"/>
  <c r="BU93" i="1"/>
  <c r="CH93" i="1"/>
  <c r="BC94" i="1"/>
  <c r="BP94" i="1"/>
  <c r="CD94" i="1"/>
  <c r="AY95" i="1"/>
  <c r="BL95" i="1"/>
  <c r="BY95" i="1"/>
  <c r="CL95" i="1"/>
  <c r="BG96" i="1"/>
  <c r="BT96" i="1"/>
  <c r="CG96" i="1"/>
  <c r="BB97" i="1"/>
  <c r="BO97" i="1"/>
  <c r="CB97" i="1"/>
  <c r="AX98" i="1"/>
  <c r="BK98" i="1"/>
  <c r="BX98" i="1"/>
  <c r="CK98" i="1"/>
  <c r="BL69" i="1"/>
  <c r="CD69" i="1"/>
  <c r="BF70" i="1"/>
  <c r="BX70" i="1"/>
  <c r="AY71" i="1"/>
  <c r="BP71" i="1"/>
  <c r="BM69" i="1"/>
  <c r="CE69" i="1"/>
  <c r="BG70" i="1"/>
  <c r="CA70" i="1"/>
  <c r="AZ71" i="1"/>
  <c r="BS71" i="1"/>
  <c r="CM69" i="1"/>
  <c r="BA71" i="1"/>
  <c r="CN71" i="1"/>
  <c r="CD72" i="1"/>
  <c r="BL73" i="1"/>
  <c r="BC74" i="1"/>
  <c r="CL74" i="1"/>
  <c r="CA75" i="1"/>
  <c r="BK76" i="1"/>
  <c r="AY77" i="1"/>
  <c r="CB77" i="1"/>
  <c r="BG78" i="1"/>
  <c r="CK78" i="1"/>
  <c r="BU79" i="1"/>
  <c r="BC80" i="1"/>
  <c r="CA80" i="1"/>
  <c r="BM81" i="1"/>
  <c r="AW82" i="1"/>
  <c r="BT82" i="1"/>
  <c r="BD83" i="1"/>
  <c r="CH83" i="1"/>
  <c r="BQ84" i="1"/>
  <c r="CN84" i="1"/>
  <c r="BX85" i="1"/>
  <c r="BH86" i="1"/>
  <c r="CB86" i="1"/>
  <c r="BK87" i="1"/>
  <c r="CK87" i="1"/>
  <c r="BR88" i="1"/>
  <c r="CM88" i="1"/>
  <c r="BU89" i="1"/>
  <c r="BC90" i="1"/>
  <c r="BX90" i="1"/>
  <c r="BF91" i="1"/>
  <c r="CF91" i="1"/>
  <c r="BL92" i="1"/>
  <c r="CE92" i="1"/>
  <c r="BK93" i="1"/>
  <c r="CI93" i="1"/>
  <c r="BJ94" i="1"/>
  <c r="CH94" i="1"/>
  <c r="BN95" i="1"/>
  <c r="CK95" i="1"/>
  <c r="BL96" i="1"/>
  <c r="CJ96" i="1"/>
  <c r="BP97" i="1"/>
  <c r="CI97" i="1"/>
  <c r="BO98" i="1"/>
  <c r="CM98" i="1"/>
  <c r="BK99" i="1"/>
  <c r="CE99" i="1"/>
  <c r="BC100" i="1"/>
  <c r="BT100" i="1"/>
  <c r="CM100" i="1"/>
  <c r="BL101" i="1"/>
  <c r="CB101" i="1"/>
  <c r="BD102" i="1"/>
  <c r="BT102" i="1"/>
  <c r="CJ102" i="1"/>
  <c r="BL103" i="1"/>
  <c r="CB103" i="1"/>
  <c r="BA104" i="1"/>
  <c r="BT104" i="1"/>
  <c r="CK104" i="1"/>
  <c r="BI105" i="1"/>
  <c r="CC105" i="1"/>
  <c r="BA106" i="1"/>
  <c r="BR106" i="1"/>
  <c r="CK106" i="1"/>
  <c r="BJ107" i="1"/>
  <c r="BZ107" i="1"/>
  <c r="BB108" i="1"/>
  <c r="BR108" i="1"/>
  <c r="CH108" i="1"/>
  <c r="BJ109" i="1"/>
  <c r="BZ109" i="1"/>
  <c r="AY110" i="1"/>
  <c r="BR110" i="1"/>
  <c r="CI110" i="1"/>
  <c r="BG111" i="1"/>
  <c r="CA111" i="1"/>
  <c r="AY112" i="1"/>
  <c r="AZ69" i="1"/>
  <c r="BC70" i="1"/>
  <c r="BB71" i="1"/>
  <c r="AY72" i="1"/>
  <c r="CE72" i="1"/>
  <c r="BU73" i="1"/>
  <c r="BG74" i="1"/>
  <c r="CM74" i="1"/>
  <c r="CC75" i="1"/>
  <c r="BL76" i="1"/>
  <c r="AZ77" i="1"/>
  <c r="CE77" i="1"/>
  <c r="BN78" i="1"/>
  <c r="CL78" i="1"/>
  <c r="BV79" i="1"/>
  <c r="BH80" i="1"/>
  <c r="CB80" i="1"/>
  <c r="BN81" i="1"/>
  <c r="AX82" i="1"/>
  <c r="CA82" i="1"/>
  <c r="BG83" i="1"/>
  <c r="CI83" i="1"/>
  <c r="BS84" i="1"/>
  <c r="AW85" i="1"/>
  <c r="CA85" i="1"/>
  <c r="BI86" i="1"/>
  <c r="CH86" i="1"/>
  <c r="BL87" i="1"/>
  <c r="CL87" i="1"/>
  <c r="BT88" i="1"/>
  <c r="CN88" i="1"/>
  <c r="BV89" i="1"/>
  <c r="BD90" i="1"/>
  <c r="CC90" i="1"/>
  <c r="BG91" i="1"/>
  <c r="CG91" i="1"/>
  <c r="BN92" i="1"/>
  <c r="CF92" i="1"/>
  <c r="BL93" i="1"/>
  <c r="CJ93" i="1"/>
  <c r="BO94" i="1"/>
  <c r="CI94" i="1"/>
  <c r="BO95" i="1"/>
  <c r="CM95" i="1"/>
  <c r="BN96" i="1"/>
  <c r="CL96" i="1"/>
  <c r="BR97" i="1"/>
  <c r="CN97" i="1"/>
  <c r="BP98" i="1"/>
  <c r="CN98" i="1"/>
  <c r="BL99" i="1"/>
  <c r="CF99" i="1"/>
  <c r="BD100" i="1"/>
  <c r="BU100" i="1"/>
  <c r="CN100" i="1"/>
  <c r="BM101" i="1"/>
  <c r="CC101" i="1"/>
  <c r="BE102" i="1"/>
  <c r="BU102" i="1"/>
  <c r="CL102" i="1"/>
  <c r="BM103" i="1"/>
  <c r="CD103" i="1"/>
  <c r="BB104" i="1"/>
  <c r="BV104" i="1"/>
  <c r="CL104" i="1"/>
  <c r="BJ105" i="1"/>
  <c r="CD105" i="1"/>
  <c r="BB106" i="1"/>
  <c r="BS106" i="1"/>
  <c r="CL106" i="1"/>
  <c r="BK107" i="1"/>
  <c r="CA107" i="1"/>
  <c r="BC108" i="1"/>
  <c r="BS108" i="1"/>
  <c r="CI108" i="1"/>
  <c r="BK109" i="1"/>
  <c r="CA109" i="1"/>
  <c r="AZ110" i="1"/>
  <c r="BS110" i="1"/>
  <c r="CJ110" i="1"/>
  <c r="BH111" i="1"/>
  <c r="CB111" i="1"/>
  <c r="AZ112" i="1"/>
  <c r="BP112" i="1"/>
  <c r="CJ112" i="1"/>
  <c r="BG69" i="1"/>
  <c r="BJ70" i="1"/>
  <c r="BG71" i="1"/>
  <c r="BA72" i="1"/>
  <c r="CI72" i="1"/>
  <c r="BX73" i="1"/>
  <c r="BN74" i="1"/>
  <c r="AY75" i="1"/>
  <c r="CI75" i="1"/>
  <c r="BW76" i="1"/>
  <c r="BC77" i="1"/>
  <c r="CG77" i="1"/>
  <c r="BQ78" i="1"/>
  <c r="AZ79" i="1"/>
  <c r="BX79" i="1"/>
  <c r="BJ80" i="1"/>
  <c r="CL80" i="1"/>
  <c r="BP81" i="1"/>
  <c r="AZ82" i="1"/>
  <c r="CD82" i="1"/>
  <c r="BM83" i="1"/>
  <c r="CK83" i="1"/>
  <c r="BW84" i="1"/>
  <c r="BG85" i="1"/>
  <c r="CC85" i="1"/>
  <c r="BK86" i="1"/>
  <c r="CK86" i="1"/>
  <c r="BR87" i="1"/>
  <c r="CN87" i="1"/>
  <c r="BV88" i="1"/>
  <c r="BD89" i="1"/>
  <c r="BY89" i="1"/>
  <c r="BG90" i="1"/>
  <c r="CG90" i="1"/>
  <c r="BM91" i="1"/>
  <c r="CI91" i="1"/>
  <c r="BP92" i="1"/>
  <c r="CN92" i="1"/>
  <c r="BO93" i="1"/>
  <c r="CM93" i="1"/>
  <c r="BS94" i="1"/>
  <c r="AX95" i="1"/>
  <c r="BQ95" i="1"/>
  <c r="AW96" i="1"/>
  <c r="BU96" i="1"/>
  <c r="CN96" i="1"/>
  <c r="BT97" i="1"/>
  <c r="AZ98" i="1"/>
  <c r="BW98" i="1"/>
  <c r="AX99" i="1"/>
  <c r="BR99" i="1"/>
  <c r="CH99" i="1"/>
  <c r="BG100" i="1"/>
  <c r="BZ100" i="1"/>
  <c r="AY101" i="1"/>
  <c r="BO101" i="1"/>
  <c r="CI101" i="1"/>
  <c r="BG102" i="1"/>
  <c r="BW102" i="1"/>
  <c r="AY103" i="1"/>
  <c r="BO103" i="1"/>
  <c r="CF103" i="1"/>
  <c r="BG104" i="1"/>
  <c r="BX104" i="1"/>
  <c r="CN104" i="1"/>
  <c r="BP105" i="1"/>
  <c r="CF105" i="1"/>
  <c r="BD106" i="1"/>
  <c r="BX106" i="1"/>
  <c r="CN106" i="1"/>
  <c r="BM107" i="1"/>
  <c r="CF107" i="1"/>
  <c r="BE108" i="1"/>
  <c r="BU108" i="1"/>
  <c r="AW109" i="1"/>
  <c r="BM109" i="1"/>
  <c r="CD109" i="1"/>
  <c r="BE110" i="1"/>
  <c r="BV110" i="1"/>
  <c r="CL110" i="1"/>
  <c r="BN111" i="1"/>
  <c r="CD111" i="1"/>
  <c r="BB112" i="1"/>
  <c r="BV112" i="1"/>
  <c r="CL112" i="1"/>
  <c r="BO69" i="1"/>
  <c r="BK70" i="1"/>
  <c r="BN71" i="1"/>
  <c r="BH72" i="1"/>
  <c r="CK72" i="1"/>
  <c r="CB73" i="1"/>
  <c r="BS74" i="1"/>
  <c r="AZ75" i="1"/>
  <c r="CJ75" i="1"/>
  <c r="BX76" i="1"/>
  <c r="BK77" i="1"/>
  <c r="CH77" i="1"/>
  <c r="BR78" i="1"/>
  <c r="BD79" i="1"/>
  <c r="CA79" i="1"/>
  <c r="BK80" i="1"/>
  <c r="CM80" i="1"/>
  <c r="BX81" i="1"/>
  <c r="BC82" i="1"/>
  <c r="CE82" i="1"/>
  <c r="BO83" i="1"/>
  <c r="CL83" i="1"/>
  <c r="BX84" i="1"/>
  <c r="BH85" i="1"/>
  <c r="CI85" i="1"/>
  <c r="BM86" i="1"/>
  <c r="CM86" i="1"/>
  <c r="BU87" i="1"/>
  <c r="AW88" i="1"/>
  <c r="BW88" i="1"/>
  <c r="BE89" i="1"/>
  <c r="CE89" i="1"/>
  <c r="BH90" i="1"/>
  <c r="CI90" i="1"/>
  <c r="BQ91" i="1"/>
  <c r="CJ91" i="1"/>
  <c r="BQ92" i="1"/>
  <c r="AW93" i="1"/>
  <c r="BT93" i="1"/>
  <c r="CN93" i="1"/>
  <c r="BT94" i="1"/>
  <c r="AZ95" i="1"/>
  <c r="BR95" i="1"/>
  <c r="AX96" i="1"/>
  <c r="BV96" i="1"/>
  <c r="BA97" i="1"/>
  <c r="BU97" i="1"/>
  <c r="BA98" i="1"/>
  <c r="BY98" i="1"/>
  <c r="AY99" i="1"/>
  <c r="BS99" i="1"/>
  <c r="CI99" i="1"/>
  <c r="BH100" i="1"/>
  <c r="CA100" i="1"/>
  <c r="AZ101" i="1"/>
  <c r="BP101" i="1"/>
  <c r="BP69" i="1"/>
  <c r="BL70" i="1"/>
  <c r="BU71" i="1"/>
  <c r="BM72" i="1"/>
  <c r="CL72" i="1"/>
  <c r="CC73" i="1"/>
  <c r="BU74" i="1"/>
  <c r="BH75" i="1"/>
  <c r="CL75" i="1"/>
  <c r="CA76" i="1"/>
  <c r="BM77" i="1"/>
  <c r="CI77" i="1"/>
  <c r="BS78" i="1"/>
  <c r="BE79" i="1"/>
  <c r="CF79" i="1"/>
  <c r="BL80" i="1"/>
  <c r="CN80" i="1"/>
  <c r="BZ81" i="1"/>
  <c r="BE82" i="1"/>
  <c r="CG82" i="1"/>
  <c r="BS83" i="1"/>
  <c r="BA84" i="1"/>
  <c r="BY84" i="1"/>
  <c r="BI85" i="1"/>
  <c r="CK85" i="1"/>
  <c r="BN86" i="1"/>
  <c r="CN86" i="1"/>
  <c r="BW87" i="1"/>
  <c r="BD88" i="1"/>
  <c r="BX88" i="1"/>
  <c r="BG89" i="1"/>
  <c r="CG89" i="1"/>
  <c r="BI90" i="1"/>
  <c r="CJ90" i="1"/>
  <c r="BR91" i="1"/>
  <c r="AY92" i="1"/>
  <c r="BR92" i="1"/>
  <c r="AX93" i="1"/>
  <c r="BV93" i="1"/>
  <c r="AW94" i="1"/>
  <c r="BU94" i="1"/>
  <c r="BA95" i="1"/>
  <c r="BX95" i="1"/>
  <c r="AY96" i="1"/>
  <c r="BW96" i="1"/>
  <c r="BC97" i="1"/>
  <c r="BV97" i="1"/>
  <c r="BB98" i="1"/>
  <c r="BZ98" i="1"/>
  <c r="AZ99" i="1"/>
  <c r="BT99" i="1"/>
  <c r="CJ99" i="1"/>
  <c r="BI100" i="1"/>
  <c r="CB100" i="1"/>
  <c r="BA101" i="1"/>
  <c r="BQ101" i="1"/>
  <c r="CK101" i="1"/>
  <c r="BI102" i="1"/>
  <c r="BZ102" i="1"/>
  <c r="BA103" i="1"/>
  <c r="BR103" i="1"/>
  <c r="CH103" i="1"/>
  <c r="BJ104" i="1"/>
  <c r="BZ104" i="1"/>
  <c r="AX105" i="1"/>
  <c r="BR105" i="1"/>
  <c r="CH105" i="1"/>
  <c r="BG106" i="1"/>
  <c r="BZ106" i="1"/>
  <c r="AY107" i="1"/>
  <c r="BO107" i="1"/>
  <c r="CI107" i="1"/>
  <c r="BG108" i="1"/>
  <c r="BW108" i="1"/>
  <c r="AY109" i="1"/>
  <c r="BO109" i="1"/>
  <c r="CF109" i="1"/>
  <c r="BG110" i="1"/>
  <c r="BX110" i="1"/>
  <c r="CN110" i="1"/>
  <c r="BP111" i="1"/>
  <c r="CF111" i="1"/>
  <c r="BD112" i="1"/>
  <c r="BX112" i="1"/>
  <c r="CN112" i="1"/>
  <c r="BI70" i="1"/>
  <c r="CK71" i="1"/>
  <c r="BG73" i="1"/>
  <c r="BV74" i="1"/>
  <c r="BS75" i="1"/>
  <c r="CM76" i="1"/>
  <c r="BA78" i="1"/>
  <c r="CM78" i="1"/>
  <c r="AW80" i="1"/>
  <c r="BA81" i="1"/>
  <c r="BJ82" i="1"/>
  <c r="BC83" i="1"/>
  <c r="BG84" i="1"/>
  <c r="BK85" i="1"/>
  <c r="BJ86" i="1"/>
  <c r="BH87" i="1"/>
  <c r="BH88" i="1"/>
  <c r="BH89" i="1"/>
  <c r="BA90" i="1"/>
  <c r="BC91" i="1"/>
  <c r="BB92" i="1"/>
  <c r="CL92" i="1"/>
  <c r="CB93" i="1"/>
  <c r="CB94" i="1"/>
  <c r="BZ95" i="1"/>
  <c r="BK96" i="1"/>
  <c r="BH97" i="1"/>
  <c r="BD98" i="1"/>
  <c r="AW99" i="1"/>
  <c r="BZ99" i="1"/>
  <c r="BO100" i="1"/>
  <c r="BB101" i="1"/>
  <c r="CA101" i="1"/>
  <c r="BK102" i="1"/>
  <c r="CI102" i="1"/>
  <c r="BT103" i="1"/>
  <c r="AZ104" i="1"/>
  <c r="CB104" i="1"/>
  <c r="BH105" i="1"/>
  <c r="CJ105" i="1"/>
  <c r="BP106" i="1"/>
  <c r="BA107" i="1"/>
  <c r="BY107" i="1"/>
  <c r="BI108" i="1"/>
  <c r="CG108" i="1"/>
  <c r="BR109" i="1"/>
  <c r="AX110" i="1"/>
  <c r="BU70" i="1"/>
  <c r="CL71" i="1"/>
  <c r="BH73" i="1"/>
  <c r="BW74" i="1"/>
  <c r="CD75" i="1"/>
  <c r="AW77" i="1"/>
  <c r="BB78" i="1"/>
  <c r="BG79" i="1"/>
  <c r="AX80" i="1"/>
  <c r="BG81" i="1"/>
  <c r="BL82" i="1"/>
  <c r="BH83" i="1"/>
  <c r="BH84" i="1"/>
  <c r="BL85" i="1"/>
  <c r="BT86" i="1"/>
  <c r="BI87" i="1"/>
  <c r="BI88" i="1"/>
  <c r="BI89" i="1"/>
  <c r="BE90" i="1"/>
  <c r="BD91" i="1"/>
  <c r="BC92" i="1"/>
  <c r="AY93" i="1"/>
  <c r="CG93" i="1"/>
  <c r="CE94" i="1"/>
  <c r="CA95" i="1"/>
  <c r="BS96" i="1"/>
  <c r="BI97" i="1"/>
  <c r="BJ98" i="1"/>
  <c r="BE99" i="1"/>
  <c r="CA99" i="1"/>
  <c r="BP100" i="1"/>
  <c r="BC101" i="1"/>
  <c r="CD101" i="1"/>
  <c r="BL102" i="1"/>
  <c r="CM102" i="1"/>
  <c r="BU103" i="1"/>
  <c r="BC104" i="1"/>
  <c r="CC104" i="1"/>
  <c r="BK105" i="1"/>
  <c r="CL105" i="1"/>
  <c r="BT106" i="1"/>
  <c r="BB107" i="1"/>
  <c r="CB107" i="1"/>
  <c r="BJ108" i="1"/>
  <c r="CJ108" i="1"/>
  <c r="BS109" i="1"/>
  <c r="BA110" i="1"/>
  <c r="CA110" i="1"/>
  <c r="BI111" i="1"/>
  <c r="CI111" i="1"/>
  <c r="BO112" i="1"/>
  <c r="BN72" i="1"/>
  <c r="BY74" i="1"/>
  <c r="BD78" i="1"/>
  <c r="BL81" i="1"/>
  <c r="BT84" i="1"/>
  <c r="BK88" i="1"/>
  <c r="BE92" i="1"/>
  <c r="CC95" i="1"/>
  <c r="CL99" i="1"/>
  <c r="BZ103" i="1"/>
  <c r="CA106" i="1"/>
  <c r="BX109" i="1"/>
  <c r="BW112" i="1"/>
  <c r="CB70" i="1"/>
  <c r="AZ72" i="1"/>
  <c r="BI73" i="1"/>
  <c r="BX74" i="1"/>
  <c r="CM75" i="1"/>
  <c r="AX77" i="1"/>
  <c r="BC78" i="1"/>
  <c r="BH79" i="1"/>
  <c r="BI80" i="1"/>
  <c r="BK81" i="1"/>
  <c r="BO82" i="1"/>
  <c r="BT83" i="1"/>
  <c r="BK84" i="1"/>
  <c r="BT85" i="1"/>
  <c r="BV86" i="1"/>
  <c r="BM87" i="1"/>
  <c r="BJ88" i="1"/>
  <c r="BJ89" i="1"/>
  <c r="BO90" i="1"/>
  <c r="BE91" i="1"/>
  <c r="BD92" i="1"/>
  <c r="AZ93" i="1"/>
  <c r="CL93" i="1"/>
  <c r="CF94" i="1"/>
  <c r="CB95" i="1"/>
  <c r="BX96" i="1"/>
  <c r="BN97" i="1"/>
  <c r="BL98" i="1"/>
  <c r="BF99" i="1"/>
  <c r="CG99" i="1"/>
  <c r="BR100" i="1"/>
  <c r="BD101" i="1"/>
  <c r="CJ101" i="1"/>
  <c r="BQ102" i="1"/>
  <c r="AZ103" i="1"/>
  <c r="BY103" i="1"/>
  <c r="BH104" i="1"/>
  <c r="CH104" i="1"/>
  <c r="BQ105" i="1"/>
  <c r="AX106" i="1"/>
  <c r="BY106" i="1"/>
  <c r="BF107" i="1"/>
  <c r="CH107" i="1"/>
  <c r="BO108" i="1"/>
  <c r="AX109" i="1"/>
  <c r="BW109" i="1"/>
  <c r="BF110" i="1"/>
  <c r="CE110" i="1"/>
  <c r="BO111" i="1"/>
  <c r="CN111" i="1"/>
  <c r="BR112" i="1"/>
  <c r="CC70" i="1"/>
  <c r="BK73" i="1"/>
  <c r="AZ76" i="1"/>
  <c r="BA77" i="1"/>
  <c r="BI79" i="1"/>
  <c r="BM80" i="1"/>
  <c r="BP82" i="1"/>
  <c r="BU83" i="1"/>
  <c r="BV85" i="1"/>
  <c r="BW86" i="1"/>
  <c r="BX87" i="1"/>
  <c r="BP89" i="1"/>
  <c r="BQ90" i="1"/>
  <c r="BH91" i="1"/>
  <c r="BB93" i="1"/>
  <c r="BB94" i="1"/>
  <c r="CG94" i="1"/>
  <c r="BZ96" i="1"/>
  <c r="BS97" i="1"/>
  <c r="BM98" i="1"/>
  <c r="BG99" i="1"/>
  <c r="BS100" i="1"/>
  <c r="BH101" i="1"/>
  <c r="CL101" i="1"/>
  <c r="BR102" i="1"/>
  <c r="BB103" i="1"/>
  <c r="BK104" i="1"/>
  <c r="CI104" i="1"/>
  <c r="BS105" i="1"/>
  <c r="AY106" i="1"/>
  <c r="BG107" i="1"/>
  <c r="CJ107" i="1"/>
  <c r="BP108" i="1"/>
  <c r="AZ109" i="1"/>
  <c r="BH110" i="1"/>
  <c r="CF110" i="1"/>
  <c r="BQ111" i="1"/>
  <c r="AW112" i="1"/>
  <c r="CD70" i="1"/>
  <c r="BO72" i="1"/>
  <c r="BW73" i="1"/>
  <c r="CI74" i="1"/>
  <c r="BF76" i="1"/>
  <c r="BN77" i="1"/>
  <c r="BE78" i="1"/>
  <c r="BJ79" i="1"/>
  <c r="BU80" i="1"/>
  <c r="BO81" i="1"/>
  <c r="BQ82" i="1"/>
  <c r="BV83" i="1"/>
  <c r="BZ84" i="1"/>
  <c r="BW85" i="1"/>
  <c r="BX86" i="1"/>
  <c r="BY87" i="1"/>
  <c r="BU88" i="1"/>
  <c r="BS89" i="1"/>
  <c r="BR90" i="1"/>
  <c r="BS91" i="1"/>
  <c r="BF92" i="1"/>
  <c r="BG93" i="1"/>
  <c r="BD94" i="1"/>
  <c r="CJ94" i="1"/>
  <c r="CD95" i="1"/>
  <c r="CA96" i="1"/>
  <c r="CA97" i="1"/>
  <c r="BN98" i="1"/>
  <c r="BH99" i="1"/>
  <c r="CM99" i="1"/>
  <c r="BV100" i="1"/>
  <c r="BJ101" i="1"/>
  <c r="CM101" i="1"/>
  <c r="BS102" i="1"/>
  <c r="BC103" i="1"/>
  <c r="CA103" i="1"/>
  <c r="BL104" i="1"/>
  <c r="CJ104" i="1"/>
  <c r="BT105" i="1"/>
  <c r="AZ106" i="1"/>
  <c r="CB106" i="1"/>
  <c r="BH107" i="1"/>
  <c r="CK107" i="1"/>
  <c r="BQ108" i="1"/>
  <c r="BA109" i="1"/>
  <c r="BY109" i="1"/>
  <c r="BJ110" i="1"/>
  <c r="CH110" i="1"/>
  <c r="BR111" i="1"/>
  <c r="AX112" i="1"/>
  <c r="BY112" i="1"/>
  <c r="BA69" i="1"/>
  <c r="CE70" i="1"/>
  <c r="BP72" i="1"/>
  <c r="CE73" i="1"/>
  <c r="CK74" i="1"/>
  <c r="BG76" i="1"/>
  <c r="BO77" i="1"/>
  <c r="BP78" i="1"/>
  <c r="BQ79" i="1"/>
  <c r="BW80" i="1"/>
  <c r="CA81" i="1"/>
  <c r="BS82" i="1"/>
  <c r="BW83" i="1"/>
  <c r="CF84" i="1"/>
  <c r="CB85" i="1"/>
  <c r="BZ86" i="1"/>
  <c r="BZ87" i="1"/>
  <c r="BY88" i="1"/>
  <c r="BT89" i="1"/>
  <c r="BT90" i="1"/>
  <c r="BT91" i="1"/>
  <c r="BO92" i="1"/>
  <c r="BI93" i="1"/>
  <c r="BF94" i="1"/>
  <c r="BB95" i="1"/>
  <c r="CE95" i="1"/>
  <c r="CF96" i="1"/>
  <c r="CD97" i="1"/>
  <c r="BQ98" i="1"/>
  <c r="BI99" i="1"/>
  <c r="CN99" i="1"/>
  <c r="CD100" i="1"/>
  <c r="BK101" i="1"/>
  <c r="CN101" i="1"/>
  <c r="BV102" i="1"/>
  <c r="BD103" i="1"/>
  <c r="CE103" i="1"/>
  <c r="BM104" i="1"/>
  <c r="CM104" i="1"/>
  <c r="BU105" i="1"/>
  <c r="BC106" i="1"/>
  <c r="CD106" i="1"/>
  <c r="BL107" i="1"/>
  <c r="CL107" i="1"/>
  <c r="BT108" i="1"/>
  <c r="BB109" i="1"/>
  <c r="CB109" i="1"/>
  <c r="BK110" i="1"/>
  <c r="CK110" i="1"/>
  <c r="BS111" i="1"/>
  <c r="BA112" i="1"/>
  <c r="BZ112" i="1"/>
  <c r="CE97" i="1"/>
  <c r="CE106" i="1"/>
  <c r="CM110" i="1"/>
  <c r="CA112" i="1"/>
  <c r="BR69" i="1"/>
  <c r="AW71" i="1"/>
  <c r="BQ72" i="1"/>
  <c r="CF73" i="1"/>
  <c r="CN74" i="1"/>
  <c r="BI76" i="1"/>
  <c r="BP77" i="1"/>
  <c r="BW78" i="1"/>
  <c r="BS79" i="1"/>
  <c r="BX80" i="1"/>
  <c r="CB81" i="1"/>
  <c r="CC82" i="1"/>
  <c r="CB83" i="1"/>
  <c r="CJ84" i="1"/>
  <c r="CM85" i="1"/>
  <c r="CA86" i="1"/>
  <c r="CA87" i="1"/>
  <c r="CF88" i="1"/>
  <c r="BW89" i="1"/>
  <c r="BU90" i="1"/>
  <c r="BU91" i="1"/>
  <c r="BS92" i="1"/>
  <c r="BJ93" i="1"/>
  <c r="BC95" i="1"/>
  <c r="CN95" i="1"/>
  <c r="CH96" i="1"/>
  <c r="CA98" i="1"/>
  <c r="BJ99" i="1"/>
  <c r="AZ100" i="1"/>
  <c r="CE100" i="1"/>
  <c r="BN101" i="1"/>
  <c r="AW102" i="1"/>
  <c r="BX102" i="1"/>
  <c r="BF103" i="1"/>
  <c r="CG103" i="1"/>
  <c r="BN104" i="1"/>
  <c r="AW105" i="1"/>
  <c r="BV105" i="1"/>
  <c r="BF106" i="1"/>
  <c r="BN107" i="1"/>
  <c r="CM107" i="1"/>
  <c r="BV108" i="1"/>
  <c r="BC109" i="1"/>
  <c r="BL110" i="1"/>
  <c r="BT111" i="1"/>
  <c r="BC112" i="1"/>
  <c r="BZ71" i="1"/>
  <c r="BG94" i="1"/>
  <c r="CE109" i="1"/>
  <c r="CI69" i="1"/>
  <c r="BY71" i="1"/>
  <c r="CF72" i="1"/>
  <c r="AZ74" i="1"/>
  <c r="BN75" i="1"/>
  <c r="CB76" i="1"/>
  <c r="BZ77" i="1"/>
  <c r="CE78" i="1"/>
  <c r="CJ79" i="1"/>
  <c r="CJ80" i="1"/>
  <c r="CE81" i="1"/>
  <c r="AX83" i="1"/>
  <c r="BD84" i="1"/>
  <c r="CM84" i="1"/>
  <c r="AX86" i="1"/>
  <c r="AY87" i="1"/>
  <c r="CM87" i="1"/>
  <c r="CJ88" i="1"/>
  <c r="CJ89" i="1"/>
  <c r="CK90" i="1"/>
  <c r="CE91" i="1"/>
  <c r="CB92" i="1"/>
  <c r="BX93" i="1"/>
  <c r="BR94" i="1"/>
  <c r="BK95" i="1"/>
  <c r="BH96" i="1"/>
  <c r="BD97" i="1"/>
  <c r="CH97" i="1"/>
  <c r="BV99" i="1"/>
  <c r="BF100" i="1"/>
  <c r="CH100" i="1"/>
  <c r="BX101" i="1"/>
  <c r="BF102" i="1"/>
  <c r="CF102" i="1"/>
  <c r="BN103" i="1"/>
  <c r="CN103" i="1"/>
  <c r="BW104" i="1"/>
  <c r="BE105" i="1"/>
  <c r="CE105" i="1"/>
  <c r="BM106" i="1"/>
  <c r="CM106" i="1"/>
  <c r="BV107" i="1"/>
  <c r="BD108" i="1"/>
  <c r="CD108" i="1"/>
  <c r="BL109" i="1"/>
  <c r="CL109" i="1"/>
  <c r="BC111" i="1"/>
  <c r="CC111" i="1"/>
  <c r="BK112" i="1"/>
  <c r="CE112" i="1"/>
  <c r="BB74" i="1"/>
  <c r="CC76" i="1"/>
  <c r="CM79" i="1"/>
  <c r="BS69" i="1"/>
  <c r="BD71" i="1"/>
  <c r="BR72" i="1"/>
  <c r="CN73" i="1"/>
  <c r="BL75" i="1"/>
  <c r="BJ76" i="1"/>
  <c r="BS77" i="1"/>
  <c r="BX78" i="1"/>
  <c r="BW79" i="1"/>
  <c r="BY80" i="1"/>
  <c r="CC81" i="1"/>
  <c r="CH82" i="1"/>
  <c r="CG83" i="1"/>
  <c r="CK84" i="1"/>
  <c r="CN85" i="1"/>
  <c r="CJ86" i="1"/>
  <c r="CF87" i="1"/>
  <c r="CH88" i="1"/>
  <c r="CH89" i="1"/>
  <c r="BW90" i="1"/>
  <c r="BV91" i="1"/>
  <c r="BY92" i="1"/>
  <c r="BN93" i="1"/>
  <c r="BH94" i="1"/>
  <c r="BD95" i="1"/>
  <c r="AZ96" i="1"/>
  <c r="CI96" i="1"/>
  <c r="CF97" i="1"/>
  <c r="CB98" i="1"/>
  <c r="BN99" i="1"/>
  <c r="BA100" i="1"/>
  <c r="CF100" i="1"/>
  <c r="BV101" i="1"/>
  <c r="AX102" i="1"/>
  <c r="CD102" i="1"/>
  <c r="BG103" i="1"/>
  <c r="CL103" i="1"/>
  <c r="BO104" i="1"/>
  <c r="BC105" i="1"/>
  <c r="BW105" i="1"/>
  <c r="BK106" i="1"/>
  <c r="CF106" i="1"/>
  <c r="BS107" i="1"/>
  <c r="CN107" i="1"/>
  <c r="CB108" i="1"/>
  <c r="BD109" i="1"/>
  <c r="CJ109" i="1"/>
  <c r="BM110" i="1"/>
  <c r="AZ111" i="1"/>
  <c r="BU111" i="1"/>
  <c r="BI112" i="1"/>
  <c r="CB112" i="1"/>
  <c r="CA69" i="1"/>
  <c r="BW71" i="1"/>
  <c r="CB72" i="1"/>
  <c r="AY74" i="1"/>
  <c r="BM75" i="1"/>
  <c r="BU76" i="1"/>
  <c r="BT77" i="1"/>
  <c r="CC78" i="1"/>
  <c r="CI79" i="1"/>
  <c r="BZ80" i="1"/>
  <c r="CD81" i="1"/>
  <c r="CI82" i="1"/>
  <c r="CJ83" i="1"/>
  <c r="CL84" i="1"/>
  <c r="AW86" i="1"/>
  <c r="AW87" i="1"/>
  <c r="CJ87" i="1"/>
  <c r="CI88" i="1"/>
  <c r="CI89" i="1"/>
  <c r="CE90" i="1"/>
  <c r="CC91" i="1"/>
  <c r="CA92" i="1"/>
  <c r="BW93" i="1"/>
  <c r="BI94" i="1"/>
  <c r="BE95" i="1"/>
  <c r="BF96" i="1"/>
  <c r="CM96" i="1"/>
  <c r="CG97" i="1"/>
  <c r="CC98" i="1"/>
  <c r="BU99" i="1"/>
  <c r="BB100" i="1"/>
  <c r="CG100" i="1"/>
  <c r="BW101" i="1"/>
  <c r="AY102" i="1"/>
  <c r="CE102" i="1"/>
  <c r="BH103" i="1"/>
  <c r="CM103" i="1"/>
  <c r="BP104" i="1"/>
  <c r="BD105" i="1"/>
  <c r="BX105" i="1"/>
  <c r="BL106" i="1"/>
  <c r="CG106" i="1"/>
  <c r="BT107" i="1"/>
  <c r="AW108" i="1"/>
  <c r="CC108" i="1"/>
  <c r="BF109" i="1"/>
  <c r="CK109" i="1"/>
  <c r="BN110" i="1"/>
  <c r="BB111" i="1"/>
  <c r="BV111" i="1"/>
  <c r="BJ112" i="1"/>
  <c r="CD112" i="1"/>
  <c r="CD98" i="1"/>
  <c r="BT110" i="1"/>
  <c r="CJ69" i="1"/>
  <c r="BC73" i="1"/>
  <c r="BO75" i="1"/>
  <c r="CF77" i="1"/>
  <c r="CF78" i="1"/>
  <c r="AY81" i="1"/>
  <c r="CM81" i="1"/>
  <c r="BE73" i="1"/>
  <c r="BF84" i="1"/>
  <c r="CM89" i="1"/>
  <c r="BP95" i="1"/>
  <c r="BN100" i="1"/>
  <c r="AY104" i="1"/>
  <c r="BX107" i="1"/>
  <c r="BD111" i="1"/>
  <c r="BH74" i="1"/>
  <c r="BE85" i="1"/>
  <c r="CL90" i="1"/>
  <c r="BI96" i="1"/>
  <c r="CI100" i="1"/>
  <c r="BY104" i="1"/>
  <c r="BF108" i="1"/>
  <c r="BE111" i="1"/>
  <c r="BJ96" i="1"/>
  <c r="CA104" i="1"/>
  <c r="BH108" i="1"/>
  <c r="BF111" i="1"/>
  <c r="CD76" i="1"/>
  <c r="AZ86" i="1"/>
  <c r="CH91" i="1"/>
  <c r="BF97" i="1"/>
  <c r="BY101" i="1"/>
  <c r="BF105" i="1"/>
  <c r="CE111" i="1"/>
  <c r="AY78" i="1"/>
  <c r="BZ101" i="1"/>
  <c r="CG111" i="1"/>
  <c r="AY98" i="1"/>
  <c r="BC98" i="1"/>
  <c r="BL112" i="1"/>
  <c r="CJ98" i="1"/>
  <c r="BA92" i="1"/>
  <c r="CI78" i="1"/>
  <c r="BD87" i="1"/>
  <c r="BH102" i="1"/>
  <c r="CG105" i="1"/>
  <c r="BN109" i="1"/>
  <c r="CH111" i="1"/>
  <c r="CD92" i="1"/>
  <c r="CI105" i="1"/>
  <c r="BP109" i="1"/>
  <c r="AZ81" i="1"/>
  <c r="CM109" i="1"/>
  <c r="BQ75" i="1"/>
  <c r="BJ85" i="1"/>
  <c r="AY91" i="1"/>
  <c r="AX101" i="1"/>
  <c r="CE108" i="1"/>
  <c r="BE86" i="1"/>
  <c r="BG97" i="1"/>
  <c r="CF108" i="1"/>
  <c r="CC92" i="1"/>
  <c r="BF87" i="1"/>
  <c r="BJ102" i="1"/>
  <c r="BF88" i="1"/>
  <c r="CG102" i="1"/>
  <c r="BM112" i="1"/>
  <c r="BW94" i="1"/>
  <c r="BE84" i="1"/>
  <c r="BZ93" i="1"/>
  <c r="BY110" i="1"/>
  <c r="BM95" i="1"/>
  <c r="BG105" i="1"/>
  <c r="CN79" i="1"/>
  <c r="BN106" i="1"/>
  <c r="AZ107" i="1"/>
  <c r="CG71" i="1"/>
  <c r="CM112" i="1"/>
  <c r="BA83" i="1"/>
  <c r="BS103" i="1"/>
  <c r="AX104" i="1"/>
  <c r="BO106" i="1"/>
  <c r="BN112" i="1"/>
  <c r="CK69" i="1"/>
  <c r="BX99" i="1"/>
  <c r="CL89" i="1"/>
  <c r="BZ110" i="1"/>
  <c r="AY82" i="1"/>
  <c r="BG88" i="1"/>
  <c r="CA93" i="1"/>
  <c r="CL98" i="1"/>
  <c r="CH102" i="1"/>
  <c r="CN109" i="1"/>
  <c r="CK112" i="1"/>
  <c r="BM100" i="1"/>
  <c r="AZ83" i="1"/>
  <c r="CK88" i="1"/>
  <c r="BV94" i="1"/>
  <c r="BW99" i="1"/>
  <c r="BP103" i="1"/>
  <c r="AX107" i="1"/>
  <c r="BW110" i="1"/>
  <c r="CI112" i="1"/>
  <c r="BB89" i="1"/>
  <c r="BW107" i="1"/>
  <c r="CH90" i="1"/>
  <c r="BV87" i="1"/>
  <c r="BJ84" i="1"/>
  <c r="AX81" i="1"/>
  <c r="CD77" i="1"/>
  <c r="BR74" i="1"/>
  <c r="BF71" i="1"/>
  <c r="CG84" i="1"/>
  <c r="BU81" i="1"/>
  <c r="BI78" i="1"/>
  <c r="AW75" i="1"/>
  <c r="CC71" i="1"/>
  <c r="BV90" i="1"/>
  <c r="BJ87" i="1"/>
  <c r="AX84" i="1"/>
  <c r="CD80" i="1"/>
  <c r="BR77" i="1"/>
  <c r="BF74" i="1"/>
  <c r="CL70" i="1"/>
  <c r="BU84" i="1"/>
  <c r="BI81" i="1"/>
  <c r="AW78" i="1"/>
  <c r="CC74" i="1"/>
  <c r="BQ71" i="1"/>
  <c r="BJ90" i="1"/>
  <c r="AX87" i="1"/>
  <c r="CD83" i="1"/>
  <c r="BR80" i="1"/>
  <c r="BF77" i="1"/>
  <c r="CL73" i="1"/>
  <c r="BZ70" i="1"/>
  <c r="BI84" i="1"/>
  <c r="AW81" i="1"/>
  <c r="CC77" i="1"/>
  <c r="BQ74" i="1"/>
  <c r="BE71" i="1"/>
  <c r="AX90" i="1"/>
  <c r="CD86" i="1"/>
  <c r="BR83" i="1"/>
  <c r="BF80" i="1"/>
  <c r="CL76" i="1"/>
  <c r="BZ73" i="1"/>
  <c r="BN70" i="1"/>
  <c r="AW84" i="1"/>
  <c r="CC80" i="1"/>
  <c r="BQ77" i="1"/>
  <c r="BE74" i="1"/>
  <c r="CK70" i="1"/>
  <c r="CD89" i="1"/>
  <c r="BR86" i="1"/>
  <c r="BF83" i="1"/>
  <c r="CL79" i="1"/>
  <c r="BZ76" i="1"/>
  <c r="BN73" i="1"/>
  <c r="BB70" i="1"/>
  <c r="CC83" i="1"/>
  <c r="BQ80" i="1"/>
  <c r="BE77" i="1"/>
  <c r="CK73" i="1"/>
  <c r="BY70" i="1"/>
  <c r="BR89" i="1"/>
  <c r="BF86" i="1"/>
  <c r="CL82" i="1"/>
  <c r="BZ79" i="1"/>
  <c r="BN76" i="1"/>
  <c r="BB73" i="1"/>
  <c r="CH69" i="1"/>
  <c r="BQ83" i="1"/>
  <c r="BE80" i="1"/>
  <c r="CK76" i="1"/>
  <c r="BY73" i="1"/>
  <c r="BM70" i="1"/>
  <c r="BF89" i="1"/>
  <c r="CL85" i="1"/>
  <c r="BZ82" i="1"/>
  <c r="BN79" i="1"/>
  <c r="BB76" i="1"/>
  <c r="CH72" i="1"/>
  <c r="BV69" i="1"/>
  <c r="BE83" i="1"/>
  <c r="CK79" i="1"/>
  <c r="BY76" i="1"/>
  <c r="BM73" i="1"/>
  <c r="BA70" i="1"/>
  <c r="CL88" i="1"/>
  <c r="BZ85" i="1"/>
  <c r="BN82" i="1"/>
  <c r="BB79" i="1"/>
  <c r="CH75" i="1"/>
  <c r="BV72" i="1"/>
  <c r="BJ69" i="1"/>
  <c r="CK82" i="1"/>
  <c r="BY79" i="1"/>
  <c r="BM76" i="1"/>
  <c r="BA73" i="1"/>
  <c r="CG69" i="1"/>
  <c r="CL91" i="1"/>
  <c r="BZ88" i="1"/>
  <c r="BN85" i="1"/>
  <c r="BB82" i="1"/>
  <c r="CH78" i="1"/>
  <c r="BV75" i="1"/>
  <c r="BJ72" i="1"/>
  <c r="AX69" i="1"/>
  <c r="BY82" i="1"/>
  <c r="BM79" i="1"/>
  <c r="BA76" i="1"/>
  <c r="CG72" i="1"/>
  <c r="BU69" i="1"/>
  <c r="BB91" i="1"/>
  <c r="AX78" i="1"/>
  <c r="CG81" i="1"/>
  <c r="BN88" i="1"/>
  <c r="BJ75" i="1"/>
  <c r="BA79" i="1"/>
  <c r="BB88" i="1"/>
  <c r="AX75" i="1"/>
  <c r="CG78" i="1"/>
  <c r="CH87" i="1"/>
  <c r="CD74" i="1"/>
  <c r="BU78" i="1"/>
  <c r="BB85" i="1"/>
  <c r="AX72" i="1"/>
  <c r="CG75" i="1"/>
  <c r="CH84" i="1"/>
  <c r="CD71" i="1"/>
  <c r="BU75" i="1"/>
  <c r="BV84" i="1"/>
  <c r="BR71" i="1"/>
  <c r="BI75" i="1"/>
  <c r="CH81" i="1"/>
  <c r="BY85" i="1"/>
  <c r="BU72" i="1"/>
  <c r="BN91" i="1"/>
  <c r="BJ78" i="1"/>
  <c r="BA82" i="1"/>
  <c r="BV78" i="1"/>
  <c r="BI69" i="1"/>
  <c r="BZ91" i="1"/>
  <c r="BV81" i="1"/>
  <c r="BJ81" i="1"/>
  <c r="BM85" i="1"/>
  <c r="BM82" i="1"/>
  <c r="BA85" i="1"/>
  <c r="BI72" i="1"/>
  <c r="AW72" i="1"/>
  <c r="AZ219" i="1"/>
  <c r="BT250" i="1"/>
  <c r="BO239" i="1"/>
  <c r="BO248" i="1"/>
  <c r="BC243" i="1"/>
  <c r="CM241" i="1"/>
  <c r="BY248" i="1"/>
  <c r="BJ238" i="1"/>
  <c r="CD222" i="1"/>
  <c r="BJ258" i="1"/>
  <c r="CL258" i="1"/>
  <c r="BY240" i="1"/>
  <c r="BV222" i="1"/>
  <c r="CD245" i="1"/>
  <c r="CD252" i="1"/>
  <c r="CE234" i="1"/>
  <c r="CI229" i="1"/>
  <c r="CB221" i="1"/>
  <c r="AX252" i="1"/>
  <c r="BQ224" i="1"/>
  <c r="BT252" i="1"/>
  <c r="BY245" i="1"/>
  <c r="BN221" i="1"/>
  <c r="BL238" i="1"/>
  <c r="BX230" i="1"/>
  <c r="CA246" i="1"/>
  <c r="CN246" i="1"/>
  <c r="CM221" i="1"/>
  <c r="BP235" i="1"/>
  <c r="AW239" i="1"/>
  <c r="BE221" i="1"/>
  <c r="CJ233" i="1"/>
  <c r="BO227" i="1"/>
  <c r="BG225" i="1"/>
  <c r="BD248" i="1"/>
  <c r="CL244" i="1"/>
  <c r="BS260" i="1"/>
  <c r="BC231" i="1"/>
  <c r="BV233" i="1"/>
  <c r="BD251" i="1"/>
  <c r="CJ234" i="1"/>
  <c r="BI226" i="1"/>
  <c r="BQ227" i="1"/>
  <c r="BD220" i="1"/>
  <c r="CL254" i="1"/>
  <c r="CA222" i="1"/>
  <c r="CA239" i="1"/>
  <c r="CL238" i="1"/>
  <c r="BP234" i="1"/>
  <c r="BC262" i="1"/>
  <c r="BZ260" i="1"/>
  <c r="BB261" i="1"/>
  <c r="BI251" i="1"/>
  <c r="CE255" i="1"/>
  <c r="BY253" i="1"/>
  <c r="BM249" i="1"/>
  <c r="BT241" i="1"/>
  <c r="BQ239" i="1"/>
  <c r="BJ250" i="1"/>
  <c r="BT234" i="1"/>
  <c r="BQ248" i="1"/>
  <c r="CB247" i="1"/>
  <c r="CE225" i="1"/>
  <c r="BQ258" i="1"/>
  <c r="CN249" i="1"/>
  <c r="CN233" i="1"/>
  <c r="BN236" i="1"/>
  <c r="CM245" i="1"/>
  <c r="CD240" i="1"/>
  <c r="BF238" i="1"/>
  <c r="CC259" i="1"/>
  <c r="AY219" i="1"/>
  <c r="BP232" i="1"/>
  <c r="CN228" i="1"/>
  <c r="BB228" i="1"/>
  <c r="CF224" i="1"/>
  <c r="BN232" i="1"/>
  <c r="CE220" i="1"/>
  <c r="BC221" i="1"/>
  <c r="CI236" i="1"/>
  <c r="BX257" i="1"/>
  <c r="BX239" i="1"/>
  <c r="CL236" i="1"/>
  <c r="CN221" i="1"/>
  <c r="BV229" i="1"/>
  <c r="BY258" i="1"/>
  <c r="BZ230" i="1"/>
  <c r="BV253" i="1"/>
  <c r="BJ253" i="1"/>
  <c r="CA227" i="1"/>
  <c r="BL258" i="1"/>
  <c r="BZ238" i="1"/>
  <c r="BZ224" i="1"/>
  <c r="CA226" i="1"/>
  <c r="BM226" i="1"/>
  <c r="BO238" i="1"/>
  <c r="BC248" i="1"/>
  <c r="BD219" i="1"/>
  <c r="BI224" i="1"/>
  <c r="CM253" i="1"/>
  <c r="BJ255" i="1"/>
  <c r="CJ262" i="1"/>
  <c r="BY260" i="1"/>
  <c r="BZ261" i="1"/>
  <c r="CJ261" i="1"/>
  <c r="BO243" i="1"/>
  <c r="BO242" i="1"/>
  <c r="CD258" i="1"/>
  <c r="CC250" i="1"/>
  <c r="BD228" i="1"/>
  <c r="CC260" i="1"/>
  <c r="BJ249" i="1"/>
  <c r="BE249" i="1"/>
  <c r="BU235" i="1"/>
  <c r="AX236" i="1"/>
  <c r="CL240" i="1"/>
  <c r="CA232" i="1"/>
  <c r="BO220" i="1"/>
  <c r="BX221" i="1"/>
  <c r="BO260" i="1"/>
  <c r="CE257" i="1"/>
  <c r="BP250" i="1"/>
  <c r="BB242" i="1"/>
  <c r="BU239" i="1"/>
  <c r="CH234" i="1"/>
  <c r="CN232" i="1"/>
  <c r="CL245" i="1"/>
  <c r="AZ245" i="1"/>
  <c r="BI220" i="1"/>
  <c r="BC253" i="1"/>
  <c r="BZ262" i="1"/>
  <c r="BE261" i="1"/>
  <c r="BX226" i="1"/>
  <c r="CN256" i="1"/>
  <c r="BE237" i="1"/>
  <c r="CL234" i="1"/>
  <c r="BE257" i="1"/>
  <c r="CI234" i="1"/>
  <c r="CG231" i="1"/>
  <c r="BG226" i="1"/>
  <c r="BX224" i="1"/>
  <c r="CH224" i="1"/>
  <c r="BT221" i="1"/>
  <c r="CI260" i="1"/>
  <c r="CI222" i="1"/>
  <c r="BY234" i="1"/>
  <c r="BX260" i="1"/>
  <c r="CN245" i="1"/>
  <c r="CA254" i="1"/>
  <c r="BN259" i="1"/>
  <c r="BQ242" i="1"/>
  <c r="BJ219" i="1"/>
  <c r="BN261" i="1"/>
  <c r="CL219" i="1"/>
  <c r="CA223" i="1"/>
  <c r="BY256" i="1"/>
  <c r="BG256" i="1"/>
  <c r="BX258" i="1"/>
  <c r="CM238" i="1"/>
  <c r="CE248" i="1"/>
  <c r="BT253" i="1"/>
  <c r="CL230" i="1"/>
  <c r="BC240" i="1"/>
  <c r="CJ231" i="1"/>
  <c r="CA241" i="1"/>
  <c r="CJ226" i="1"/>
  <c r="AX250" i="1"/>
  <c r="AZ243" i="1"/>
  <c r="BY219" i="1"/>
  <c r="CE259" i="1"/>
  <c r="BC244" i="1"/>
  <c r="BT240" i="1"/>
  <c r="BP260" i="1"/>
  <c r="CM252" i="1"/>
  <c r="BP256" i="1"/>
  <c r="BM236" i="1"/>
  <c r="BW236" i="1"/>
  <c r="BO249" i="1"/>
  <c r="BW243" i="1"/>
  <c r="BD252" i="1"/>
  <c r="AW243" i="1"/>
  <c r="CE230" i="1"/>
  <c r="BJ233" i="1"/>
  <c r="CD255" i="1"/>
  <c r="BP249" i="1"/>
  <c r="BD225" i="1"/>
  <c r="AY228" i="1"/>
  <c r="BL251" i="1"/>
  <c r="AZ246" i="1"/>
  <c r="BV254" i="1"/>
  <c r="AX242" i="1"/>
  <c r="BC222" i="1"/>
  <c r="CE233" i="1"/>
  <c r="BA230" i="1"/>
  <c r="BY238" i="1"/>
  <c r="CL251" i="1"/>
  <c r="BT225" i="1"/>
  <c r="CB240" i="1"/>
  <c r="BP219" i="1"/>
  <c r="BD241" i="1"/>
  <c r="BS249" i="1"/>
  <c r="CA225" i="1"/>
  <c r="CA247" i="1"/>
  <c r="CB253" i="1"/>
  <c r="BQ225" i="1"/>
  <c r="CJ237" i="1"/>
  <c r="BN233" i="1"/>
  <c r="BZ231" i="1"/>
  <c r="CJ260" i="1"/>
  <c r="CM230" i="1"/>
  <c r="CK221" i="1"/>
  <c r="AY221" i="1"/>
  <c r="BV221" i="1"/>
  <c r="CP69" i="1" a="1"/>
  <c r="AX244" i="1" l="1"/>
  <c r="AY229" i="1"/>
  <c r="CF227" i="1"/>
  <c r="BD231" i="1"/>
  <c r="CM231" i="1"/>
  <c r="BI229" i="1"/>
  <c r="BH227" i="1"/>
  <c r="BZ243" i="1"/>
  <c r="BA242" i="1"/>
  <c r="AY227" i="1"/>
  <c r="CC246" i="1"/>
  <c r="CM226" i="1"/>
  <c r="BD243" i="1"/>
  <c r="AZ225" i="1"/>
  <c r="BC226" i="1"/>
  <c r="BG245" i="1"/>
  <c r="BM235" i="1"/>
  <c r="CM255" i="1"/>
  <c r="AX224" i="1"/>
  <c r="BZ256" i="1"/>
  <c r="AY238" i="1"/>
  <c r="CI235" i="1"/>
  <c r="BV246" i="1"/>
  <c r="CN240" i="1"/>
  <c r="BR260" i="1"/>
  <c r="CK226" i="1"/>
  <c r="BQ241" i="1"/>
  <c r="CG246" i="1"/>
  <c r="BD261" i="1"/>
  <c r="BU255" i="1"/>
  <c r="CB227" i="1"/>
  <c r="BV239" i="1"/>
  <c r="BI257" i="1"/>
  <c r="CG228" i="1"/>
  <c r="BH233" i="1"/>
  <c r="BF241" i="1"/>
  <c r="BL259" i="1"/>
  <c r="CG222" i="1"/>
  <c r="BP230" i="1"/>
  <c r="BM221" i="1"/>
  <c r="BP242" i="1"/>
  <c r="CM224" i="1"/>
  <c r="CC236" i="1"/>
  <c r="CN226" i="1"/>
  <c r="BX240" i="1"/>
  <c r="CF240" i="1"/>
  <c r="BB233" i="1"/>
  <c r="CA252" i="1"/>
  <c r="BB232" i="1"/>
  <c r="BF253" i="1"/>
  <c r="BU259" i="1"/>
  <c r="BK246" i="1"/>
  <c r="BH258" i="1"/>
  <c r="CP258" i="1" s="1"/>
  <c r="CF251" i="1"/>
  <c r="BA244" i="1"/>
  <c r="BA261" i="1"/>
  <c r="BQ234" i="1"/>
  <c r="BM242" i="1"/>
  <c r="BW222" i="1"/>
  <c r="BA232" i="1"/>
  <c r="BG229" i="1"/>
  <c r="BW226" i="1"/>
  <c r="CK222" i="1"/>
  <c r="CJ250" i="1"/>
  <c r="BH234" i="1"/>
  <c r="CP234" i="1" s="1"/>
  <c r="AY222" i="1"/>
  <c r="BK232" i="1"/>
  <c r="CF230" i="1"/>
  <c r="BA243" i="1"/>
  <c r="BR232" i="1"/>
  <c r="CK233" i="1"/>
  <c r="BM220" i="1"/>
  <c r="BR220" i="1"/>
  <c r="BQ259" i="1"/>
  <c r="CG244" i="1"/>
  <c r="CK224" i="1"/>
  <c r="CH222" i="1"/>
  <c r="CH252" i="1"/>
  <c r="BY257" i="1"/>
  <c r="BJ247" i="1"/>
  <c r="BB223" i="1"/>
  <c r="BJ224" i="1"/>
  <c r="BJ231" i="1"/>
  <c r="BY237" i="1"/>
  <c r="CD257" i="1"/>
  <c r="CC252" i="1"/>
  <c r="CI259" i="1"/>
  <c r="AX239" i="1"/>
  <c r="BL219" i="1"/>
  <c r="BD232" i="1"/>
  <c r="CB235" i="1"/>
  <c r="BU222" i="1"/>
  <c r="BB247" i="1"/>
  <c r="BJ246" i="1"/>
  <c r="BU245" i="1"/>
  <c r="CN225" i="1"/>
  <c r="BX236" i="1"/>
  <c r="CI242" i="1"/>
  <c r="BM239" i="1"/>
  <c r="BO225" i="1"/>
  <c r="BW255" i="1"/>
  <c r="BE256" i="1"/>
  <c r="BY220" i="1"/>
  <c r="CJ253" i="1"/>
  <c r="BL224" i="1"/>
  <c r="BL254" i="1"/>
  <c r="BZ227" i="1"/>
  <c r="CC235" i="1"/>
  <c r="AX243" i="1"/>
  <c r="CE247" i="1"/>
  <c r="CJ246" i="1"/>
  <c r="CN234" i="1"/>
  <c r="CC248" i="1"/>
  <c r="CD248" i="1"/>
  <c r="BO236" i="1"/>
  <c r="BC235" i="1"/>
  <c r="CA233" i="1"/>
  <c r="BV220" i="1"/>
  <c r="BX234" i="1"/>
  <c r="BC225" i="1"/>
  <c r="BO229" i="1"/>
  <c r="CN229" i="1"/>
  <c r="BM229" i="1"/>
  <c r="CC238" i="1"/>
  <c r="CE260" i="1"/>
  <c r="AX251" i="1"/>
  <c r="CA224" i="1"/>
  <c r="BX252" i="1"/>
  <c r="BO226" i="1"/>
  <c r="BI232" i="1"/>
  <c r="BX219" i="1"/>
  <c r="BP253" i="1"/>
  <c r="BV241" i="1"/>
  <c r="CL247" i="1"/>
  <c r="BE234" i="1"/>
  <c r="BT236" i="1"/>
  <c r="BN242" i="1"/>
  <c r="BP257" i="1"/>
  <c r="CI262" i="1"/>
  <c r="BH229" i="1"/>
  <c r="CI252" i="1"/>
  <c r="CJ248" i="1"/>
  <c r="BJ251" i="1"/>
  <c r="CF258" i="1"/>
  <c r="BF249" i="1"/>
  <c r="CL262" i="1"/>
  <c r="BS237" i="1"/>
  <c r="BW241" i="1"/>
  <c r="BX256" i="1"/>
  <c r="BR231" i="1"/>
  <c r="BK233" i="1"/>
  <c r="BR228" i="1"/>
  <c r="BM261" i="1"/>
  <c r="CM254" i="1"/>
  <c r="CA259" i="1"/>
  <c r="CK229" i="1"/>
  <c r="BP240" i="1"/>
  <c r="BG236" i="1"/>
  <c r="BQ233" i="1"/>
  <c r="BW230" i="1"/>
  <c r="BH241" i="1"/>
  <c r="BU246" i="1"/>
  <c r="CH223" i="1"/>
  <c r="CF247" i="1"/>
  <c r="BG258" i="1"/>
  <c r="BF223" i="1"/>
  <c r="BL230" i="1"/>
  <c r="CG249" i="1"/>
  <c r="BN255" i="1"/>
  <c r="CA245" i="1"/>
  <c r="BA238" i="1"/>
  <c r="BO254" i="1"/>
  <c r="BA219" i="1"/>
  <c r="CM244" i="1"/>
  <c r="BE238" i="1"/>
  <c r="BT262" i="1"/>
  <c r="BL227" i="1"/>
  <c r="AW252" i="1"/>
  <c r="BP227" i="1"/>
  <c r="BQ219" i="1"/>
  <c r="BQ253" i="1"/>
  <c r="BH228" i="1"/>
  <c r="BF243" i="1"/>
  <c r="BF257" i="1"/>
  <c r="BR253" i="1"/>
  <c r="BH261" i="1"/>
  <c r="CH237" i="1"/>
  <c r="AY261" i="1"/>
  <c r="CE249" i="1"/>
  <c r="BR252" i="1"/>
  <c r="CB249" i="1"/>
  <c r="BG239" i="1"/>
  <c r="BK259" i="1"/>
  <c r="AW226" i="1"/>
  <c r="CG260" i="1"/>
  <c r="BK256" i="1"/>
  <c r="BK239" i="1"/>
  <c r="BA253" i="1"/>
  <c r="BH235" i="1"/>
  <c r="BF231" i="1"/>
  <c r="BA248" i="1"/>
  <c r="CH235" i="1"/>
  <c r="CK223" i="1"/>
  <c r="AY248" i="1"/>
  <c r="BK249" i="1"/>
  <c r="BH259" i="1"/>
  <c r="BQ235" i="1"/>
  <c r="AW251" i="1"/>
  <c r="AY226" i="1"/>
  <c r="BR261" i="1"/>
  <c r="BJ254" i="1"/>
  <c r="BN241" i="1"/>
  <c r="AX226" i="1"/>
  <c r="BN239" i="1"/>
  <c r="BY231" i="1"/>
  <c r="CJ228" i="1"/>
  <c r="BZ251" i="1"/>
  <c r="AX219" i="1"/>
  <c r="CP219" i="1" s="1"/>
  <c r="BO223" i="1"/>
  <c r="BY261" i="1"/>
  <c r="AX229" i="1"/>
  <c r="BP259" i="1"/>
  <c r="BN243" i="1"/>
  <c r="BJ225" i="1"/>
  <c r="CE232" i="1"/>
  <c r="BT219" i="1"/>
  <c r="AX248" i="1"/>
  <c r="BX261" i="1"/>
  <c r="CN222" i="1"/>
  <c r="BO250" i="1"/>
  <c r="BP255" i="1"/>
  <c r="CM228" i="1"/>
  <c r="CE222" i="1"/>
  <c r="BE242" i="1"/>
  <c r="CA219" i="1"/>
  <c r="BM244" i="1"/>
  <c r="BD224" i="1"/>
  <c r="BL226" i="1"/>
  <c r="BJ259" i="1"/>
  <c r="CD249" i="1"/>
  <c r="BP262" i="1"/>
  <c r="BO261" i="1"/>
  <c r="BY243" i="1"/>
  <c r="CI248" i="1"/>
  <c r="BV234" i="1"/>
  <c r="BS254" i="1"/>
  <c r="CD224" i="1"/>
  <c r="CD251" i="1"/>
  <c r="CN254" i="1"/>
  <c r="BX220" i="1"/>
  <c r="CI224" i="1"/>
  <c r="AX259" i="1"/>
  <c r="BL232" i="1"/>
  <c r="BD239" i="1"/>
  <c r="BI222" i="1"/>
  <c r="BV262" i="1"/>
  <c r="CA250" i="1"/>
  <c r="BP254" i="1"/>
  <c r="CC249" i="1"/>
  <c r="CE224" i="1"/>
  <c r="BN231" i="1"/>
  <c r="BL221" i="1"/>
  <c r="BL220" i="1"/>
  <c r="CC234" i="1"/>
  <c r="CB252" i="1"/>
  <c r="CI261" i="1"/>
  <c r="BV224" i="1"/>
  <c r="CC228" i="1"/>
  <c r="CB229" i="1"/>
  <c r="BW239" i="1"/>
  <c r="BE232" i="1"/>
  <c r="BC254" i="1"/>
  <c r="BY239" i="1"/>
  <c r="CB223" i="1"/>
  <c r="AZ253" i="1"/>
  <c r="BL252" i="1"/>
  <c r="BD235" i="1"/>
  <c r="CI246" i="1"/>
  <c r="AW247" i="1"/>
  <c r="CP247" i="1" s="1"/>
  <c r="AZ221" i="1"/>
  <c r="CP221" i="1" s="1"/>
  <c r="AZ242" i="1"/>
  <c r="CH226" i="1"/>
  <c r="BJ239" i="1"/>
  <c r="CB231" i="1"/>
  <c r="CC247" i="1"/>
  <c r="BT228" i="1"/>
  <c r="BS255" i="1"/>
  <c r="CB254" i="1"/>
  <c r="BO259" i="1"/>
  <c r="CF250" i="1"/>
  <c r="BY225" i="1"/>
  <c r="BL228" i="1"/>
  <c r="BR245" i="1"/>
  <c r="CP245" i="1" s="1"/>
  <c r="BF261" i="1"/>
  <c r="BR224" i="1"/>
  <c r="BW256" i="1"/>
  <c r="BB221" i="1"/>
  <c r="BX251" i="1"/>
  <c r="BR244" i="1"/>
  <c r="BA239" i="1"/>
  <c r="CI237" i="1"/>
  <c r="BC228" i="1"/>
  <c r="BU223" i="1"/>
  <c r="AZ251" i="1"/>
  <c r="CA260" i="1"/>
  <c r="AZ234" i="1"/>
  <c r="BW249" i="1"/>
  <c r="BE246" i="1"/>
  <c r="BS248" i="1"/>
  <c r="BO231" i="1"/>
  <c r="BD234" i="1"/>
  <c r="BZ252" i="1"/>
  <c r="BR234" i="1"/>
  <c r="BU219" i="1"/>
  <c r="BS259" i="1"/>
  <c r="CB228" i="1"/>
  <c r="CM239" i="1"/>
  <c r="CF236" i="1"/>
  <c r="AY239" i="1"/>
  <c r="BH237" i="1"/>
  <c r="BG241" i="1"/>
  <c r="BU227" i="1"/>
  <c r="BK251" i="1"/>
  <c r="BZ250" i="1"/>
  <c r="BH247" i="1"/>
  <c r="BA235" i="1"/>
  <c r="BK254" i="1"/>
  <c r="BB229" i="1"/>
  <c r="BW231" i="1"/>
  <c r="CF221" i="1"/>
  <c r="BI252" i="1"/>
  <c r="BW247" i="1"/>
  <c r="CB257" i="1"/>
  <c r="BM241" i="1"/>
  <c r="CH240" i="1"/>
  <c r="BM245" i="1"/>
  <c r="AY251" i="1"/>
  <c r="AW230" i="1"/>
  <c r="BF234" i="1"/>
  <c r="CF261" i="1"/>
  <c r="CG226" i="1"/>
  <c r="BK226" i="1"/>
  <c r="CJ244" i="1"/>
  <c r="BG244" i="1"/>
  <c r="CF256" i="1"/>
  <c r="CK245" i="1"/>
  <c r="BA260" i="1"/>
  <c r="CE252" i="1"/>
  <c r="CK232" i="1"/>
  <c r="CK246" i="1"/>
  <c r="CG250" i="1"/>
  <c r="CK225" i="1"/>
  <c r="CH247" i="1"/>
  <c r="BK228" i="1"/>
  <c r="BE247" i="1"/>
  <c r="BU232" i="1"/>
  <c r="BA236" i="1"/>
  <c r="AY244" i="1"/>
  <c r="CG255" i="1"/>
  <c r="CF237" i="1"/>
  <c r="BD229" i="1"/>
  <c r="CC219" i="1"/>
  <c r="CC233" i="1"/>
  <c r="AX254" i="1"/>
  <c r="BS257" i="1"/>
  <c r="BB258" i="1"/>
  <c r="BN238" i="1"/>
  <c r="BY235" i="1"/>
  <c r="BV249" i="1"/>
  <c r="BU258" i="1"/>
  <c r="AW257" i="1"/>
  <c r="BB237" i="1"/>
  <c r="BM228" i="1"/>
  <c r="BX241" i="1"/>
  <c r="BC219" i="1"/>
  <c r="BY255" i="1"/>
  <c r="CI257" i="1"/>
  <c r="BD247" i="1"/>
  <c r="AZ255" i="1"/>
  <c r="BP229" i="1"/>
  <c r="CN257" i="1"/>
  <c r="BO262" i="1"/>
  <c r="BG231" i="1"/>
  <c r="CM262" i="1"/>
  <c r="BJ230" i="1"/>
  <c r="BX225" i="1"/>
  <c r="CJ224" i="1"/>
  <c r="CN219" i="1"/>
  <c r="CM233" i="1"/>
  <c r="BQ240" i="1"/>
  <c r="BN220" i="1"/>
  <c r="BI238" i="1"/>
  <c r="BZ244" i="1"/>
  <c r="CC222" i="1"/>
  <c r="BS231" i="1"/>
  <c r="CI233" i="1"/>
  <c r="CB256" i="1"/>
  <c r="BB248" i="1"/>
  <c r="CA221" i="1"/>
  <c r="BT222" i="1"/>
  <c r="BI221" i="1"/>
  <c r="CA240" i="1"/>
  <c r="BC251" i="1"/>
  <c r="BN246" i="1"/>
  <c r="BS243" i="1"/>
  <c r="BN244" i="1"/>
  <c r="BD256" i="1"/>
  <c r="BQ229" i="1"/>
  <c r="BE219" i="1"/>
  <c r="BN224" i="1"/>
  <c r="BI223" i="1"/>
  <c r="BX244" i="1"/>
  <c r="BL260" i="1"/>
  <c r="BS233" i="1"/>
  <c r="BB226" i="1"/>
  <c r="BO224" i="1"/>
  <c r="BB259" i="1"/>
  <c r="BX248" i="1"/>
  <c r="AZ254" i="1"/>
  <c r="BG220" i="1"/>
  <c r="BX238" i="1"/>
  <c r="AY230" i="1"/>
  <c r="BW225" i="1"/>
  <c r="BJ221" i="1"/>
  <c r="CI228" i="1"/>
  <c r="CA255" i="1"/>
  <c r="CB225" i="1"/>
  <c r="CD223" i="1"/>
  <c r="CJ219" i="1"/>
  <c r="BI236" i="1"/>
  <c r="AX258" i="1"/>
  <c r="BB236" i="1"/>
  <c r="BM222" i="1"/>
  <c r="CH230" i="1"/>
  <c r="BX235" i="1"/>
  <c r="CE250" i="1"/>
  <c r="CH220" i="1"/>
  <c r="BK238" i="1"/>
  <c r="BQ261" i="1"/>
  <c r="CH227" i="1"/>
  <c r="CA243" i="1"/>
  <c r="BN250" i="1"/>
  <c r="AW260" i="1"/>
  <c r="CL233" i="1"/>
  <c r="BW244" i="1"/>
  <c r="BC260" i="1"/>
  <c r="BU238" i="1"/>
  <c r="BU257" i="1"/>
  <c r="BO230" i="1"/>
  <c r="BR227" i="1"/>
  <c r="CA230" i="1"/>
  <c r="BR226" i="1"/>
  <c r="CG243" i="1"/>
  <c r="AZ220" i="1"/>
  <c r="BR257" i="1"/>
  <c r="BG219" i="1"/>
  <c r="BD244" i="1"/>
  <c r="CK227" i="1"/>
  <c r="CG220" i="1"/>
  <c r="BL255" i="1"/>
  <c r="BM219" i="1"/>
  <c r="BG257" i="1"/>
  <c r="CN223" i="1"/>
  <c r="BS229" i="1"/>
  <c r="BZ222" i="1"/>
  <c r="AW224" i="1"/>
  <c r="BV260" i="1"/>
  <c r="BN260" i="1"/>
  <c r="BF236" i="1"/>
  <c r="BT260" i="1"/>
  <c r="BW219" i="1"/>
  <c r="BH231" i="1"/>
  <c r="CB262" i="1"/>
  <c r="CJ258" i="1"/>
  <c r="CG229" i="1"/>
  <c r="CC230" i="1"/>
  <c r="BW246" i="1"/>
  <c r="CC231" i="1"/>
  <c r="BE255" i="1"/>
  <c r="BP261" i="1"/>
  <c r="BW234" i="1"/>
  <c r="BQ246" i="1"/>
  <c r="AY232" i="1"/>
  <c r="CA248" i="1"/>
  <c r="BL233" i="1"/>
  <c r="AY255" i="1"/>
  <c r="BQ260" i="1"/>
  <c r="BF222" i="1"/>
  <c r="BG259" i="1"/>
  <c r="CA244" i="1"/>
  <c r="BU247" i="1"/>
  <c r="BT242" i="1"/>
  <c r="AY231" i="1"/>
  <c r="BC230" i="1"/>
  <c r="CI255" i="1"/>
  <c r="CK261" i="1"/>
  <c r="BR251" i="1"/>
  <c r="BD240" i="1"/>
  <c r="AY242" i="1"/>
  <c r="BH238" i="1"/>
  <c r="CH221" i="1"/>
  <c r="BK240" i="1"/>
  <c r="BR235" i="1"/>
  <c r="BH240" i="1"/>
  <c r="CG225" i="1"/>
  <c r="BK234" i="1"/>
  <c r="BS261" i="1"/>
  <c r="BU248" i="1"/>
  <c r="BL234" i="1"/>
  <c r="BU242" i="1"/>
  <c r="BK222" i="1"/>
  <c r="BE244" i="1"/>
  <c r="BF259" i="1"/>
  <c r="CK257" i="1"/>
  <c r="BK252" i="1"/>
  <c r="BH256" i="1"/>
  <c r="BR262" i="1"/>
  <c r="BA229" i="1"/>
  <c r="BK244" i="1"/>
  <c r="CJ255" i="1"/>
  <c r="BF237" i="1"/>
  <c r="AY237" i="1"/>
  <c r="BH254" i="1"/>
  <c r="BA257" i="1"/>
  <c r="BK242" i="1"/>
  <c r="AX255" i="1"/>
  <c r="BJ232" i="1"/>
  <c r="CD259" i="1"/>
  <c r="BD246" i="1"/>
  <c r="BV235" i="1"/>
  <c r="AZ259" i="1"/>
  <c r="BC238" i="1"/>
  <c r="BD221" i="1"/>
  <c r="BM231" i="1"/>
  <c r="BC229" i="1"/>
  <c r="BN225" i="1"/>
  <c r="BW251" i="1"/>
  <c r="BB251" i="1"/>
  <c r="BV255" i="1"/>
  <c r="CE245" i="1"/>
  <c r="BY241" i="1"/>
  <c r="BO233" i="1"/>
  <c r="BT239" i="1"/>
  <c r="AW238" i="1"/>
  <c r="CP238" i="1" s="1"/>
  <c r="CA220" i="1"/>
  <c r="BO219" i="1"/>
  <c r="CE243" i="1"/>
  <c r="CD225" i="1"/>
  <c r="BX253" i="1"/>
  <c r="CB219" i="1"/>
  <c r="CJ220" i="1"/>
  <c r="BE252" i="1"/>
  <c r="BY223" i="1"/>
  <c r="BJ260" i="1"/>
  <c r="CL257" i="1"/>
  <c r="BD250" i="1"/>
  <c r="BI237" i="1"/>
  <c r="BO252" i="1"/>
  <c r="BT259" i="1"/>
  <c r="CA262" i="1"/>
  <c r="BT220" i="1"/>
  <c r="CJ236" i="1"/>
  <c r="BO247" i="1"/>
  <c r="AZ232" i="1"/>
  <c r="BC237" i="1"/>
  <c r="AY247" i="1"/>
  <c r="BL222" i="1"/>
  <c r="BG255" i="1"/>
  <c r="BP226" i="1"/>
  <c r="BH244" i="1"/>
  <c r="BZ229" i="1"/>
  <c r="BH248" i="1"/>
  <c r="BR250" i="1"/>
  <c r="BF258" i="1"/>
  <c r="AZ241" i="1"/>
  <c r="BE258" i="1"/>
  <c r="BB230" i="1"/>
  <c r="BP224" i="1"/>
  <c r="BN228" i="1"/>
  <c r="BU234" i="1"/>
  <c r="BA259" i="1"/>
  <c r="BB219" i="1"/>
  <c r="CI247" i="1"/>
  <c r="CM232" i="1"/>
  <c r="BQ222" i="1"/>
  <c r="CF235" i="1"/>
  <c r="CD244" i="1"/>
  <c r="BY236" i="1"/>
  <c r="BB256" i="1"/>
  <c r="BD223" i="1"/>
  <c r="CD260" i="1"/>
  <c r="CM249" i="1"/>
  <c r="CD230" i="1"/>
  <c r="BU221" i="1"/>
  <c r="CL256" i="1"/>
  <c r="BE260" i="1"/>
  <c r="CA261" i="1"/>
  <c r="BS241" i="1"/>
  <c r="BE235" i="1"/>
  <c r="CC253" i="1"/>
  <c r="BU236" i="1"/>
  <c r="BC257" i="1"/>
  <c r="CM220" i="1"/>
  <c r="BB249" i="1"/>
  <c r="BS239" i="1"/>
  <c r="BO222" i="1"/>
  <c r="BE227" i="1"/>
  <c r="BZ233" i="1"/>
  <c r="BO240" i="1"/>
  <c r="BI253" i="1"/>
  <c r="BV230" i="1"/>
  <c r="BB246" i="1"/>
  <c r="CB236" i="1"/>
  <c r="CL249" i="1"/>
  <c r="BO245" i="1"/>
  <c r="CL255" i="1"/>
  <c r="BY226" i="1"/>
  <c r="CF245" i="1"/>
  <c r="BF247" i="1"/>
  <c r="BR243" i="1"/>
  <c r="BF221" i="1"/>
  <c r="BQ228" i="1"/>
  <c r="BR221" i="1"/>
  <c r="BR236" i="1"/>
  <c r="BR258" i="1"/>
  <c r="CG230" i="1"/>
  <c r="BR239" i="1"/>
  <c r="CJ256" i="1"/>
  <c r="BA233" i="1"/>
  <c r="BW227" i="1"/>
  <c r="AY223" i="1"/>
  <c r="BG247" i="1"/>
  <c r="BA231" i="1"/>
  <c r="CK255" i="1"/>
  <c r="CH254" i="1"/>
  <c r="BF251" i="1"/>
  <c r="CE239" i="1"/>
  <c r="CL231" i="1"/>
  <c r="BZ220" i="1"/>
  <c r="CM259" i="1"/>
  <c r="BM254" i="1"/>
  <c r="BD245" i="1"/>
  <c r="AY236" i="1"/>
  <c r="BS222" i="1"/>
  <c r="CG259" i="1"/>
  <c r="BG254" i="1"/>
  <c r="BS238" i="1"/>
  <c r="CA253" i="1"/>
  <c r="BC232" i="1"/>
  <c r="BT235" i="1"/>
  <c r="BM224" i="1"/>
  <c r="BK245" i="1"/>
  <c r="CJ259" i="1"/>
  <c r="CB246" i="1"/>
  <c r="BM252" i="1"/>
  <c r="BF255" i="1"/>
  <c r="CC242" i="1"/>
  <c r="BI246" i="1"/>
  <c r="BK247" i="1"/>
  <c r="BE224" i="1"/>
  <c r="BB239" i="1"/>
  <c r="AW233" i="1"/>
  <c r="CH248" i="1"/>
  <c r="BE250" i="1"/>
  <c r="BH236" i="1"/>
  <c r="BY230" i="1"/>
  <c r="BI233" i="1"/>
  <c r="CC239" i="1"/>
  <c r="AX256" i="1"/>
  <c r="CD253" i="1"/>
  <c r="BO241" i="1"/>
  <c r="CC243" i="1"/>
  <c r="BV245" i="1"/>
  <c r="BP239" i="1"/>
  <c r="BP220" i="1"/>
  <c r="BT231" i="1"/>
  <c r="CE229" i="1"/>
  <c r="CG221" i="1"/>
  <c r="CI240" i="1"/>
  <c r="BS221" i="1"/>
  <c r="CD243" i="1"/>
  <c r="CA238" i="1"/>
  <c r="BQ231" i="1"/>
  <c r="BM232" i="1"/>
  <c r="BX223" i="1"/>
  <c r="BQ237" i="1"/>
  <c r="BI256" i="1"/>
  <c r="AX235" i="1"/>
  <c r="BJ226" i="1"/>
  <c r="BT249" i="1"/>
  <c r="CN262" i="1"/>
  <c r="CI241" i="1"/>
  <c r="CD256" i="1"/>
  <c r="CA236" i="1"/>
  <c r="BM257" i="1"/>
  <c r="AX261" i="1"/>
  <c r="BD227" i="1"/>
  <c r="BX243" i="1"/>
  <c r="BT256" i="1"/>
  <c r="CD234" i="1"/>
  <c r="BJ234" i="1"/>
  <c r="BN230" i="1"/>
  <c r="BD222" i="1"/>
  <c r="BD259" i="1"/>
  <c r="BY232" i="1"/>
  <c r="BW254" i="1"/>
  <c r="CG245" i="1"/>
  <c r="CF232" i="1"/>
  <c r="BF233" i="1"/>
  <c r="BU230" i="1"/>
  <c r="CH241" i="1"/>
  <c r="CG235" i="1"/>
  <c r="CH246" i="1"/>
  <c r="BU261" i="1"/>
  <c r="BK262" i="1"/>
  <c r="BZ254" i="1"/>
  <c r="BU237" i="1"/>
  <c r="BG230" i="1"/>
  <c r="BQ220" i="1"/>
  <c r="BW223" i="1"/>
  <c r="CH232" i="1"/>
  <c r="CK248" i="1"/>
  <c r="CH250" i="1"/>
  <c r="BF248" i="1"/>
  <c r="CM250" i="1"/>
  <c r="CB233" i="1"/>
  <c r="BE225" i="1"/>
  <c r="BZ223" i="1"/>
  <c r="BV225" i="1"/>
  <c r="BR256" i="1"/>
  <c r="BI258" i="1"/>
  <c r="AW246" i="1"/>
  <c r="BS240" i="1"/>
  <c r="BS256" i="1"/>
  <c r="CG252" i="1"/>
  <c r="CF246" i="1"/>
  <c r="CK235" i="1"/>
  <c r="BZ255" i="1"/>
  <c r="CH259" i="1"/>
  <c r="AW225" i="1"/>
  <c r="BK230" i="1"/>
  <c r="CN238" i="1"/>
  <c r="BE226" i="1"/>
  <c r="AZ235" i="1"/>
  <c r="BX222" i="1"/>
  <c r="BT233" i="1"/>
  <c r="CH236" i="1"/>
  <c r="BS220" i="1"/>
  <c r="BM262" i="1"/>
  <c r="AW235" i="1"/>
  <c r="BC258" i="1"/>
  <c r="BU233" i="1"/>
  <c r="BL236" i="1"/>
  <c r="BT255" i="1"/>
  <c r="CE228" i="1"/>
  <c r="BP251" i="1"/>
  <c r="AY245" i="1"/>
  <c r="BJ240" i="1"/>
  <c r="CJ221" i="1"/>
  <c r="AY253" i="1"/>
  <c r="BD260" i="1"/>
  <c r="BE229" i="1"/>
  <c r="BP243" i="1"/>
  <c r="AZ229" i="1"/>
  <c r="BS219" i="1"/>
  <c r="BP248" i="1"/>
  <c r="BW245" i="1"/>
  <c r="AW241" i="1"/>
  <c r="CP241" i="1" s="1"/>
  <c r="BU231" i="1"/>
  <c r="CL228" i="1"/>
  <c r="CD231" i="1"/>
  <c r="BS247" i="1"/>
  <c r="BE251" i="1"/>
  <c r="BS227" i="1"/>
  <c r="CF244" i="1"/>
  <c r="CD238" i="1"/>
  <c r="BZ219" i="1"/>
  <c r="BE222" i="1"/>
  <c r="BL243" i="1"/>
  <c r="CE237" i="1"/>
  <c r="BU225" i="1"/>
  <c r="CD247" i="1"/>
  <c r="AZ261" i="1"/>
  <c r="CL252" i="1"/>
  <c r="BM225" i="1"/>
  <c r="CE251" i="1"/>
  <c r="BT224" i="1"/>
  <c r="BD262" i="1"/>
  <c r="CD241" i="1"/>
  <c r="CM246" i="1"/>
  <c r="BX245" i="1"/>
  <c r="CI227" i="1"/>
  <c r="CA237" i="1"/>
  <c r="AZ244" i="1"/>
  <c r="BZ245" i="1"/>
  <c r="CM243" i="1"/>
  <c r="BT251" i="1"/>
  <c r="BL245" i="1"/>
  <c r="BG222" i="1"/>
  <c r="CN220" i="1"/>
  <c r="CN236" i="1"/>
  <c r="BJ222" i="1"/>
  <c r="BW228" i="1"/>
  <c r="BC233" i="1"/>
  <c r="BO253" i="1"/>
  <c r="BB244" i="1"/>
  <c r="BS228" i="1"/>
  <c r="BB231" i="1"/>
  <c r="BJ229" i="1"/>
  <c r="CL248" i="1"/>
  <c r="BJ243" i="1"/>
  <c r="BX259" i="1"/>
  <c r="BG251" i="1"/>
  <c r="BP238" i="1"/>
  <c r="CD226" i="1"/>
  <c r="CC262" i="1"/>
  <c r="CD236" i="1"/>
  <c r="BX246" i="1"/>
  <c r="BT243" i="1"/>
  <c r="CD262" i="1"/>
  <c r="BY242" i="1"/>
  <c r="AY256" i="1"/>
  <c r="BG249" i="1"/>
  <c r="CK251" i="1"/>
  <c r="BA234" i="1"/>
  <c r="BH220" i="1"/>
  <c r="BF228" i="1"/>
  <c r="AW261" i="1"/>
  <c r="BF220" i="1"/>
  <c r="CF219" i="1"/>
  <c r="BK225" i="1"/>
  <c r="BQ255" i="1"/>
  <c r="AW255" i="1"/>
  <c r="CF253" i="1"/>
  <c r="BM240" i="1"/>
  <c r="AW254" i="1"/>
  <c r="BA223" i="1"/>
  <c r="BA247" i="1"/>
  <c r="CF252" i="1"/>
  <c r="CG241" i="1"/>
  <c r="CK253" i="1"/>
  <c r="CI225" i="1"/>
  <c r="BL257" i="1"/>
  <c r="BF242" i="1"/>
  <c r="BC256" i="1"/>
  <c r="BW248" i="1"/>
  <c r="BF235" i="1"/>
  <c r="AX247" i="1"/>
  <c r="BR223" i="1"/>
  <c r="BA228" i="1"/>
  <c r="BK253" i="1"/>
  <c r="BL235" i="1"/>
  <c r="AZ250" i="1"/>
  <c r="AZ239" i="1"/>
  <c r="CJ257" i="1"/>
  <c r="CH219" i="1"/>
  <c r="CE221" i="1"/>
  <c r="CM240" i="1"/>
  <c r="AY250" i="1"/>
  <c r="CA234" i="1"/>
  <c r="CC245" i="1"/>
  <c r="BZ242" i="1"/>
  <c r="AZ257" i="1"/>
  <c r="BK236" i="1"/>
  <c r="CI231" i="1"/>
  <c r="CC225" i="1"/>
  <c r="BM230" i="1"/>
  <c r="BP231" i="1"/>
  <c r="BM250" i="1"/>
  <c r="CP250" i="1" s="1"/>
  <c r="BQ230" i="1"/>
  <c r="BV251" i="1"/>
  <c r="CK252" i="1"/>
  <c r="CL229" i="1"/>
  <c r="BT226" i="1"/>
  <c r="BT223" i="1"/>
  <c r="BI225" i="1"/>
  <c r="CC254" i="1"/>
  <c r="CN231" i="1"/>
  <c r="CL261" i="1"/>
  <c r="BO234" i="1"/>
  <c r="CB230" i="1"/>
  <c r="BJ241" i="1"/>
  <c r="BY262" i="1"/>
  <c r="BB243" i="1"/>
  <c r="BJ248" i="1"/>
  <c r="BS230" i="1"/>
  <c r="CL235" i="1"/>
  <c r="BZ248" i="1"/>
  <c r="BI242" i="1"/>
  <c r="BP233" i="1"/>
  <c r="BP236" i="1"/>
  <c r="CI221" i="1"/>
  <c r="BB254" i="1"/>
  <c r="AZ249" i="1"/>
  <c r="AW232" i="1"/>
  <c r="BI241" i="1"/>
  <c r="BW258" i="1"/>
  <c r="BI231" i="1"/>
  <c r="CA228" i="1"/>
  <c r="BP247" i="1"/>
  <c r="BS225" i="1"/>
  <c r="AY220" i="1"/>
  <c r="BX254" i="1"/>
  <c r="BM259" i="1"/>
  <c r="BZ239" i="1"/>
  <c r="CB226" i="1"/>
  <c r="CM222" i="1"/>
  <c r="BL250" i="1"/>
  <c r="CE246" i="1"/>
  <c r="BB250" i="1"/>
  <c r="BB255" i="1"/>
  <c r="BT238" i="1"/>
  <c r="CK249" i="1"/>
  <c r="BF244" i="1"/>
  <c r="CG240" i="1"/>
  <c r="BH262" i="1"/>
  <c r="BF230" i="1"/>
  <c r="BH252" i="1"/>
  <c r="BF225" i="1"/>
  <c r="CG233" i="1"/>
  <c r="AW249" i="1"/>
  <c r="CK240" i="1"/>
  <c r="BL229" i="1"/>
  <c r="CJ222" i="1"/>
  <c r="BL256" i="1"/>
  <c r="CB239" i="1"/>
  <c r="AZ240" i="1"/>
  <c r="CG251" i="1"/>
  <c r="AY262" i="1"/>
  <c r="BK243" i="1"/>
  <c r="BW242" i="1"/>
  <c r="CF262" i="1"/>
  <c r="CN253" i="1"/>
  <c r="BR254" i="1"/>
  <c r="BQ232" i="1"/>
  <c r="CM235" i="1"/>
  <c r="BE254" i="1"/>
  <c r="BR237" i="1"/>
  <c r="CF234" i="1"/>
  <c r="AZ247" i="1"/>
  <c r="BF224" i="1"/>
  <c r="BS234" i="1"/>
  <c r="AW259" i="1"/>
  <c r="BM251" i="1"/>
  <c r="CJ247" i="1"/>
  <c r="BA252" i="1"/>
  <c r="BK224" i="1"/>
  <c r="CN241" i="1"/>
  <c r="CF233" i="1"/>
  <c r="CH258" i="1"/>
  <c r="BU243" i="1"/>
  <c r="AW236" i="1"/>
  <c r="CN230" i="1"/>
  <c r="CF225" i="1"/>
  <c r="BQ252" i="1"/>
  <c r="BA241" i="1"/>
  <c r="BJ228" i="1"/>
  <c r="CG232" i="1"/>
  <c r="AZ252" i="1"/>
  <c r="BE262" i="1"/>
  <c r="BC227" i="1"/>
  <c r="BW229" i="1"/>
  <c r="AX234" i="1"/>
  <c r="BG240" i="1"/>
  <c r="CG247" i="1"/>
  <c r="CN255" i="1"/>
  <c r="CB242" i="1"/>
  <c r="BY246" i="1"/>
  <c r="CM229" i="1"/>
  <c r="BS245" i="1"/>
  <c r="BT245" i="1"/>
  <c r="CE253" i="1"/>
  <c r="BZ247" i="1"/>
  <c r="BM247" i="1"/>
  <c r="CN224" i="1"/>
  <c r="BB252" i="1"/>
  <c r="BU226" i="1"/>
  <c r="BT248" i="1"/>
  <c r="AW250" i="1"/>
  <c r="AW234" i="1"/>
  <c r="BN245" i="1"/>
  <c r="BO246" i="1"/>
  <c r="BQ243" i="1"/>
  <c r="CL237" i="1"/>
  <c r="BG221" i="1"/>
  <c r="CC261" i="1"/>
  <c r="BS253" i="1"/>
  <c r="BE253" i="1"/>
  <c r="CL250" i="1"/>
  <c r="CJ238" i="1"/>
  <c r="BC250" i="1"/>
  <c r="BL247" i="1"/>
  <c r="BL246" i="1"/>
  <c r="BS258" i="1"/>
  <c r="BQ256" i="1"/>
  <c r="CH255" i="1"/>
  <c r="BW257" i="1"/>
  <c r="BE259" i="1"/>
  <c r="BU220" i="1"/>
  <c r="BS244" i="1"/>
  <c r="CI223" i="1"/>
  <c r="AZ223" i="1"/>
  <c r="CM260" i="1"/>
  <c r="BJ262" i="1"/>
  <c r="BY224" i="1"/>
  <c r="CE242" i="1"/>
  <c r="AX253" i="1"/>
  <c r="BU252" i="1"/>
  <c r="BT257" i="1"/>
  <c r="BI234" i="1"/>
  <c r="CC220" i="1"/>
  <c r="BB220" i="1"/>
  <c r="BI240" i="1"/>
  <c r="CL222" i="1"/>
  <c r="BY247" i="1"/>
  <c r="CN260" i="1"/>
  <c r="CD250" i="1"/>
  <c r="CL227" i="1"/>
  <c r="CC226" i="1"/>
  <c r="BM255" i="1"/>
  <c r="BI239" i="1"/>
  <c r="BC249" i="1"/>
  <c r="CN259" i="1"/>
  <c r="AX237" i="1"/>
  <c r="AW248" i="1"/>
  <c r="CP248" i="1" s="1"/>
  <c r="BW259" i="1"/>
  <c r="BE220" i="1"/>
  <c r="AZ231" i="1"/>
  <c r="BA225" i="1"/>
  <c r="BA249" i="1"/>
  <c r="CD232" i="1"/>
  <c r="AW227" i="1"/>
  <c r="CP227" i="1" s="1"/>
  <c r="CI230" i="1"/>
  <c r="BX232" i="1"/>
  <c r="BN258" i="1"/>
  <c r="AZ227" i="1"/>
  <c r="BP244" i="1"/>
  <c r="CN258" i="1"/>
  <c r="BM238" i="1"/>
  <c r="BV228" i="1"/>
  <c r="BS235" i="1"/>
  <c r="BI254" i="1"/>
  <c r="BI259" i="1"/>
  <c r="CL242" i="1"/>
  <c r="CI253" i="1"/>
  <c r="BD242" i="1"/>
  <c r="CK220" i="1"/>
  <c r="BF252" i="1"/>
  <c r="CG262" i="1"/>
  <c r="AY233" i="1"/>
  <c r="AW242" i="1"/>
  <c r="BR242" i="1"/>
  <c r="CK239" i="1"/>
  <c r="CK241" i="1"/>
  <c r="CF229" i="1"/>
  <c r="AY243" i="1"/>
  <c r="CF231" i="1"/>
  <c r="BR222" i="1"/>
  <c r="BF226" i="1"/>
  <c r="BW261" i="1"/>
  <c r="BZ258" i="1"/>
  <c r="BR233" i="1"/>
  <c r="AW223" i="1"/>
  <c r="BH245" i="1"/>
  <c r="BH230" i="1"/>
  <c r="BF250" i="1"/>
  <c r="BW220" i="1"/>
  <c r="BM248" i="1"/>
  <c r="BV227" i="1"/>
  <c r="AZ230" i="1"/>
  <c r="CJ235" i="1"/>
  <c r="BV258" i="1"/>
  <c r="BH257" i="1"/>
  <c r="BZ237" i="1"/>
  <c r="CB222" i="1"/>
  <c r="BV219" i="1"/>
  <c r="BL225" i="1"/>
  <c r="BM243" i="1"/>
  <c r="BL248" i="1"/>
  <c r="BT258" i="1"/>
  <c r="BH223" i="1"/>
  <c r="BM233" i="1"/>
  <c r="CG236" i="1"/>
  <c r="BX231" i="1"/>
  <c r="BM237" i="1"/>
  <c r="BE236" i="1"/>
  <c r="BE239" i="1"/>
  <c r="BA251" i="1"/>
  <c r="CM234" i="1"/>
  <c r="CG258" i="1"/>
  <c r="BU250" i="1"/>
  <c r="BI249" i="1"/>
  <c r="CL232" i="1"/>
  <c r="CH251" i="1"/>
  <c r="BX242" i="1"/>
  <c r="AZ248" i="1"/>
  <c r="BQ254" i="1"/>
  <c r="BI248" i="1"/>
  <c r="CC255" i="1"/>
  <c r="BN256" i="1"/>
  <c r="BG248" i="1"/>
  <c r="BB227" i="1"/>
  <c r="BV223" i="1"/>
  <c r="BT229" i="1"/>
  <c r="AX225" i="1"/>
  <c r="CB244" i="1"/>
  <c r="BV237" i="1"/>
  <c r="BA226" i="1"/>
  <c r="BB257" i="1"/>
  <c r="CL226" i="1"/>
  <c r="BP237" i="1"/>
  <c r="BJ242" i="1"/>
  <c r="BN254" i="1"/>
  <c r="BY244" i="1"/>
  <c r="CD229" i="1"/>
  <c r="BS250" i="1"/>
  <c r="BA222" i="1"/>
  <c r="CI226" i="1"/>
  <c r="CE236" i="1"/>
  <c r="BM256" i="1"/>
  <c r="BC255" i="1"/>
  <c r="BJ257" i="1"/>
  <c r="BJ236" i="1"/>
  <c r="AX231" i="1"/>
  <c r="CI220" i="1"/>
  <c r="AX222" i="1"/>
  <c r="AX238" i="1"/>
  <c r="BV256" i="1"/>
  <c r="CL223" i="1"/>
  <c r="BL253" i="1"/>
  <c r="AX257" i="1"/>
  <c r="BP222" i="1"/>
  <c r="AZ236" i="1"/>
  <c r="AZ238" i="1"/>
  <c r="BJ237" i="1"/>
  <c r="BY249" i="1"/>
  <c r="BV244" i="1"/>
  <c r="BB253" i="1"/>
  <c r="BW262" i="1"/>
  <c r="CB243" i="1"/>
  <c r="AZ260" i="1"/>
  <c r="CL224" i="1"/>
  <c r="BO251" i="1"/>
  <c r="CB234" i="1"/>
  <c r="CI250" i="1"/>
  <c r="BV238" i="1"/>
  <c r="CA229" i="1"/>
  <c r="BI247" i="1"/>
  <c r="BN257" i="1"/>
  <c r="BE245" i="1"/>
  <c r="BL262" i="1"/>
  <c r="AZ258" i="1"/>
  <c r="BP225" i="1"/>
  <c r="CC241" i="1"/>
  <c r="BS262" i="1"/>
  <c r="BQ236" i="1"/>
  <c r="CI238" i="1"/>
  <c r="CI258" i="1"/>
  <c r="BN235" i="1"/>
  <c r="BH260" i="1"/>
  <c r="AY240" i="1"/>
  <c r="CH228" i="1"/>
  <c r="BU241" i="1"/>
  <c r="BQ251" i="1"/>
  <c r="CG254" i="1"/>
  <c r="CF226" i="1"/>
  <c r="CK228" i="1"/>
  <c r="CF238" i="1"/>
  <c r="BU253" i="1"/>
  <c r="BU262" i="1"/>
  <c r="BZ236" i="1"/>
  <c r="CF249" i="1"/>
  <c r="BH249" i="1"/>
  <c r="BR219" i="1"/>
  <c r="CK231" i="1"/>
  <c r="AY246" i="1"/>
  <c r="AW244" i="1"/>
  <c r="AY224" i="1"/>
  <c r="BG243" i="1"/>
  <c r="BQ221" i="1"/>
  <c r="CG256" i="1"/>
  <c r="BC223" i="1"/>
  <c r="CN250" i="1"/>
  <c r="BA250" i="1"/>
  <c r="AW262" i="1"/>
  <c r="BG227" i="1"/>
  <c r="BI243" i="1"/>
  <c r="AX223" i="1"/>
  <c r="BA245" i="1"/>
  <c r="BZ228" i="1"/>
  <c r="CB238" i="1"/>
  <c r="CM256" i="1"/>
  <c r="BE240" i="1"/>
  <c r="BF219" i="1"/>
  <c r="CN239" i="1"/>
  <c r="AY254" i="1"/>
  <c r="CB237" i="1"/>
  <c r="BB240" i="1"/>
  <c r="BO235" i="1"/>
  <c r="AX228" i="1"/>
  <c r="CM236" i="1"/>
  <c r="AZ262" i="1"/>
  <c r="BM260" i="1"/>
  <c r="BC241" i="1"/>
  <c r="CJ240" i="1"/>
  <c r="BC239" i="1"/>
  <c r="CN247" i="1"/>
  <c r="BH246" i="1"/>
  <c r="BX233" i="1"/>
  <c r="BQ262" i="1"/>
  <c r="BK221" i="1"/>
  <c r="CP80" i="1"/>
  <c r="CP70" i="1"/>
  <c r="CP77" i="1"/>
  <c r="CP87" i="1"/>
  <c r="CP92" i="1"/>
  <c r="CP82" i="1"/>
  <c r="CP90" i="1"/>
  <c r="CP99" i="1"/>
  <c r="CP104" i="1"/>
  <c r="CP94" i="1"/>
  <c r="CP103" i="1"/>
  <c r="CP111" i="1"/>
  <c r="CP84" i="1"/>
  <c r="CP106" i="1"/>
  <c r="CP73" i="1"/>
  <c r="CP88" i="1"/>
  <c r="CP100" i="1"/>
  <c r="CP71" i="1"/>
  <c r="CP85" i="1"/>
  <c r="CP112" i="1"/>
  <c r="CP89" i="1"/>
  <c r="CP83" i="1"/>
  <c r="CP97" i="1"/>
  <c r="CP101" i="1"/>
  <c r="CP78" i="1"/>
  <c r="CP95" i="1"/>
  <c r="CP109" i="1"/>
  <c r="CP102" i="1"/>
  <c r="CP91" i="1"/>
  <c r="CP107" i="1"/>
  <c r="CP74" i="1"/>
  <c r="CP79" i="1"/>
  <c r="CP69" i="1"/>
  <c r="CP72" i="1"/>
  <c r="CP86" i="1"/>
  <c r="CP81" i="1"/>
  <c r="CP93" i="1"/>
  <c r="CP105" i="1"/>
  <c r="CP96" i="1"/>
  <c r="CP108" i="1"/>
  <c r="CP76" i="1"/>
  <c r="CP98" i="1"/>
  <c r="CP75" i="1"/>
  <c r="CP110" i="1"/>
  <c r="CP257" i="1"/>
  <c r="AW267" i="1"/>
  <c r="AW280" i="1"/>
  <c r="AW295" i="1"/>
  <c r="AW309" i="1"/>
  <c r="AW270" i="1"/>
  <c r="AW285" i="1"/>
  <c r="AW300" i="1"/>
  <c r="AW271" i="1"/>
  <c r="AW286" i="1"/>
  <c r="AW301" i="1"/>
  <c r="AW278" i="1"/>
  <c r="AW298" i="1"/>
  <c r="AW282" i="1"/>
  <c r="AW299" i="1"/>
  <c r="AW283" i="1"/>
  <c r="AW302" i="1"/>
  <c r="AW274" i="1"/>
  <c r="AW292" i="1"/>
  <c r="AW272" i="1"/>
  <c r="AW297" i="1"/>
  <c r="AW273" i="1"/>
  <c r="AW304" i="1"/>
  <c r="AW275" i="1"/>
  <c r="AW306" i="1"/>
  <c r="AW284" i="1"/>
  <c r="AW310" i="1"/>
  <c r="AW287" i="1"/>
  <c r="AW288" i="1"/>
  <c r="AW276" i="1"/>
  <c r="AW277" i="1"/>
  <c r="AW289" i="1"/>
  <c r="AW290" i="1"/>
  <c r="AW296" i="1"/>
  <c r="AW307" i="1"/>
  <c r="AW308" i="1"/>
  <c r="AW268" i="1"/>
  <c r="AW294" i="1"/>
  <c r="AW305" i="1"/>
  <c r="AW293" i="1"/>
  <c r="AW281" i="1"/>
  <c r="AW291" i="1"/>
  <c r="AW279" i="1"/>
  <c r="AW269" i="1"/>
  <c r="AW303" i="1"/>
  <c r="CP251" i="1" l="1"/>
  <c r="BC353" i="1"/>
  <c r="BC338" i="1"/>
  <c r="CP237" i="1"/>
  <c r="BB328" i="1"/>
  <c r="AY350" i="1"/>
  <c r="CP239" i="1"/>
  <c r="CP232" i="1"/>
  <c r="BA342" i="1"/>
  <c r="BB353" i="1"/>
  <c r="BB327" i="1"/>
  <c r="BG326" i="1"/>
  <c r="BB329" i="1"/>
  <c r="CP261" i="1"/>
  <c r="BE352" i="1"/>
  <c r="CP260" i="1"/>
  <c r="BG324" i="1"/>
  <c r="BE342" i="1"/>
  <c r="BG327" i="1"/>
  <c r="BG351" i="1"/>
  <c r="CP224" i="1"/>
  <c r="CP252" i="1"/>
  <c r="CP262" i="1"/>
  <c r="AY337" i="1"/>
  <c r="BG345" i="1"/>
  <c r="CP249" i="1"/>
  <c r="BB356" i="1"/>
  <c r="BA333" i="1"/>
  <c r="BA339" i="1"/>
  <c r="AY323" i="1"/>
  <c r="CP236" i="1"/>
  <c r="AZ318" i="1"/>
  <c r="AZ327" i="1"/>
  <c r="AY327" i="1"/>
  <c r="BB345" i="1"/>
  <c r="AZ358" i="1"/>
  <c r="AZ356" i="1"/>
  <c r="CP230" i="1"/>
  <c r="BG318" i="1"/>
  <c r="BE337" i="1"/>
  <c r="AZ333" i="1"/>
  <c r="CP255" i="1"/>
  <c r="AX326" i="1"/>
  <c r="BA316" i="1"/>
  <c r="CP233" i="1"/>
  <c r="CP226" i="1"/>
  <c r="CP240" i="1"/>
  <c r="CP244" i="1"/>
  <c r="CP243" i="1"/>
  <c r="CP253" i="1"/>
  <c r="AX325" i="1"/>
  <c r="CP246" i="1"/>
  <c r="BB343" i="1"/>
  <c r="BE355" i="1"/>
  <c r="BC322" i="1"/>
  <c r="BA329" i="1"/>
  <c r="CP228" i="1"/>
  <c r="AZ328" i="1"/>
  <c r="BA338" i="1"/>
  <c r="BB340" i="1"/>
  <c r="CP254" i="1"/>
  <c r="CP225" i="1"/>
  <c r="BE341" i="1"/>
  <c r="BF319" i="1"/>
  <c r="AW316" i="1" a="1"/>
  <c r="BD328" i="1" s="1"/>
  <c r="CP222" i="1"/>
  <c r="CP223" i="1"/>
  <c r="CP242" i="1"/>
  <c r="CP259" i="1"/>
  <c r="BD319" i="1"/>
  <c r="AY333" i="1"/>
  <c r="BE329" i="1"/>
  <c r="BE335" i="1"/>
  <c r="CP231" i="1"/>
  <c r="CP256" i="1"/>
  <c r="AZ320" i="1"/>
  <c r="AZ346" i="1"/>
  <c r="CP235" i="1"/>
  <c r="BB355" i="1"/>
  <c r="AZ331" i="1"/>
  <c r="CP220" i="1"/>
  <c r="CP229" i="1"/>
  <c r="AX286" i="1"/>
  <c r="AX303" i="1"/>
  <c r="AX274" i="1"/>
  <c r="AX292" i="1"/>
  <c r="AX307" i="1"/>
  <c r="AX283" i="1"/>
  <c r="AX295" i="1"/>
  <c r="AX305" i="1"/>
  <c r="AX310" i="1"/>
  <c r="AW311" i="1"/>
  <c r="AX297" i="1" s="1"/>
  <c r="AX306" i="1"/>
  <c r="AX298" i="1"/>
  <c r="AX278" i="1"/>
  <c r="BC357" i="1" l="1"/>
  <c r="BE319" i="1"/>
  <c r="BB337" i="1"/>
  <c r="AZ338" i="1"/>
  <c r="AX340" i="1"/>
  <c r="BC329" i="1"/>
  <c r="AY326" i="1"/>
  <c r="AZ344" i="1"/>
  <c r="BC352" i="1"/>
  <c r="AY330" i="1"/>
  <c r="BA354" i="1"/>
  <c r="BG336" i="1"/>
  <c r="AY335" i="1"/>
  <c r="BE333" i="1"/>
  <c r="BC355" i="1"/>
  <c r="AY345" i="1"/>
  <c r="BG333" i="1"/>
  <c r="BA340" i="1"/>
  <c r="BB330" i="1"/>
  <c r="BB349" i="1"/>
  <c r="AY352" i="1"/>
  <c r="AZ335" i="1"/>
  <c r="AZ352" i="1"/>
  <c r="BG319" i="1"/>
  <c r="BG344" i="1"/>
  <c r="AX328" i="1"/>
  <c r="AX356" i="1"/>
  <c r="AX358" i="1"/>
  <c r="BC325" i="1"/>
  <c r="BE350" i="1"/>
  <c r="AX304" i="1"/>
  <c r="AY319" i="1"/>
  <c r="BC320" i="1"/>
  <c r="BG346" i="1"/>
  <c r="BA358" i="1"/>
  <c r="BA347" i="1"/>
  <c r="BA336" i="1"/>
  <c r="BA356" i="1"/>
  <c r="BB347" i="1"/>
  <c r="AZ350" i="1"/>
  <c r="BF325" i="1"/>
  <c r="AY348" i="1"/>
  <c r="BF330" i="1"/>
  <c r="BD320" i="1"/>
  <c r="BB317" i="1"/>
  <c r="AW322" i="1"/>
  <c r="AW325" i="1"/>
  <c r="AW356" i="1"/>
  <c r="AW321" i="1"/>
  <c r="AW334" i="1"/>
  <c r="AW346" i="1"/>
  <c r="AW343" i="1"/>
  <c r="AW353" i="1"/>
  <c r="AW341" i="1"/>
  <c r="AW358" i="1"/>
  <c r="AW349" i="1"/>
  <c r="AW333" i="1"/>
  <c r="AW351" i="1"/>
  <c r="AW320" i="1"/>
  <c r="AW328" i="1"/>
  <c r="AW323" i="1"/>
  <c r="AW318" i="1"/>
  <c r="AW357" i="1"/>
  <c r="AW332" i="1"/>
  <c r="AW342" i="1"/>
  <c r="AW327" i="1"/>
  <c r="AW337" i="1"/>
  <c r="AW330" i="1"/>
  <c r="AW319" i="1"/>
  <c r="BI319" i="1" s="1"/>
  <c r="BJ319" i="1" s="1"/>
  <c r="AW352" i="1"/>
  <c r="AW355" i="1"/>
  <c r="AW317" i="1"/>
  <c r="AW326" i="1"/>
  <c r="AW359" i="1"/>
  <c r="AW339" i="1"/>
  <c r="AW348" i="1"/>
  <c r="BC344" i="1"/>
  <c r="BB335" i="1"/>
  <c r="BB338" i="1"/>
  <c r="BC343" i="1"/>
  <c r="AZ353" i="1"/>
  <c r="AX346" i="1"/>
  <c r="BE346" i="1"/>
  <c r="AX357" i="1"/>
  <c r="BB339" i="1"/>
  <c r="AY331" i="1"/>
  <c r="AZ321" i="1"/>
  <c r="BG334" i="1"/>
  <c r="BG357" i="1"/>
  <c r="AY355" i="1"/>
  <c r="BB359" i="1"/>
  <c r="BA353" i="1"/>
  <c r="BG332" i="1"/>
  <c r="BG331" i="1"/>
  <c r="AX337" i="1"/>
  <c r="AZ330" i="1"/>
  <c r="BD350" i="1"/>
  <c r="BB358" i="1"/>
  <c r="BF342" i="1"/>
  <c r="BG347" i="1"/>
  <c r="AW338" i="1"/>
  <c r="AX338" i="1"/>
  <c r="BG350" i="1"/>
  <c r="BD333" i="1"/>
  <c r="BG339" i="1"/>
  <c r="BE327" i="1"/>
  <c r="BG349" i="1"/>
  <c r="BC358" i="1"/>
  <c r="BC317" i="1"/>
  <c r="BD334" i="1"/>
  <c r="BD348" i="1"/>
  <c r="BF357" i="1"/>
  <c r="BD322" i="1"/>
  <c r="AW345" i="1"/>
  <c r="AW344" i="1"/>
  <c r="AW335" i="1"/>
  <c r="AW316" i="1"/>
  <c r="BC339" i="1"/>
  <c r="BA324" i="1"/>
  <c r="BE325" i="1"/>
  <c r="BC318" i="1"/>
  <c r="BE320" i="1"/>
  <c r="BB331" i="1"/>
  <c r="BA351" i="1"/>
  <c r="BG320" i="1"/>
  <c r="BD316" i="1"/>
  <c r="BG322" i="1"/>
  <c r="BC319" i="1"/>
  <c r="BB357" i="1"/>
  <c r="AW329" i="1"/>
  <c r="AX317" i="1"/>
  <c r="AY318" i="1"/>
  <c r="AX327" i="1"/>
  <c r="BA334" i="1"/>
  <c r="BB319" i="1"/>
  <c r="BD352" i="1"/>
  <c r="BD345" i="1"/>
  <c r="BE318" i="1"/>
  <c r="BE334" i="1"/>
  <c r="AY349" i="1"/>
  <c r="AZ342" i="1"/>
  <c r="BC328" i="1"/>
  <c r="AW350" i="1"/>
  <c r="AW340" i="1"/>
  <c r="BI340" i="1" s="1"/>
  <c r="BJ340" i="1" s="1"/>
  <c r="AY338" i="1"/>
  <c r="AZ319" i="1"/>
  <c r="AX329" i="1"/>
  <c r="AZ343" i="1"/>
  <c r="BE345" i="1"/>
  <c r="BC341" i="1"/>
  <c r="AX343" i="1"/>
  <c r="BD351" i="1"/>
  <c r="AY322" i="1"/>
  <c r="AX349" i="1"/>
  <c r="BG329" i="1"/>
  <c r="BD330" i="1"/>
  <c r="BC345" i="1"/>
  <c r="AW336" i="1"/>
  <c r="BC356" i="1"/>
  <c r="AW347" i="1"/>
  <c r="BG343" i="1"/>
  <c r="BG335" i="1"/>
  <c r="AZ340" i="1"/>
  <c r="AW331" i="1"/>
  <c r="AY354" i="1"/>
  <c r="BD355" i="1"/>
  <c r="AX347" i="1"/>
  <c r="BG330" i="1"/>
  <c r="BF353" i="1"/>
  <c r="BG359" i="1"/>
  <c r="BF351" i="1"/>
  <c r="AZ334" i="1"/>
  <c r="BD346" i="1"/>
  <c r="AX318" i="1"/>
  <c r="BA352" i="1"/>
  <c r="BC340" i="1"/>
  <c r="BD335" i="1"/>
  <c r="AX333" i="1"/>
  <c r="BA359" i="1"/>
  <c r="AW324" i="1"/>
  <c r="BC321" i="1"/>
  <c r="BE328" i="1"/>
  <c r="BA355" i="1"/>
  <c r="AY357" i="1"/>
  <c r="BG323" i="1"/>
  <c r="BF326" i="1"/>
  <c r="BF336" i="1"/>
  <c r="BB342" i="1"/>
  <c r="BG358" i="1"/>
  <c r="BA317" i="1"/>
  <c r="BG353" i="1"/>
  <c r="BB332" i="1"/>
  <c r="BD317" i="1"/>
  <c r="AX330" i="1"/>
  <c r="AX324" i="1"/>
  <c r="BF337" i="1"/>
  <c r="BA343" i="1"/>
  <c r="BB321" i="1"/>
  <c r="BA318" i="1"/>
  <c r="BE330" i="1"/>
  <c r="BA337" i="1"/>
  <c r="AY356" i="1"/>
  <c r="BF324" i="1"/>
  <c r="AY332" i="1"/>
  <c r="BD325" i="1"/>
  <c r="BD338" i="1"/>
  <c r="BC349" i="1"/>
  <c r="BA321" i="1"/>
  <c r="BC342" i="1"/>
  <c r="BC331" i="1"/>
  <c r="AX339" i="1"/>
  <c r="BE354" i="1"/>
  <c r="BF343" i="1"/>
  <c r="AZ316" i="1"/>
  <c r="BF359" i="1"/>
  <c r="AY346" i="1"/>
  <c r="BC333" i="1"/>
  <c r="BB325" i="1"/>
  <c r="AX342" i="1"/>
  <c r="BD349" i="1"/>
  <c r="BF329" i="1"/>
  <c r="BB322" i="1"/>
  <c r="BF335" i="1"/>
  <c r="AW354" i="1"/>
  <c r="BD323" i="1"/>
  <c r="BC337" i="1"/>
  <c r="AX359" i="1"/>
  <c r="BE338" i="1"/>
  <c r="AY316" i="1"/>
  <c r="BC350" i="1"/>
  <c r="BG321" i="1"/>
  <c r="BD327" i="1"/>
  <c r="BD354" i="1"/>
  <c r="AZ325" i="1"/>
  <c r="BE340" i="1"/>
  <c r="BE358" i="1"/>
  <c r="BA327" i="1"/>
  <c r="AZ323" i="1"/>
  <c r="AY325" i="1"/>
  <c r="BC359" i="1"/>
  <c r="BG325" i="1"/>
  <c r="BD318" i="1"/>
  <c r="BF323" i="1"/>
  <c r="AY344" i="1"/>
  <c r="AX351" i="1"/>
  <c r="BB320" i="1"/>
  <c r="BF318" i="1"/>
  <c r="BF320" i="1"/>
  <c r="BA325" i="1"/>
  <c r="AX345" i="1"/>
  <c r="BE323" i="1"/>
  <c r="BD332" i="1"/>
  <c r="BD324" i="1"/>
  <c r="BA326" i="1"/>
  <c r="BF321" i="1"/>
  <c r="AX275" i="1"/>
  <c r="AX268" i="1"/>
  <c r="AX287" i="1"/>
  <c r="BD337" i="1"/>
  <c r="BC348" i="1"/>
  <c r="BF352" i="1"/>
  <c r="AX354" i="1"/>
  <c r="BC354" i="1"/>
  <c r="BC335" i="1"/>
  <c r="BB344" i="1"/>
  <c r="BA328" i="1"/>
  <c r="AX308" i="1"/>
  <c r="AX267" i="1"/>
  <c r="AY267" i="1" s="1"/>
  <c r="AX288" i="1"/>
  <c r="AX276" i="1"/>
  <c r="BD329" i="1"/>
  <c r="AY334" i="1"/>
  <c r="BF316" i="1"/>
  <c r="BB323" i="1"/>
  <c r="BF332" i="1"/>
  <c r="BC332" i="1"/>
  <c r="BD356" i="1"/>
  <c r="AY351" i="1"/>
  <c r="BB334" i="1"/>
  <c r="AZ332" i="1"/>
  <c r="AZ322" i="1"/>
  <c r="BA330" i="1"/>
  <c r="BC323" i="1"/>
  <c r="BG340" i="1"/>
  <c r="BB341" i="1"/>
  <c r="BD347" i="1"/>
  <c r="BG355" i="1"/>
  <c r="AX353" i="1"/>
  <c r="AY341" i="1"/>
  <c r="BA349" i="1"/>
  <c r="BD331" i="1"/>
  <c r="AZ354" i="1"/>
  <c r="BD326" i="1"/>
  <c r="BF317" i="1"/>
  <c r="BF341" i="1"/>
  <c r="BG342" i="1"/>
  <c r="BD344" i="1"/>
  <c r="AY336" i="1"/>
  <c r="BE336" i="1"/>
  <c r="BF348" i="1"/>
  <c r="AZ339" i="1"/>
  <c r="AZ337" i="1"/>
  <c r="AZ348" i="1"/>
  <c r="BG354" i="1"/>
  <c r="BE344" i="1"/>
  <c r="BE357" i="1"/>
  <c r="BD341" i="1"/>
  <c r="BC327" i="1"/>
  <c r="AY324" i="1"/>
  <c r="BE332" i="1"/>
  <c r="BA332" i="1"/>
  <c r="AX281" i="1"/>
  <c r="BG317" i="1"/>
  <c r="BE331" i="1"/>
  <c r="BG348" i="1"/>
  <c r="AX334" i="1"/>
  <c r="BB336" i="1"/>
  <c r="AX302" i="1"/>
  <c r="AX279" i="1"/>
  <c r="BE353" i="1"/>
  <c r="BC336" i="1"/>
  <c r="AY347" i="1"/>
  <c r="AY358" i="1"/>
  <c r="AZ349" i="1"/>
  <c r="BC330" i="1"/>
  <c r="BF327" i="1"/>
  <c r="BA345" i="1"/>
  <c r="BA357" i="1"/>
  <c r="BE316" i="1"/>
  <c r="AZ359" i="1"/>
  <c r="AX272" i="1"/>
  <c r="AX348" i="1"/>
  <c r="BD342" i="1"/>
  <c r="BC326" i="1"/>
  <c r="BB333" i="1"/>
  <c r="BA335" i="1"/>
  <c r="BA331" i="1"/>
  <c r="AZ324" i="1"/>
  <c r="BE322" i="1"/>
  <c r="BG356" i="1"/>
  <c r="BA348" i="1"/>
  <c r="BE321" i="1"/>
  <c r="BF334" i="1"/>
  <c r="AX331" i="1"/>
  <c r="BB326" i="1"/>
  <c r="BF356" i="1"/>
  <c r="BA344" i="1"/>
  <c r="BF346" i="1"/>
  <c r="BB351" i="1"/>
  <c r="BB316" i="1"/>
  <c r="AY339" i="1"/>
  <c r="BD357" i="1"/>
  <c r="AZ336" i="1"/>
  <c r="BB346" i="1"/>
  <c r="AZ317" i="1"/>
  <c r="BA346" i="1"/>
  <c r="BB352" i="1"/>
  <c r="AZ347" i="1"/>
  <c r="BF354" i="1"/>
  <c r="AX300" i="1"/>
  <c r="AX284" i="1"/>
  <c r="AX270" i="1"/>
  <c r="BF322" i="1"/>
  <c r="BF328" i="1"/>
  <c r="AZ326" i="1"/>
  <c r="AX350" i="1"/>
  <c r="BE359" i="1"/>
  <c r="BD336" i="1"/>
  <c r="BE348" i="1"/>
  <c r="AY342" i="1"/>
  <c r="AY317" i="1"/>
  <c r="BE347" i="1"/>
  <c r="AX323" i="1"/>
  <c r="BF347" i="1"/>
  <c r="BG328" i="1"/>
  <c r="BF333" i="1"/>
  <c r="BE351" i="1"/>
  <c r="AX271" i="1"/>
  <c r="AX294" i="1"/>
  <c r="AX291" i="1"/>
  <c r="AX290" i="1"/>
  <c r="BA350" i="1"/>
  <c r="BE324" i="1"/>
  <c r="BC351" i="1"/>
  <c r="BD359" i="1"/>
  <c r="AX335" i="1"/>
  <c r="BG316" i="1"/>
  <c r="AZ355" i="1"/>
  <c r="BF340" i="1"/>
  <c r="AZ357" i="1"/>
  <c r="BE356" i="1"/>
  <c r="AX332" i="1"/>
  <c r="BD321" i="1"/>
  <c r="BA320" i="1"/>
  <c r="AX352" i="1"/>
  <c r="BB324" i="1"/>
  <c r="BD353" i="1"/>
  <c r="AY340" i="1"/>
  <c r="AY328" i="1"/>
  <c r="BC324" i="1"/>
  <c r="AY329" i="1"/>
  <c r="BF349" i="1"/>
  <c r="BF345" i="1"/>
  <c r="AX273" i="1"/>
  <c r="AX280" i="1"/>
  <c r="AX277" i="1"/>
  <c r="AX296" i="1"/>
  <c r="BE339" i="1"/>
  <c r="BE326" i="1"/>
  <c r="AX321" i="1"/>
  <c r="BF344" i="1"/>
  <c r="BC347" i="1"/>
  <c r="BE343" i="1"/>
  <c r="BE349" i="1"/>
  <c r="AY343" i="1"/>
  <c r="AZ341" i="1"/>
  <c r="AY359" i="1"/>
  <c r="BF331" i="1"/>
  <c r="BF350" i="1"/>
  <c r="BC346" i="1"/>
  <c r="BB318" i="1"/>
  <c r="BB348" i="1"/>
  <c r="AX319" i="1"/>
  <c r="AZ351" i="1"/>
  <c r="AX341" i="1"/>
  <c r="BD343" i="1"/>
  <c r="AX322" i="1"/>
  <c r="AX336" i="1"/>
  <c r="AZ345" i="1"/>
  <c r="BF339" i="1"/>
  <c r="AX301" i="1"/>
  <c r="AX299" i="1"/>
  <c r="AX269" i="1"/>
  <c r="BF358" i="1"/>
  <c r="AY353" i="1"/>
  <c r="BA341" i="1"/>
  <c r="AY320" i="1"/>
  <c r="BE317" i="1"/>
  <c r="BG341" i="1"/>
  <c r="AX344" i="1"/>
  <c r="BF338" i="1"/>
  <c r="AZ329" i="1"/>
  <c r="AX320" i="1"/>
  <c r="AY321" i="1"/>
  <c r="BB354" i="1"/>
  <c r="BC316" i="1"/>
  <c r="AX316" i="1"/>
  <c r="BD339" i="1"/>
  <c r="BD358" i="1"/>
  <c r="BG338" i="1"/>
  <c r="BA322" i="1"/>
  <c r="BF355" i="1"/>
  <c r="BB350" i="1"/>
  <c r="AX355" i="1"/>
  <c r="BD340" i="1"/>
  <c r="BC334" i="1"/>
  <c r="BA319" i="1"/>
  <c r="BG352" i="1"/>
  <c r="BA323" i="1"/>
  <c r="BG337" i="1"/>
  <c r="AY268" i="1"/>
  <c r="AY269" i="1" s="1"/>
  <c r="AY270" i="1" s="1"/>
  <c r="AY271" i="1" s="1"/>
  <c r="AY272" i="1" s="1"/>
  <c r="AY273" i="1" s="1"/>
  <c r="AY274" i="1" s="1"/>
  <c r="AY275" i="1" s="1"/>
  <c r="AY276" i="1" s="1"/>
  <c r="AY277" i="1" s="1"/>
  <c r="AY278" i="1" s="1"/>
  <c r="AY279" i="1" s="1"/>
  <c r="AY280" i="1" s="1"/>
  <c r="AX285" i="1"/>
  <c r="AX293" i="1"/>
  <c r="AX289" i="1"/>
  <c r="AX282" i="1"/>
  <c r="AX309" i="1"/>
  <c r="AW365" i="1" a="1"/>
  <c r="AZ405" i="1" l="1"/>
  <c r="AZ368" i="1"/>
  <c r="BG394" i="1"/>
  <c r="BG390" i="1"/>
  <c r="BG405" i="1"/>
  <c r="BF396" i="1"/>
  <c r="AZ382" i="1"/>
  <c r="BD389" i="1"/>
  <c r="BA404" i="1"/>
  <c r="BA377" i="1"/>
  <c r="BG404" i="1"/>
  <c r="AW401" i="1"/>
  <c r="AW374" i="1"/>
  <c r="AX383" i="1"/>
  <c r="BE386" i="1"/>
  <c r="AZ375" i="1"/>
  <c r="AW383" i="1"/>
  <c r="AX392" i="1"/>
  <c r="BG372" i="1"/>
  <c r="BF402" i="1"/>
  <c r="AW373" i="1"/>
  <c r="BF399" i="1"/>
  <c r="AX398" i="1"/>
  <c r="BF386" i="1"/>
  <c r="AX406" i="1"/>
  <c r="AY366" i="1"/>
  <c r="AY383" i="1"/>
  <c r="AW388" i="1"/>
  <c r="AX404" i="1"/>
  <c r="BA367" i="1"/>
  <c r="BA372" i="1"/>
  <c r="BC393" i="1"/>
  <c r="BB386" i="1"/>
  <c r="BB400" i="1"/>
  <c r="BB379" i="1"/>
  <c r="AY385" i="1"/>
  <c r="BA402" i="1"/>
  <c r="BG373" i="1"/>
  <c r="BC372" i="1"/>
  <c r="BA405" i="1"/>
  <c r="AY387" i="1"/>
  <c r="BE373" i="1"/>
  <c r="BB382" i="1"/>
  <c r="AW408" i="1"/>
  <c r="AZ383" i="1"/>
  <c r="AW378" i="1"/>
  <c r="BB365" i="1"/>
  <c r="AX368" i="1"/>
  <c r="AW379" i="1"/>
  <c r="BI379" i="1" s="1"/>
  <c r="BJ379" i="1" s="1"/>
  <c r="BE371" i="1"/>
  <c r="BB390" i="1"/>
  <c r="BB376" i="1"/>
  <c r="BA368" i="1"/>
  <c r="AX387" i="1"/>
  <c r="BE366" i="1"/>
  <c r="AX403" i="1"/>
  <c r="BA388" i="1"/>
  <c r="BB375" i="1"/>
  <c r="BF389" i="1"/>
  <c r="BD393" i="1"/>
  <c r="BB395" i="1"/>
  <c r="AW397" i="1"/>
  <c r="AZ380" i="1"/>
  <c r="BA398" i="1"/>
  <c r="BC407" i="1"/>
  <c r="BF380" i="1"/>
  <c r="BG386" i="1"/>
  <c r="BE401" i="1"/>
  <c r="AZ366" i="1"/>
  <c r="AX369" i="1"/>
  <c r="BA391" i="1"/>
  <c r="BE375" i="1"/>
  <c r="BB377" i="1"/>
  <c r="BF378" i="1"/>
  <c r="BG400" i="1"/>
  <c r="AZ400" i="1"/>
  <c r="AW377" i="1"/>
  <c r="BE400" i="1"/>
  <c r="BC402" i="1"/>
  <c r="BG406" i="1"/>
  <c r="BB378" i="1"/>
  <c r="AX367" i="1"/>
  <c r="BC395" i="1"/>
  <c r="BC368" i="1"/>
  <c r="BG368" i="1"/>
  <c r="BD397" i="1"/>
  <c r="BG382" i="1"/>
  <c r="BF400" i="1"/>
  <c r="BF367" i="1"/>
  <c r="BF384" i="1"/>
  <c r="BC403" i="1"/>
  <c r="BA407" i="1"/>
  <c r="BB381" i="1"/>
  <c r="AY400" i="1"/>
  <c r="BB399" i="1"/>
  <c r="BG375" i="1"/>
  <c r="BB401" i="1"/>
  <c r="AW407" i="1"/>
  <c r="BD400" i="1"/>
  <c r="BG371" i="1"/>
  <c r="AY379" i="1"/>
  <c r="BD390" i="1"/>
  <c r="AZ404" i="1"/>
  <c r="AY406" i="1"/>
  <c r="BF385" i="1"/>
  <c r="AW394" i="1"/>
  <c r="AY365" i="1"/>
  <c r="BG365" i="1"/>
  <c r="AZ390" i="1"/>
  <c r="BF376" i="1"/>
  <c r="AX373" i="1"/>
  <c r="AZ398" i="1"/>
  <c r="AZ399" i="1"/>
  <c r="BG381" i="1"/>
  <c r="BD383" i="1"/>
  <c r="AW391" i="1"/>
  <c r="BF397" i="1"/>
  <c r="AY393" i="1"/>
  <c r="BF370" i="1"/>
  <c r="BF404" i="1"/>
  <c r="AX408" i="1"/>
  <c r="BD408" i="1"/>
  <c r="BA369" i="1"/>
  <c r="BG393" i="1"/>
  <c r="BG397" i="1"/>
  <c r="AW392" i="1"/>
  <c r="BC367" i="1"/>
  <c r="AW389" i="1"/>
  <c r="BA399" i="1"/>
  <c r="BG395" i="1"/>
  <c r="AX396" i="1"/>
  <c r="BG377" i="1"/>
  <c r="BC398" i="1"/>
  <c r="BC373" i="1"/>
  <c r="BG392" i="1"/>
  <c r="BC376" i="1"/>
  <c r="BB397" i="1"/>
  <c r="AW370" i="1"/>
  <c r="BC378" i="1"/>
  <c r="BE390" i="1"/>
  <c r="BB406" i="1"/>
  <c r="AZ393" i="1"/>
  <c r="AW376" i="1"/>
  <c r="BA386" i="1"/>
  <c r="BC383" i="1"/>
  <c r="BC365" i="1"/>
  <c r="BA382" i="1"/>
  <c r="BG370" i="1"/>
  <c r="AW382" i="1"/>
  <c r="BD407" i="1"/>
  <c r="AZ370" i="1"/>
  <c r="BB385" i="1"/>
  <c r="BD387" i="1"/>
  <c r="BC375" i="1"/>
  <c r="AX401" i="1"/>
  <c r="BG385" i="1"/>
  <c r="BE407" i="1"/>
  <c r="BA373" i="1"/>
  <c r="BA387" i="1"/>
  <c r="BG389" i="1"/>
  <c r="BC392" i="1"/>
  <c r="AW381" i="1"/>
  <c r="BC379" i="1"/>
  <c r="BD384" i="1"/>
  <c r="AX384" i="1"/>
  <c r="AX380" i="1"/>
  <c r="AY394" i="1"/>
  <c r="AX385" i="1"/>
  <c r="AW371" i="1"/>
  <c r="BI371" i="1" s="1"/>
  <c r="BJ371" i="1" s="1"/>
  <c r="AY370" i="1"/>
  <c r="BE406" i="1"/>
  <c r="AX386" i="1"/>
  <c r="BD372" i="1"/>
  <c r="BD394" i="1"/>
  <c r="AZ407" i="1"/>
  <c r="AY381" i="1"/>
  <c r="BB403" i="1"/>
  <c r="AX395" i="1"/>
  <c r="BD402" i="1"/>
  <c r="BE397" i="1"/>
  <c r="BD374" i="1"/>
  <c r="AW380" i="1"/>
  <c r="BE408" i="1"/>
  <c r="AY377" i="1"/>
  <c r="BG391" i="1"/>
  <c r="BF405" i="1"/>
  <c r="AY395" i="1"/>
  <c r="BD405" i="1"/>
  <c r="AY367" i="1"/>
  <c r="BB394" i="1"/>
  <c r="BF371" i="1"/>
  <c r="BA390" i="1"/>
  <c r="BB392" i="1"/>
  <c r="BB407" i="1"/>
  <c r="AY380" i="1"/>
  <c r="BD381" i="1"/>
  <c r="BC401" i="1"/>
  <c r="AW396" i="1"/>
  <c r="AZ408" i="1"/>
  <c r="AZ385" i="1"/>
  <c r="BC394" i="1"/>
  <c r="AX381" i="1"/>
  <c r="AY373" i="1"/>
  <c r="AX391" i="1"/>
  <c r="AY403" i="1"/>
  <c r="BA380" i="1"/>
  <c r="BE368" i="1"/>
  <c r="AW387" i="1"/>
  <c r="AW372" i="1"/>
  <c r="BF393" i="1"/>
  <c r="BB367" i="1"/>
  <c r="BB404" i="1"/>
  <c r="AZ397" i="1"/>
  <c r="BD373" i="1"/>
  <c r="BE394" i="1"/>
  <c r="AZ386" i="1"/>
  <c r="AZ371" i="1"/>
  <c r="BD380" i="1"/>
  <c r="AX402" i="1"/>
  <c r="AX378" i="1"/>
  <c r="AZ379" i="1"/>
  <c r="BF390" i="1"/>
  <c r="BG366" i="1"/>
  <c r="BE392" i="1"/>
  <c r="AZ365" i="1"/>
  <c r="BB391" i="1"/>
  <c r="BA378" i="1"/>
  <c r="BE385" i="1"/>
  <c r="BG369" i="1"/>
  <c r="BE403" i="1"/>
  <c r="AX375" i="1"/>
  <c r="BC387" i="1"/>
  <c r="BF392" i="1"/>
  <c r="AZ388" i="1"/>
  <c r="BC397" i="1"/>
  <c r="BA366" i="1"/>
  <c r="BA394" i="1"/>
  <c r="BD382" i="1"/>
  <c r="BA401" i="1"/>
  <c r="AY390" i="1"/>
  <c r="BG408" i="1"/>
  <c r="BF369" i="1"/>
  <c r="BE370" i="1"/>
  <c r="BD385" i="1"/>
  <c r="BE389" i="1"/>
  <c r="AX371" i="1"/>
  <c r="BE380" i="1"/>
  <c r="BC380" i="1"/>
  <c r="AW385" i="1"/>
  <c r="BE387" i="1"/>
  <c r="AW406" i="1"/>
  <c r="BD371" i="1"/>
  <c r="BE395" i="1"/>
  <c r="BA406" i="1"/>
  <c r="AX389" i="1"/>
  <c r="BF407" i="1"/>
  <c r="BF366" i="1"/>
  <c r="BD396" i="1"/>
  <c r="BD369" i="1"/>
  <c r="BA371" i="1"/>
  <c r="BE398" i="1"/>
  <c r="AW384" i="1"/>
  <c r="BF403" i="1"/>
  <c r="BE379" i="1"/>
  <c r="AW375" i="1"/>
  <c r="BI375" i="1" s="1"/>
  <c r="BJ375" i="1" s="1"/>
  <c r="BE393" i="1"/>
  <c r="AY384" i="1"/>
  <c r="BB369" i="1"/>
  <c r="AY388" i="1"/>
  <c r="AY369" i="1"/>
  <c r="BG399" i="1"/>
  <c r="AX393" i="1"/>
  <c r="AW400" i="1"/>
  <c r="BB388" i="1"/>
  <c r="BA379" i="1"/>
  <c r="BB396" i="1"/>
  <c r="BD406" i="1"/>
  <c r="AY382" i="1"/>
  <c r="BD391" i="1"/>
  <c r="BF379" i="1"/>
  <c r="BA375" i="1"/>
  <c r="BA384" i="1"/>
  <c r="AZ389" i="1"/>
  <c r="BG402" i="1"/>
  <c r="BE369" i="1"/>
  <c r="AW390" i="1"/>
  <c r="AY399" i="1"/>
  <c r="BC371" i="1"/>
  <c r="BC377" i="1"/>
  <c r="BC406" i="1"/>
  <c r="AZ384" i="1"/>
  <c r="AY407" i="1"/>
  <c r="BE367" i="1"/>
  <c r="AY368" i="1"/>
  <c r="AY375" i="1"/>
  <c r="BC399" i="1"/>
  <c r="BE382" i="1"/>
  <c r="BG403" i="1"/>
  <c r="BB370" i="1"/>
  <c r="AZ396" i="1"/>
  <c r="BG367" i="1"/>
  <c r="BF406" i="1"/>
  <c r="AW367" i="1"/>
  <c r="AZ401" i="1"/>
  <c r="BG374" i="1"/>
  <c r="AZ378" i="1"/>
  <c r="BA403" i="1"/>
  <c r="BC390" i="1"/>
  <c r="AZ374" i="1"/>
  <c r="AW386" i="1"/>
  <c r="BA365" i="1"/>
  <c r="BC391" i="1"/>
  <c r="BG380" i="1"/>
  <c r="BE377" i="1"/>
  <c r="BC381" i="1"/>
  <c r="AW369" i="1"/>
  <c r="AY402" i="1"/>
  <c r="BD367" i="1"/>
  <c r="AX397" i="1"/>
  <c r="AX388" i="1"/>
  <c r="BC382" i="1"/>
  <c r="BF401" i="1"/>
  <c r="AZ372" i="1"/>
  <c r="AX394" i="1"/>
  <c r="AY397" i="1"/>
  <c r="BE376" i="1"/>
  <c r="BB373" i="1"/>
  <c r="BC400" i="1"/>
  <c r="BG388" i="1"/>
  <c r="BF373" i="1"/>
  <c r="BB393" i="1"/>
  <c r="BB389" i="1"/>
  <c r="BF387" i="1"/>
  <c r="AZ381" i="1"/>
  <c r="BC369" i="1"/>
  <c r="BA408" i="1"/>
  <c r="AX377" i="1"/>
  <c r="BF395" i="1"/>
  <c r="BE388" i="1"/>
  <c r="BF368" i="1"/>
  <c r="BD388" i="1"/>
  <c r="AZ369" i="1"/>
  <c r="AY401" i="1"/>
  <c r="AW393" i="1"/>
  <c r="BE399" i="1"/>
  <c r="BD395" i="1"/>
  <c r="BD368" i="1"/>
  <c r="BG398" i="1"/>
  <c r="AX400" i="1"/>
  <c r="AZ394" i="1"/>
  <c r="BG384" i="1"/>
  <c r="BC384" i="1"/>
  <c r="BB374" i="1"/>
  <c r="BA376" i="1"/>
  <c r="BF377" i="1"/>
  <c r="AY374" i="1"/>
  <c r="BE381" i="1"/>
  <c r="BA383" i="1"/>
  <c r="AX405" i="1"/>
  <c r="BB383" i="1"/>
  <c r="AW368" i="1"/>
  <c r="BI368" i="1" s="1"/>
  <c r="BJ368" i="1" s="1"/>
  <c r="BB384" i="1"/>
  <c r="BE378" i="1"/>
  <c r="AW366" i="1"/>
  <c r="BF408" i="1"/>
  <c r="BA389" i="1"/>
  <c r="BE391" i="1"/>
  <c r="AZ395" i="1"/>
  <c r="BD379" i="1"/>
  <c r="AX399" i="1"/>
  <c r="BE405" i="1"/>
  <c r="BC388" i="1"/>
  <c r="BE384" i="1"/>
  <c r="AY398" i="1"/>
  <c r="AZ387" i="1"/>
  <c r="BC404" i="1"/>
  <c r="BD401" i="1"/>
  <c r="BB368" i="1"/>
  <c r="BD376" i="1"/>
  <c r="BA400" i="1"/>
  <c r="BG407" i="1"/>
  <c r="AY376" i="1"/>
  <c r="BC374" i="1"/>
  <c r="BB405" i="1"/>
  <c r="BA395" i="1"/>
  <c r="BD404" i="1"/>
  <c r="AY386" i="1"/>
  <c r="AX379" i="1"/>
  <c r="BC386" i="1"/>
  <c r="BF375" i="1"/>
  <c r="BD392" i="1"/>
  <c r="AY392" i="1"/>
  <c r="BG396" i="1"/>
  <c r="AX370" i="1"/>
  <c r="AW365" i="1"/>
  <c r="BD366" i="1"/>
  <c r="BG376" i="1"/>
  <c r="BE383" i="1"/>
  <c r="BC366" i="1"/>
  <c r="BA396" i="1"/>
  <c r="BE402" i="1"/>
  <c r="BB371" i="1"/>
  <c r="AX390" i="1"/>
  <c r="BA392" i="1"/>
  <c r="BF388" i="1"/>
  <c r="BF398" i="1"/>
  <c r="BC396" i="1"/>
  <c r="AZ376" i="1"/>
  <c r="AZ406" i="1"/>
  <c r="BB387" i="1"/>
  <c r="AW399" i="1"/>
  <c r="AZ377" i="1"/>
  <c r="BG383" i="1"/>
  <c r="BD377" i="1"/>
  <c r="AY404" i="1"/>
  <c r="BD398" i="1"/>
  <c r="BF381" i="1"/>
  <c r="BB402" i="1"/>
  <c r="BB372" i="1"/>
  <c r="BA370" i="1"/>
  <c r="BD403" i="1"/>
  <c r="AX374" i="1"/>
  <c r="BB408" i="1"/>
  <c r="AX407" i="1"/>
  <c r="BC405" i="1"/>
  <c r="BD375" i="1"/>
  <c r="BG379" i="1"/>
  <c r="BG401" i="1"/>
  <c r="AW402" i="1"/>
  <c r="AX376" i="1"/>
  <c r="BF391" i="1"/>
  <c r="AX382" i="1"/>
  <c r="AX366" i="1"/>
  <c r="BE372" i="1"/>
  <c r="AY371" i="1"/>
  <c r="BA393" i="1"/>
  <c r="BE365" i="1"/>
  <c r="AZ373" i="1"/>
  <c r="BF374" i="1"/>
  <c r="AY389" i="1"/>
  <c r="BC389" i="1"/>
  <c r="BE374" i="1"/>
  <c r="AY391" i="1"/>
  <c r="BE396" i="1"/>
  <c r="BA374" i="1"/>
  <c r="BB366" i="1"/>
  <c r="BB398" i="1"/>
  <c r="AW405" i="1"/>
  <c r="BG387" i="1"/>
  <c r="AZ402" i="1"/>
  <c r="AW395" i="1"/>
  <c r="BC408" i="1"/>
  <c r="AZ367" i="1"/>
  <c r="BF372" i="1"/>
  <c r="AW403" i="1"/>
  <c r="BG378" i="1"/>
  <c r="BD386" i="1"/>
  <c r="AX365" i="1"/>
  <c r="BF394" i="1"/>
  <c r="BE404" i="1"/>
  <c r="BD365" i="1"/>
  <c r="BA381" i="1"/>
  <c r="AY378" i="1"/>
  <c r="BF382" i="1"/>
  <c r="BF365" i="1"/>
  <c r="BA385" i="1"/>
  <c r="AY408" i="1"/>
  <c r="AZ391" i="1"/>
  <c r="AX372" i="1"/>
  <c r="AW398" i="1"/>
  <c r="BC385" i="1"/>
  <c r="BD378" i="1"/>
  <c r="BB380" i="1"/>
  <c r="AZ403" i="1"/>
  <c r="BF383" i="1"/>
  <c r="AY372" i="1"/>
  <c r="BA397" i="1"/>
  <c r="AZ392" i="1"/>
  <c r="AY396" i="1"/>
  <c r="BD370" i="1"/>
  <c r="AW404" i="1"/>
  <c r="BI404" i="1" s="1"/>
  <c r="BJ404" i="1" s="1"/>
  <c r="AY405" i="1"/>
  <c r="BC370" i="1"/>
  <c r="BD399" i="1"/>
  <c r="BI320" i="1"/>
  <c r="BJ320" i="1" s="1"/>
  <c r="BI325" i="1"/>
  <c r="BJ325" i="1" s="1"/>
  <c r="BI350" i="1"/>
  <c r="BJ350" i="1" s="1"/>
  <c r="BI324" i="1"/>
  <c r="BJ324" i="1" s="1"/>
  <c r="BI355" i="1"/>
  <c r="BJ355" i="1" s="1"/>
  <c r="AY281" i="1"/>
  <c r="AY282" i="1" s="1"/>
  <c r="AY283" i="1" s="1"/>
  <c r="AY284" i="1" s="1"/>
  <c r="AZ360" i="1"/>
  <c r="BA360" i="1"/>
  <c r="BI329" i="1"/>
  <c r="BJ329" i="1" s="1"/>
  <c r="BI352" i="1"/>
  <c r="BJ352" i="1" s="1"/>
  <c r="BI351" i="1"/>
  <c r="BJ351" i="1" s="1"/>
  <c r="BI322" i="1"/>
  <c r="BJ322" i="1" s="1"/>
  <c r="AW360" i="1"/>
  <c r="BI316" i="1"/>
  <c r="AW414" i="1" a="1"/>
  <c r="BI335" i="1"/>
  <c r="BJ335" i="1" s="1"/>
  <c r="BI330" i="1"/>
  <c r="BJ330" i="1" s="1"/>
  <c r="BI344" i="1"/>
  <c r="BJ344" i="1" s="1"/>
  <c r="BI337" i="1"/>
  <c r="BJ337" i="1" s="1"/>
  <c r="BI347" i="1"/>
  <c r="BJ347" i="1" s="1"/>
  <c r="BI348" i="1"/>
  <c r="BJ348" i="1" s="1"/>
  <c r="BI332" i="1"/>
  <c r="BJ332" i="1" s="1"/>
  <c r="BI343" i="1"/>
  <c r="BJ343" i="1" s="1"/>
  <c r="BF360" i="1"/>
  <c r="BI354" i="1"/>
  <c r="BJ354" i="1" s="1"/>
  <c r="BI331" i="1"/>
  <c r="BJ331" i="1" s="1"/>
  <c r="BI349" i="1"/>
  <c r="BJ349" i="1" s="1"/>
  <c r="BI358" i="1"/>
  <c r="BJ358" i="1" s="1"/>
  <c r="BI333" i="1"/>
  <c r="BJ333" i="1" s="1"/>
  <c r="BD360" i="1"/>
  <c r="BI345" i="1"/>
  <c r="BJ345" i="1" s="1"/>
  <c r="BI327" i="1"/>
  <c r="BJ327" i="1" s="1"/>
  <c r="BI341" i="1"/>
  <c r="BJ341" i="1" s="1"/>
  <c r="AX360" i="1"/>
  <c r="BG360" i="1"/>
  <c r="BI339" i="1"/>
  <c r="BJ339" i="1" s="1"/>
  <c r="BI357" i="1"/>
  <c r="BJ357" i="1" s="1"/>
  <c r="BI346" i="1"/>
  <c r="BJ346" i="1" s="1"/>
  <c r="BC360" i="1"/>
  <c r="BB360" i="1"/>
  <c r="BI336" i="1"/>
  <c r="BJ336" i="1" s="1"/>
  <c r="BI359" i="1"/>
  <c r="BJ359" i="1" s="1"/>
  <c r="BI318" i="1"/>
  <c r="BJ318" i="1" s="1"/>
  <c r="BI334" i="1"/>
  <c r="BJ334" i="1" s="1"/>
  <c r="BI317" i="1"/>
  <c r="BJ317" i="1" s="1"/>
  <c r="BI328" i="1"/>
  <c r="BJ328" i="1" s="1"/>
  <c r="BI356" i="1"/>
  <c r="BJ356" i="1" s="1"/>
  <c r="BE360" i="1"/>
  <c r="BI338" i="1"/>
  <c r="BJ338" i="1" s="1"/>
  <c r="BI342" i="1"/>
  <c r="BJ342" i="1" s="1"/>
  <c r="BI353" i="1"/>
  <c r="BJ353" i="1" s="1"/>
  <c r="AY360" i="1"/>
  <c r="BI326" i="1"/>
  <c r="BJ326" i="1" s="1"/>
  <c r="BI323" i="1"/>
  <c r="BJ323" i="1" s="1"/>
  <c r="BI321" i="1"/>
  <c r="BJ321" i="1" s="1"/>
  <c r="AY285" i="1"/>
  <c r="AY286" i="1" s="1"/>
  <c r="AY287" i="1" s="1"/>
  <c r="AY288" i="1" s="1"/>
  <c r="AY289" i="1" s="1"/>
  <c r="AY290" i="1" s="1"/>
  <c r="AY291" i="1" s="1"/>
  <c r="AY292" i="1" s="1"/>
  <c r="AY293" i="1" s="1"/>
  <c r="AY294" i="1" s="1"/>
  <c r="AY295" i="1" s="1"/>
  <c r="AY296" i="1" s="1"/>
  <c r="AY297" i="1" s="1"/>
  <c r="AY298" i="1" s="1"/>
  <c r="AY299" i="1" s="1"/>
  <c r="AY300" i="1" s="1"/>
  <c r="AY301" i="1" s="1"/>
  <c r="AY302" i="1" s="1"/>
  <c r="AY303" i="1" s="1"/>
  <c r="AY304" i="1" s="1"/>
  <c r="AY305" i="1" s="1"/>
  <c r="AY306" i="1" s="1"/>
  <c r="AY307" i="1" s="1"/>
  <c r="AY308" i="1" s="1"/>
  <c r="AY309" i="1" s="1"/>
  <c r="AY310" i="1" s="1"/>
  <c r="BI401" i="1" l="1"/>
  <c r="BJ401" i="1" s="1"/>
  <c r="AY409" i="1"/>
  <c r="BG409" i="1"/>
  <c r="BI403" i="1"/>
  <c r="BJ403" i="1" s="1"/>
  <c r="AW409" i="1"/>
  <c r="AW510" i="1" a="1"/>
  <c r="BI365" i="1"/>
  <c r="BA409" i="1"/>
  <c r="BI406" i="1"/>
  <c r="BJ406" i="1" s="1"/>
  <c r="BI376" i="1"/>
  <c r="BJ376" i="1" s="1"/>
  <c r="BB409" i="1"/>
  <c r="BI386" i="1"/>
  <c r="BJ386" i="1" s="1"/>
  <c r="BI378" i="1"/>
  <c r="BJ378" i="1" s="1"/>
  <c r="BI374" i="1"/>
  <c r="BJ374" i="1" s="1"/>
  <c r="BI390" i="1"/>
  <c r="BJ390" i="1" s="1"/>
  <c r="BI384" i="1"/>
  <c r="BJ384" i="1" s="1"/>
  <c r="BI394" i="1"/>
  <c r="BJ394" i="1" s="1"/>
  <c r="BF409" i="1"/>
  <c r="BI402" i="1"/>
  <c r="BJ402" i="1" s="1"/>
  <c r="BI400" i="1"/>
  <c r="BJ400" i="1" s="1"/>
  <c r="BI385" i="1"/>
  <c r="BJ385" i="1" s="1"/>
  <c r="AZ409" i="1"/>
  <c r="BI373" i="1"/>
  <c r="BJ373" i="1" s="1"/>
  <c r="BI393" i="1"/>
  <c r="BJ393" i="1" s="1"/>
  <c r="BI389" i="1"/>
  <c r="BJ389" i="1" s="1"/>
  <c r="BI391" i="1"/>
  <c r="BJ391" i="1" s="1"/>
  <c r="BI408" i="1"/>
  <c r="BJ408" i="1" s="1"/>
  <c r="BI395" i="1"/>
  <c r="BJ395" i="1" s="1"/>
  <c r="BI381" i="1"/>
  <c r="BJ381" i="1" s="1"/>
  <c r="BI370" i="1"/>
  <c r="BJ370" i="1" s="1"/>
  <c r="BD409" i="1"/>
  <c r="BE409" i="1"/>
  <c r="BI372" i="1"/>
  <c r="BJ372" i="1" s="1"/>
  <c r="BI382" i="1"/>
  <c r="BJ382" i="1" s="1"/>
  <c r="BI377" i="1"/>
  <c r="BJ377" i="1" s="1"/>
  <c r="BI383" i="1"/>
  <c r="BJ383" i="1" s="1"/>
  <c r="BI405" i="1"/>
  <c r="BJ405" i="1" s="1"/>
  <c r="BI366" i="1"/>
  <c r="BJ366" i="1" s="1"/>
  <c r="BI369" i="1"/>
  <c r="BJ369" i="1" s="1"/>
  <c r="BI387" i="1"/>
  <c r="BJ387" i="1" s="1"/>
  <c r="BI388" i="1"/>
  <c r="BJ388" i="1" s="1"/>
  <c r="BJ423" i="1"/>
  <c r="CI433" i="1"/>
  <c r="BA439" i="1"/>
  <c r="BT418" i="1"/>
  <c r="AX431" i="1"/>
  <c r="BK438" i="1"/>
  <c r="BP442" i="1"/>
  <c r="AX446" i="1"/>
  <c r="BW449" i="1"/>
  <c r="BD453" i="1"/>
  <c r="CC456" i="1"/>
  <c r="BQ424" i="1"/>
  <c r="CE435" i="1"/>
  <c r="CH429" i="1"/>
  <c r="BU438" i="1"/>
  <c r="CK442" i="1"/>
  <c r="CF446" i="1"/>
  <c r="CB450" i="1"/>
  <c r="BW454" i="1"/>
  <c r="AZ416" i="1"/>
  <c r="BV431" i="1"/>
  <c r="BB439" i="1"/>
  <c r="BA416" i="1"/>
  <c r="BW431" i="1"/>
  <c r="BC439" i="1"/>
  <c r="BM419" i="1"/>
  <c r="BW436" i="1"/>
  <c r="CE442" i="1"/>
  <c r="AW447" i="1"/>
  <c r="BH451" i="1"/>
  <c r="BR455" i="1"/>
  <c r="BF423" i="1"/>
  <c r="CE437" i="1"/>
  <c r="BR443" i="1"/>
  <c r="CC447" i="1"/>
  <c r="CN451" i="1"/>
  <c r="BH456" i="1"/>
  <c r="AW428" i="1"/>
  <c r="BR439" i="1"/>
  <c r="BW444" i="1"/>
  <c r="CH448" i="1"/>
  <c r="AZ453" i="1"/>
  <c r="BL457" i="1"/>
  <c r="CE432" i="1"/>
  <c r="BB441" i="1"/>
  <c r="BZ445" i="1"/>
  <c r="CL449" i="1"/>
  <c r="BD454" i="1"/>
  <c r="BE418" i="1"/>
  <c r="AZ436" i="1"/>
  <c r="BT442" i="1"/>
  <c r="CE446" i="1"/>
  <c r="AY451" i="1"/>
  <c r="BC430" i="1"/>
  <c r="BF440" i="1"/>
  <c r="AZ445" i="1"/>
  <c r="BL449" i="1"/>
  <c r="BB433" i="1"/>
  <c r="BZ435" i="1"/>
  <c r="BY446" i="1"/>
  <c r="BK454" i="1"/>
  <c r="BL436" i="1"/>
  <c r="CM447" i="1"/>
  <c r="CE455" i="1"/>
  <c r="BW439" i="1"/>
  <c r="CB449" i="1"/>
  <c r="BC457" i="1"/>
  <c r="AX442" i="1"/>
  <c r="BP451" i="1"/>
  <c r="CK414" i="1"/>
  <c r="BW446" i="1"/>
  <c r="BD457" i="1"/>
  <c r="CB444" i="1"/>
  <c r="CB455" i="1"/>
  <c r="AY418" i="1"/>
  <c r="CM446" i="1"/>
  <c r="BP457" i="1"/>
  <c r="BB446" i="1"/>
  <c r="CE456" i="1"/>
  <c r="BA445" i="1"/>
  <c r="AY456" i="1"/>
  <c r="BB414" i="1"/>
  <c r="CI426" i="1"/>
  <c r="AY436" i="1"/>
  <c r="BO440" i="1"/>
  <c r="BH423" i="1"/>
  <c r="BU434" i="1"/>
  <c r="CF439" i="1"/>
  <c r="BY443" i="1"/>
  <c r="BF447" i="1"/>
  <c r="CE450" i="1"/>
  <c r="BL454" i="1"/>
  <c r="CK457" i="1"/>
  <c r="BX428" i="1"/>
  <c r="BD420" i="1"/>
  <c r="BG434" i="1"/>
  <c r="BA440" i="1"/>
  <c r="BF444" i="1"/>
  <c r="BB448" i="1"/>
  <c r="AX452" i="1"/>
  <c r="CK455" i="1"/>
  <c r="BA422" i="1"/>
  <c r="BH435" i="1"/>
  <c r="BY440" i="1"/>
  <c r="BM422" i="1"/>
  <c r="BK435" i="1"/>
  <c r="CA440" i="1"/>
  <c r="BF426" i="1"/>
  <c r="CI438" i="1"/>
  <c r="BD444" i="1"/>
  <c r="BO448" i="1"/>
  <c r="CA452" i="1"/>
  <c r="CL456" i="1"/>
  <c r="BR429" i="1"/>
  <c r="CM439" i="1"/>
  <c r="CL444" i="1"/>
  <c r="BD449" i="1"/>
  <c r="BO453" i="1"/>
  <c r="BZ457" i="1"/>
  <c r="CN433" i="1"/>
  <c r="BS441" i="1"/>
  <c r="CN445" i="1"/>
  <c r="BH450" i="1"/>
  <c r="CM425" i="1"/>
  <c r="CM436" i="1"/>
  <c r="BZ441" i="1"/>
  <c r="BE429" i="1"/>
  <c r="CB438" i="1"/>
  <c r="BL443" i="1"/>
  <c r="CF447" i="1"/>
  <c r="CM451" i="1"/>
  <c r="BC456" i="1"/>
  <c r="BW425" i="1"/>
  <c r="BU418" i="1"/>
  <c r="BX435" i="1"/>
  <c r="BW441" i="1"/>
  <c r="BD446" i="1"/>
  <c r="AX451" i="1"/>
  <c r="BW455" i="1"/>
  <c r="CB424" i="1"/>
  <c r="BO437" i="1"/>
  <c r="CB442" i="1"/>
  <c r="CD432" i="1"/>
  <c r="BJ440" i="1"/>
  <c r="BQ429" i="1"/>
  <c r="CM440" i="1"/>
  <c r="BJ446" i="1"/>
  <c r="BW451" i="1"/>
  <c r="BV456" i="1"/>
  <c r="BR432" i="1"/>
  <c r="CL441" i="1"/>
  <c r="AX447" i="1"/>
  <c r="BM452" i="1"/>
  <c r="BJ457" i="1"/>
  <c r="CI435" i="1"/>
  <c r="BD443" i="1"/>
  <c r="BC448" i="1"/>
  <c r="BP453" i="1"/>
  <c r="BX415" i="1"/>
  <c r="AW436" i="1"/>
  <c r="CH442" i="1"/>
  <c r="BP447" i="1"/>
  <c r="AZ452" i="1"/>
  <c r="BZ456" i="1"/>
  <c r="BU431" i="1"/>
  <c r="BD441" i="1"/>
  <c r="BA446" i="1"/>
  <c r="CA450" i="1"/>
  <c r="CH431" i="1"/>
  <c r="BG441" i="1"/>
  <c r="BC446" i="1"/>
  <c r="CD450" i="1"/>
  <c r="BE440" i="1"/>
  <c r="BJ442" i="1"/>
  <c r="BV451" i="1"/>
  <c r="CM422" i="1"/>
  <c r="BV445" i="1"/>
  <c r="CA454" i="1"/>
  <c r="BD438" i="1"/>
  <c r="BQ450" i="1"/>
  <c r="BP416" i="1"/>
  <c r="BP444" i="1"/>
  <c r="CI453" i="1"/>
  <c r="BX437" i="1"/>
  <c r="BT452" i="1"/>
  <c r="CM437" i="1"/>
  <c r="BW452" i="1"/>
  <c r="BC438" i="1"/>
  <c r="CH444" i="1"/>
  <c r="CB456" i="1"/>
  <c r="CN446" i="1"/>
  <c r="CH418" i="1"/>
  <c r="BH448" i="1"/>
  <c r="BX431" i="1"/>
  <c r="BO457" i="1"/>
  <c r="CD454" i="1"/>
  <c r="BJ452" i="1"/>
  <c r="BJ448" i="1"/>
  <c r="AW450" i="1"/>
  <c r="CA456" i="1"/>
  <c r="BH439" i="1"/>
  <c r="BF446" i="1"/>
  <c r="BT451" i="1"/>
  <c r="CC455" i="1"/>
  <c r="BY442" i="1"/>
  <c r="CL453" i="1"/>
  <c r="BQ435" i="1"/>
  <c r="CA435" i="1"/>
  <c r="CD434" i="1"/>
  <c r="CG430" i="1"/>
  <c r="BX426" i="1"/>
  <c r="BR427" i="1"/>
  <c r="CD419" i="1"/>
  <c r="BW430" i="1"/>
  <c r="CD431" i="1"/>
  <c r="BG427" i="1"/>
  <c r="BY447" i="1"/>
  <c r="BU423" i="1"/>
  <c r="BT438" i="1"/>
  <c r="BZ437" i="1"/>
  <c r="CF433" i="1"/>
  <c r="BW429" i="1"/>
  <c r="BQ430" i="1"/>
  <c r="AX417" i="1"/>
  <c r="BA420" i="1"/>
  <c r="CE418" i="1"/>
  <c r="CE433" i="1"/>
  <c r="BY453" i="1"/>
  <c r="BU417" i="1"/>
  <c r="CG418" i="1"/>
  <c r="BS417" i="1"/>
  <c r="BD437" i="1"/>
  <c r="BG436" i="1"/>
  <c r="BD426" i="1"/>
  <c r="BG425" i="1"/>
  <c r="CE430" i="1"/>
  <c r="BQ419" i="1"/>
  <c r="BG428" i="1"/>
  <c r="BN431" i="1"/>
  <c r="BL431" i="1"/>
  <c r="BP418" i="1"/>
  <c r="CJ435" i="1"/>
  <c r="BA450" i="1"/>
  <c r="BJ417" i="1"/>
  <c r="BU422" i="1"/>
  <c r="BA428" i="1"/>
  <c r="CK421" i="1"/>
  <c r="CM424" i="1"/>
  <c r="CB428" i="1"/>
  <c r="BZ428" i="1"/>
  <c r="CF419" i="1"/>
  <c r="BB425" i="1"/>
  <c r="CE423" i="1"/>
  <c r="BY456" i="1"/>
  <c r="BX427" i="1"/>
  <c r="BE448" i="1"/>
  <c r="BL424" i="1"/>
  <c r="BQ445" i="1"/>
  <c r="AY424" i="1"/>
  <c r="BE445" i="1"/>
  <c r="BV422" i="1"/>
  <c r="BI443" i="1"/>
  <c r="BI422" i="1"/>
  <c r="AW443" i="1"/>
  <c r="BU433" i="1"/>
  <c r="CK426" i="1"/>
  <c r="AW422" i="1"/>
  <c r="CG446" i="1"/>
  <c r="BC426" i="1"/>
  <c r="CK415" i="1"/>
  <c r="AY421" i="1"/>
  <c r="CF424" i="1"/>
  <c r="BG416" i="1"/>
  <c r="AX432" i="1"/>
  <c r="CD427" i="1"/>
  <c r="BK437" i="1"/>
  <c r="BQ414" i="1"/>
  <c r="BB430" i="1"/>
  <c r="AZ439" i="1"/>
  <c r="CL443" i="1"/>
  <c r="BA448" i="1"/>
  <c r="BI415" i="1"/>
  <c r="BT429" i="1"/>
  <c r="AY438" i="1"/>
  <c r="BG417" i="1"/>
  <c r="AX433" i="1"/>
  <c r="BD440" i="1"/>
  <c r="BT444" i="1"/>
  <c r="CA448" i="1"/>
  <c r="CI452" i="1"/>
  <c r="BK457" i="1"/>
  <c r="CE429" i="1"/>
  <c r="BB424" i="1"/>
  <c r="BG437" i="1"/>
  <c r="BW442" i="1"/>
  <c r="BQ447" i="1"/>
  <c r="BL452" i="1"/>
  <c r="CI456" i="1"/>
  <c r="AX428" i="1"/>
  <c r="CA438" i="1"/>
  <c r="BL419" i="1"/>
  <c r="CM435" i="1"/>
  <c r="CE441" i="1"/>
  <c r="CL433" i="1"/>
  <c r="BK442" i="1"/>
  <c r="CB447" i="1"/>
  <c r="AX453" i="1"/>
  <c r="CN457" i="1"/>
  <c r="CD435" i="1"/>
  <c r="BC443" i="1"/>
  <c r="BR448" i="1"/>
  <c r="CE453" i="1"/>
  <c r="CB419" i="1"/>
  <c r="CF437" i="1"/>
  <c r="BH444" i="1"/>
  <c r="BT449" i="1"/>
  <c r="BS454" i="1"/>
  <c r="AX422" i="1"/>
  <c r="CJ437" i="1"/>
  <c r="CK443" i="1"/>
  <c r="BT448" i="1"/>
  <c r="BB453" i="1"/>
  <c r="CB457" i="1"/>
  <c r="BD435" i="1"/>
  <c r="CJ442" i="1"/>
  <c r="BT447" i="1"/>
  <c r="BN414" i="1"/>
  <c r="BO435" i="1"/>
  <c r="BV442" i="1"/>
  <c r="BG447" i="1"/>
  <c r="BN416" i="1"/>
  <c r="BR424" i="1"/>
  <c r="BR444" i="1"/>
  <c r="BH453" i="1"/>
  <c r="BI434" i="1"/>
  <c r="BZ448" i="1"/>
  <c r="AZ457" i="1"/>
  <c r="BZ442" i="1"/>
  <c r="BS452" i="1"/>
  <c r="CK428" i="1"/>
  <c r="CH446" i="1"/>
  <c r="BY455" i="1"/>
  <c r="BS442" i="1"/>
  <c r="CM454" i="1"/>
  <c r="BX442" i="1"/>
  <c r="CN454" i="1"/>
  <c r="CF423" i="1"/>
  <c r="AY449" i="1"/>
  <c r="CL428" i="1"/>
  <c r="BB450" i="1"/>
  <c r="BD434" i="1"/>
  <c r="BG451" i="1"/>
  <c r="BN443" i="1"/>
  <c r="BE438" i="1"/>
  <c r="AY425" i="1"/>
  <c r="BK456" i="1"/>
  <c r="AW453" i="1"/>
  <c r="BS456" i="1"/>
  <c r="BH442" i="1"/>
  <c r="BM448" i="1"/>
  <c r="BI453" i="1"/>
  <c r="CF457" i="1"/>
  <c r="BT446" i="1"/>
  <c r="CH456" i="1"/>
  <c r="BC444" i="1"/>
  <c r="BB442" i="1"/>
  <c r="CN424" i="1"/>
  <c r="AX424" i="1"/>
  <c r="BU419" i="1"/>
  <c r="CC457" i="1"/>
  <c r="CL414" i="1"/>
  <c r="CA421" i="1"/>
  <c r="BD419" i="1"/>
  <c r="CD420" i="1"/>
  <c r="BT414" i="1"/>
  <c r="CG437" i="1"/>
  <c r="BM433" i="1"/>
  <c r="CM427" i="1"/>
  <c r="AW427" i="1"/>
  <c r="BA423" i="1"/>
  <c r="CE417" i="1"/>
  <c r="AX419" i="1"/>
  <c r="CM418" i="1"/>
  <c r="BP426" i="1"/>
  <c r="BV427" i="1"/>
  <c r="AZ423" i="1"/>
  <c r="CG443" i="1"/>
  <c r="BM427" i="1"/>
  <c r="BU425" i="1"/>
  <c r="CA426" i="1"/>
  <c r="BQ426" i="1"/>
  <c r="BT425" i="1"/>
  <c r="BP429" i="1"/>
  <c r="CG422" i="1"/>
  <c r="BA456" i="1"/>
  <c r="CC434" i="1"/>
  <c r="AZ432" i="1"/>
  <c r="BG435" i="1"/>
  <c r="BM415" i="1"/>
  <c r="BE417" i="1"/>
  <c r="BI416" i="1"/>
  <c r="CF435" i="1"/>
  <c r="BX414" i="1"/>
  <c r="BV419" i="1"/>
  <c r="CC454" i="1"/>
  <c r="BA436" i="1"/>
  <c r="CF428" i="1"/>
  <c r="BV432" i="1"/>
  <c r="CG417" i="1"/>
  <c r="BT415" i="1"/>
  <c r="AW440" i="1"/>
  <c r="BS428" i="1"/>
  <c r="CL431" i="1"/>
  <c r="BO434" i="1"/>
  <c r="BR421" i="1"/>
  <c r="BL432" i="1"/>
  <c r="BN417" i="1"/>
  <c r="CH430" i="1"/>
  <c r="BB416" i="1"/>
  <c r="BU430" i="1"/>
  <c r="CD415" i="1"/>
  <c r="CE428" i="1"/>
  <c r="BJ415" i="1"/>
  <c r="CN417" i="1"/>
  <c r="BQ442" i="1"/>
  <c r="BY434" i="1"/>
  <c r="BH419" i="1"/>
  <c r="BF427" i="1"/>
  <c r="CL421" i="1"/>
  <c r="BV420" i="1"/>
  <c r="AZ421" i="1"/>
  <c r="AY420" i="1"/>
  <c r="BC433" i="1"/>
  <c r="BY428" i="1"/>
  <c r="BO439" i="1"/>
  <c r="BG426" i="1"/>
  <c r="BP439" i="1"/>
  <c r="BO445" i="1"/>
  <c r="AZ451" i="1"/>
  <c r="CH455" i="1"/>
  <c r="CA427" i="1"/>
  <c r="BR426" i="1"/>
  <c r="BK439" i="1"/>
  <c r="BF445" i="1"/>
  <c r="BN450" i="1"/>
  <c r="BU456" i="1"/>
  <c r="BN430" i="1"/>
  <c r="AX441" i="1"/>
  <c r="AY428" i="1"/>
  <c r="CK439" i="1"/>
  <c r="BQ432" i="1"/>
  <c r="BQ443" i="1"/>
  <c r="BR449" i="1"/>
  <c r="BC455" i="1"/>
  <c r="CN430" i="1"/>
  <c r="CF442" i="1"/>
  <c r="BS449" i="1"/>
  <c r="BD455" i="1"/>
  <c r="BH431" i="1"/>
  <c r="CG442" i="1"/>
  <c r="BE449" i="1"/>
  <c r="BE455" i="1"/>
  <c r="BJ428" i="1"/>
  <c r="BU441" i="1"/>
  <c r="AZ447" i="1"/>
  <c r="CD452" i="1"/>
  <c r="BR420" i="1"/>
  <c r="BV438" i="1"/>
  <c r="AX445" i="1"/>
  <c r="BK450" i="1"/>
  <c r="BJ434" i="1"/>
  <c r="BK443" i="1"/>
  <c r="BX448" i="1"/>
  <c r="CH436" i="1"/>
  <c r="BN441" i="1"/>
  <c r="CE452" i="1"/>
  <c r="BG439" i="1"/>
  <c r="CG451" i="1"/>
  <c r="CJ431" i="1"/>
  <c r="CL448" i="1"/>
  <c r="BM425" i="1"/>
  <c r="BK448" i="1"/>
  <c r="CI457" i="1"/>
  <c r="CD449" i="1"/>
  <c r="AX436" i="1"/>
  <c r="BF454" i="1"/>
  <c r="BN433" i="1"/>
  <c r="CH452" i="1"/>
  <c r="CN442" i="1"/>
  <c r="BR457" i="1"/>
  <c r="BC450" i="1"/>
  <c r="CL446" i="1"/>
  <c r="BH447" i="1"/>
  <c r="BI447" i="1"/>
  <c r="BH446" i="1"/>
  <c r="BV454" i="1"/>
  <c r="CH447" i="1"/>
  <c r="BB457" i="1"/>
  <c r="CD443" i="1"/>
  <c r="CD451" i="1"/>
  <c r="CM452" i="1"/>
  <c r="CN453" i="1"/>
  <c r="BS445" i="1"/>
  <c r="BX419" i="1"/>
  <c r="BN434" i="1"/>
  <c r="BW418" i="1"/>
  <c r="AW420" i="1"/>
  <c r="CG431" i="1"/>
  <c r="CC423" i="1"/>
  <c r="CF430" i="1"/>
  <c r="BA441" i="1"/>
  <c r="CD416" i="1"/>
  <c r="BJ430" i="1"/>
  <c r="BJ424" i="1"/>
  <c r="BD433" i="1"/>
  <c r="BK423" i="1"/>
  <c r="BX417" i="1"/>
  <c r="BN437" i="1"/>
  <c r="BM426" i="1"/>
  <c r="CK456" i="1"/>
  <c r="BA424" i="1"/>
  <c r="BD417" i="1"/>
  <c r="BX432" i="1"/>
  <c r="BX421" i="1"/>
  <c r="CC429" i="1"/>
  <c r="BZ429" i="1"/>
  <c r="BI446" i="1"/>
  <c r="BC421" i="1"/>
  <c r="BB431" i="1"/>
  <c r="BB436" i="1"/>
  <c r="BV425" i="1"/>
  <c r="BC425" i="1"/>
  <c r="BY415" i="1"/>
  <c r="BT417" i="1"/>
  <c r="AY434" i="1"/>
  <c r="CC431" i="1"/>
  <c r="BG433" i="1"/>
  <c r="BM453" i="1"/>
  <c r="BW414" i="1"/>
  <c r="BL434" i="1"/>
  <c r="AZ415" i="1"/>
  <c r="BA418" i="1"/>
  <c r="BX429" i="1"/>
  <c r="CN418" i="1"/>
  <c r="BA453" i="1"/>
  <c r="BK424" i="1"/>
  <c r="CC428" i="1"/>
  <c r="BL426" i="1"/>
  <c r="BA414" i="1"/>
  <c r="BI452" i="1"/>
  <c r="BS431" i="1"/>
  <c r="BS424" i="1"/>
  <c r="BT416" i="1"/>
  <c r="CD417" i="1"/>
  <c r="BE442" i="1"/>
  <c r="CK418" i="1"/>
  <c r="CF417" i="1"/>
  <c r="CE420" i="1"/>
  <c r="CH417" i="1"/>
  <c r="AW452" i="1"/>
  <c r="CK420" i="1"/>
  <c r="CI425" i="1"/>
  <c r="BP425" i="1"/>
  <c r="CD438" i="1"/>
  <c r="CN428" i="1"/>
  <c r="BB434" i="1"/>
  <c r="BI449" i="1"/>
  <c r="CA434" i="1"/>
  <c r="BI425" i="1"/>
  <c r="CK432" i="1"/>
  <c r="CL418" i="1"/>
  <c r="BB437" i="1"/>
  <c r="CK417" i="1"/>
  <c r="AY435" i="1"/>
  <c r="CF425" i="1"/>
  <c r="CC420" i="1"/>
  <c r="BR422" i="1"/>
  <c r="BM428" i="1"/>
  <c r="AY441" i="1"/>
  <c r="CK446" i="1"/>
  <c r="BE432" i="1"/>
  <c r="BP414" i="1"/>
  <c r="BW434" i="1"/>
  <c r="BY457" i="1"/>
  <c r="CM456" i="1"/>
  <c r="AX435" i="1"/>
  <c r="BX440" i="1"/>
  <c r="BL421" i="1"/>
  <c r="BZ453" i="1"/>
  <c r="CI416" i="1"/>
  <c r="BT453" i="1"/>
  <c r="BQ455" i="1"/>
  <c r="BY444" i="1"/>
  <c r="CL440" i="1"/>
  <c r="BI437" i="1"/>
  <c r="CA425" i="1"/>
  <c r="CN426" i="1"/>
  <c r="BC418" i="1"/>
  <c r="BE431" i="1"/>
  <c r="BZ416" i="1"/>
  <c r="BR436" i="1"/>
  <c r="BI451" i="1"/>
  <c r="BV449" i="1"/>
  <c r="BB451" i="1"/>
  <c r="CE439" i="1"/>
  <c r="BR418" i="1"/>
  <c r="BO414" i="1"/>
  <c r="BT427" i="1"/>
  <c r="BC434" i="1"/>
  <c r="CG425" i="1"/>
  <c r="BX424" i="1"/>
  <c r="BE416" i="1"/>
  <c r="BN415" i="1"/>
  <c r="BI442" i="1"/>
  <c r="BK452" i="1"/>
  <c r="BM446" i="1"/>
  <c r="AY430" i="1"/>
  <c r="CB430" i="1"/>
  <c r="CK440" i="1"/>
  <c r="BC452" i="1"/>
  <c r="BS451" i="1"/>
  <c r="BR416" i="1"/>
  <c r="BM430" i="1"/>
  <c r="AW418" i="1"/>
  <c r="BP428" i="1"/>
  <c r="BL429" i="1"/>
  <c r="BU414" i="1"/>
  <c r="CG419" i="1"/>
  <c r="BZ419" i="1"/>
  <c r="CE448" i="1"/>
  <c r="CM420" i="1"/>
  <c r="BZ446" i="1"/>
  <c r="BL446" i="1"/>
  <c r="CB446" i="1"/>
  <c r="BQ438" i="1"/>
  <c r="AY433" i="1"/>
  <c r="BZ439" i="1"/>
  <c r="BS457" i="1"/>
  <c r="BN454" i="1"/>
  <c r="BO433" i="1"/>
  <c r="BL437" i="1"/>
  <c r="BI421" i="1"/>
  <c r="BG418" i="1"/>
  <c r="AW424" i="1"/>
  <c r="CK424" i="1"/>
  <c r="BW422" i="1"/>
  <c r="BG420" i="1"/>
  <c r="CE416" i="1"/>
  <c r="AY443" i="1"/>
  <c r="BP430" i="1"/>
  <c r="CD439" i="1"/>
  <c r="BD427" i="1"/>
  <c r="BS440" i="1"/>
  <c r="CB445" i="1"/>
  <c r="BM451" i="1"/>
  <c r="BP456" i="1"/>
  <c r="CC430" i="1"/>
  <c r="BQ427" i="1"/>
  <c r="CA439" i="1"/>
  <c r="BT445" i="1"/>
  <c r="BL451" i="1"/>
  <c r="BF457" i="1"/>
  <c r="CC432" i="1"/>
  <c r="BO441" i="1"/>
  <c r="BG429" i="1"/>
  <c r="AZ441" i="1"/>
  <c r="CH434" i="1"/>
  <c r="CF443" i="1"/>
  <c r="CH449" i="1"/>
  <c r="CI455" i="1"/>
  <c r="CM433" i="1"/>
  <c r="CH443" i="1"/>
  <c r="CI449" i="1"/>
  <c r="BS455" i="1"/>
  <c r="BS432" i="1"/>
  <c r="BS443" i="1"/>
  <c r="CK449" i="1"/>
  <c r="BV455" i="1"/>
  <c r="CD429" i="1"/>
  <c r="AW442" i="1"/>
  <c r="CG447" i="1"/>
  <c r="BR453" i="1"/>
  <c r="AZ422" i="1"/>
  <c r="AY439" i="1"/>
  <c r="BM445" i="1"/>
  <c r="BO451" i="1"/>
  <c r="BF436" i="1"/>
  <c r="CA443" i="1"/>
  <c r="CM448" i="1"/>
  <c r="AX438" i="1"/>
  <c r="BA443" i="1"/>
  <c r="CH453" i="1"/>
  <c r="BL440" i="1"/>
  <c r="BP452" i="1"/>
  <c r="CE434" i="1"/>
  <c r="BF451" i="1"/>
  <c r="BP432" i="1"/>
  <c r="AZ449" i="1"/>
  <c r="BX422" i="1"/>
  <c r="CF450" i="1"/>
  <c r="CB439" i="1"/>
  <c r="BR456" i="1"/>
  <c r="BN436" i="1"/>
  <c r="BV453" i="1"/>
  <c r="AW444" i="1"/>
  <c r="BP424" i="1"/>
  <c r="BD452" i="1"/>
  <c r="BW448" i="1"/>
  <c r="CJ448" i="1"/>
  <c r="AX449" i="1"/>
  <c r="CM449" i="1"/>
  <c r="CL425" i="1"/>
  <c r="BP450" i="1"/>
  <c r="CE414" i="1"/>
  <c r="BG446" i="1"/>
  <c r="BY420" i="1"/>
  <c r="BL430" i="1"/>
  <c r="CJ457" i="1"/>
  <c r="BZ449" i="1"/>
  <c r="CB414" i="1"/>
  <c r="BH427" i="1"/>
  <c r="BQ454" i="1"/>
  <c r="BI423" i="1"/>
  <c r="BH428" i="1"/>
  <c r="BW419" i="1"/>
  <c r="BZ423" i="1"/>
  <c r="BK434" i="1"/>
  <c r="AX420" i="1"/>
  <c r="CC426" i="1"/>
  <c r="BN420" i="1"/>
  <c r="AX426" i="1"/>
  <c r="AW414" i="1"/>
  <c r="CJ420" i="1"/>
  <c r="CH433" i="1"/>
  <c r="CF422" i="1"/>
  <c r="BM450" i="1"/>
  <c r="BY430" i="1"/>
  <c r="CH439" i="1"/>
  <c r="AY429" i="1"/>
  <c r="CB416" i="1"/>
  <c r="BV436" i="1"/>
  <c r="BZ414" i="1"/>
  <c r="CK441" i="1"/>
  <c r="BD418" i="1"/>
  <c r="BV424" i="1"/>
  <c r="BN425" i="1"/>
  <c r="CL427" i="1"/>
  <c r="BH418" i="1"/>
  <c r="BA421" i="1"/>
  <c r="CG436" i="1"/>
  <c r="BL423" i="1"/>
  <c r="BB418" i="1"/>
  <c r="BA426" i="1"/>
  <c r="AW449" i="1"/>
  <c r="BS419" i="1"/>
  <c r="BC414" i="1"/>
  <c r="BS415" i="1"/>
  <c r="CC425" i="1"/>
  <c r="BT421" i="1"/>
  <c r="CN435" i="1"/>
  <c r="AW437" i="1"/>
  <c r="CL417" i="1"/>
  <c r="CH414" i="1"/>
  <c r="CF415" i="1"/>
  <c r="CL430" i="1"/>
  <c r="BF435" i="1"/>
  <c r="BH433" i="1"/>
  <c r="CG414" i="1"/>
  <c r="CB421" i="1"/>
  <c r="CG435" i="1"/>
  <c r="BR431" i="1"/>
  <c r="BE428" i="1"/>
  <c r="BP427" i="1"/>
  <c r="AX439" i="1"/>
  <c r="BH436" i="1"/>
  <c r="CM453" i="1"/>
  <c r="BN453" i="1"/>
  <c r="CN439" i="1"/>
  <c r="CN444" i="1"/>
  <c r="BH443" i="1"/>
  <c r="BS446" i="1"/>
  <c r="CD448" i="1"/>
  <c r="AY445" i="1"/>
  <c r="BW443" i="1"/>
  <c r="CN432" i="1"/>
  <c r="AX443" i="1"/>
  <c r="BM434" i="1"/>
  <c r="BF443" i="1"/>
  <c r="CJ446" i="1"/>
  <c r="AY432" i="1"/>
  <c r="BC415" i="1"/>
  <c r="AW417" i="1"/>
  <c r="BS430" i="1"/>
  <c r="BE415" i="1"/>
  <c r="CD426" i="1"/>
  <c r="BT433" i="1"/>
  <c r="CL424" i="1"/>
  <c r="AZ429" i="1"/>
  <c r="BF422" i="1"/>
  <c r="BE422" i="1"/>
  <c r="BH432" i="1"/>
  <c r="CK419" i="1"/>
  <c r="BY421" i="1"/>
  <c r="BU424" i="1"/>
  <c r="BZ415" i="1"/>
  <c r="CC436" i="1"/>
  <c r="CN420" i="1"/>
  <c r="CK416" i="1"/>
  <c r="BA449" i="1"/>
  <c r="BT423" i="1"/>
  <c r="CN422" i="1"/>
  <c r="CC453" i="1"/>
  <c r="CA446" i="1"/>
  <c r="BK431" i="1"/>
  <c r="AZ440" i="1"/>
  <c r="BI428" i="1"/>
  <c r="CI440" i="1"/>
  <c r="BK446" i="1"/>
  <c r="BZ451" i="1"/>
  <c r="AX457" i="1"/>
  <c r="CI431" i="1"/>
  <c r="CI428" i="1"/>
  <c r="BR440" i="1"/>
  <c r="CH445" i="1"/>
  <c r="CA451" i="1"/>
  <c r="BT457" i="1"/>
  <c r="BX433" i="1"/>
  <c r="CD441" i="1"/>
  <c r="BO430" i="1"/>
  <c r="BP441" i="1"/>
  <c r="CC435" i="1"/>
  <c r="BS444" i="1"/>
  <c r="BF450" i="1"/>
  <c r="BF456" i="1"/>
  <c r="CI434" i="1"/>
  <c r="BE444" i="1"/>
  <c r="BG450" i="1"/>
  <c r="CJ455" i="1"/>
  <c r="CM434" i="1"/>
  <c r="CI443" i="1"/>
  <c r="BW450" i="1"/>
  <c r="CL455" i="1"/>
  <c r="BI431" i="1"/>
  <c r="BR442" i="1"/>
  <c r="BD448" i="1"/>
  <c r="CG453" i="1"/>
  <c r="CH423" i="1"/>
  <c r="BX439" i="1"/>
  <c r="CD445" i="1"/>
  <c r="CE451" i="1"/>
  <c r="CJ436" i="1"/>
  <c r="AX444" i="1"/>
  <c r="CA449" i="1"/>
  <c r="BD439" i="1"/>
  <c r="CE443" i="1"/>
  <c r="CJ454" i="1"/>
  <c r="BV441" i="1"/>
  <c r="CL452" i="1"/>
  <c r="CD436" i="1"/>
  <c r="CJ451" i="1"/>
  <c r="BP435" i="1"/>
  <c r="CF449" i="1"/>
  <c r="CE426" i="1"/>
  <c r="CF451" i="1"/>
  <c r="BI441" i="1"/>
  <c r="BG457" i="1"/>
  <c r="BS438" i="1"/>
  <c r="BM454" i="1"/>
  <c r="AW445" i="1"/>
  <c r="BD429" i="1"/>
  <c r="CK452" i="1"/>
  <c r="BS450" i="1"/>
  <c r="BT450" i="1"/>
  <c r="CC450" i="1"/>
  <c r="BU451" i="1"/>
  <c r="BR437" i="1"/>
  <c r="CF452" i="1"/>
  <c r="BJ431" i="1"/>
  <c r="BK449" i="1"/>
  <c r="CF440" i="1"/>
  <c r="AZ443" i="1"/>
  <c r="BR447" i="1"/>
  <c r="BG454" i="1"/>
  <c r="BF438" i="1"/>
  <c r="CA423" i="1"/>
  <c r="BE451" i="1"/>
  <c r="BU426" i="1"/>
  <c r="CA424" i="1"/>
  <c r="CA414" i="1"/>
  <c r="BP419" i="1"/>
  <c r="CD430" i="1"/>
  <c r="BO415" i="1"/>
  <c r="BD423" i="1"/>
  <c r="BR415" i="1"/>
  <c r="BP422" i="1"/>
  <c r="BI417" i="1"/>
  <c r="BH438" i="1"/>
  <c r="BI430" i="1"/>
  <c r="BI418" i="1"/>
  <c r="BA447" i="1"/>
  <c r="CK433" i="1"/>
  <c r="BT436" i="1"/>
  <c r="BR425" i="1"/>
  <c r="BV439" i="1"/>
  <c r="AW433" i="1"/>
  <c r="BO431" i="1"/>
  <c r="BO436" i="1"/>
  <c r="CB437" i="1"/>
  <c r="BY416" i="1"/>
  <c r="BF420" i="1"/>
  <c r="BP420" i="1"/>
  <c r="CL434" i="1"/>
  <c r="BQ425" i="1"/>
  <c r="CA429" i="1"/>
  <c r="CE415" i="1"/>
  <c r="BK414" i="1"/>
  <c r="BB419" i="1"/>
  <c r="BU443" i="1"/>
  <c r="CB415" i="1"/>
  <c r="CC448" i="1"/>
  <c r="CB423" i="1"/>
  <c r="BE434" i="1"/>
  <c r="CM431" i="1"/>
  <c r="BY419" i="1"/>
  <c r="AZ428" i="1"/>
  <c r="CD428" i="1"/>
  <c r="AY414" i="1"/>
  <c r="BN428" i="1"/>
  <c r="CC414" i="1"/>
  <c r="CN425" i="1"/>
  <c r="BO420" i="1"/>
  <c r="AW423" i="1"/>
  <c r="CL432" i="1"/>
  <c r="AZ420" i="1"/>
  <c r="CJ415" i="1"/>
  <c r="BJ435" i="1"/>
  <c r="CH428" i="1"/>
  <c r="CN415" i="1"/>
  <c r="AY427" i="1"/>
  <c r="BE439" i="1"/>
  <c r="BY423" i="1"/>
  <c r="BE419" i="1"/>
  <c r="CI420" i="1"/>
  <c r="BQ422" i="1"/>
  <c r="BI432" i="1"/>
  <c r="BI427" i="1"/>
  <c r="BK429" i="1"/>
  <c r="BC436" i="1"/>
  <c r="AZ433" i="1"/>
  <c r="BT441" i="1"/>
  <c r="BG415" i="1"/>
  <c r="BH441" i="1"/>
  <c r="CN452" i="1"/>
  <c r="BN442" i="1"/>
  <c r="CD437" i="1"/>
  <c r="CJ450" i="1"/>
  <c r="BI445" i="1"/>
  <c r="BH437" i="1"/>
  <c r="BJ451" i="1"/>
  <c r="BT443" i="1"/>
  <c r="CI454" i="1"/>
  <c r="BD447" i="1"/>
  <c r="AZ438" i="1"/>
  <c r="BO450" i="1"/>
  <c r="CN455" i="1"/>
  <c r="AZ454" i="1"/>
  <c r="BW438" i="1"/>
  <c r="AX454" i="1"/>
  <c r="CA441" i="1"/>
  <c r="BB449" i="1"/>
  <c r="BU454" i="1"/>
  <c r="AY455" i="1"/>
  <c r="CG456" i="1"/>
  <c r="CD455" i="1"/>
  <c r="CH450" i="1"/>
  <c r="BW427" i="1"/>
  <c r="BA433" i="1"/>
  <c r="BW424" i="1"/>
  <c r="BX423" i="1"/>
  <c r="BZ426" i="1"/>
  <c r="CG423" i="1"/>
  <c r="BC423" i="1"/>
  <c r="BP437" i="1"/>
  <c r="BA417" i="1"/>
  <c r="CN437" i="1"/>
  <c r="BY417" i="1"/>
  <c r="BE425" i="1"/>
  <c r="BG424" i="1"/>
  <c r="CK444" i="1"/>
  <c r="BC428" i="1"/>
  <c r="CB429" i="1"/>
  <c r="BS422" i="1"/>
  <c r="BB426" i="1"/>
  <c r="CG427" i="1"/>
  <c r="BU452" i="1"/>
  <c r="BW435" i="1"/>
  <c r="BZ431" i="1"/>
  <c r="BS421" i="1"/>
  <c r="BS414" i="1"/>
  <c r="CC417" i="1"/>
  <c r="BT434" i="1"/>
  <c r="BC435" i="1"/>
  <c r="BS447" i="1"/>
  <c r="CH416" i="1"/>
  <c r="BK433" i="1"/>
  <c r="CE447" i="1"/>
  <c r="BJ453" i="1"/>
  <c r="CD414" i="1"/>
  <c r="BF415" i="1"/>
  <c r="BW445" i="1"/>
  <c r="BH415" i="1"/>
  <c r="BX445" i="1"/>
  <c r="BP438" i="1"/>
  <c r="BY451" i="1"/>
  <c r="CA436" i="1"/>
  <c r="BF455" i="1"/>
  <c r="BX441" i="1"/>
  <c r="BT420" i="1"/>
  <c r="BP445" i="1"/>
  <c r="BK447" i="1"/>
  <c r="AZ444" i="1"/>
  <c r="BK455" i="1"/>
  <c r="BH454" i="1"/>
  <c r="BY439" i="1"/>
  <c r="CD446" i="1"/>
  <c r="CI442" i="1"/>
  <c r="BK440" i="1"/>
  <c r="CB454" i="1"/>
  <c r="CD457" i="1"/>
  <c r="BX447" i="1"/>
  <c r="AW439" i="1"/>
  <c r="BA457" i="1"/>
  <c r="BB432" i="1"/>
  <c r="BM441" i="1"/>
  <c r="AX427" i="1"/>
  <c r="BK426" i="1"/>
  <c r="BL417" i="1"/>
  <c r="BY450" i="1"/>
  <c r="BZ427" i="1"/>
  <c r="BX418" i="1"/>
  <c r="CJ433" i="1"/>
  <c r="CM421" i="1"/>
  <c r="CA431" i="1"/>
  <c r="CF420" i="1"/>
  <c r="BU429" i="1"/>
  <c r="BN421" i="1"/>
  <c r="BQ439" i="1"/>
  <c r="BU421" i="1"/>
  <c r="CN429" i="1"/>
  <c r="CJ417" i="1"/>
  <c r="BJ418" i="1"/>
  <c r="BD416" i="1"/>
  <c r="BS435" i="1"/>
  <c r="CE425" i="1"/>
  <c r="AX421" i="1"/>
  <c r="BY438" i="1"/>
  <c r="BR438" i="1"/>
  <c r="AX416" i="1"/>
  <c r="BE435" i="1"/>
  <c r="BX453" i="1"/>
  <c r="CB417" i="1"/>
  <c r="BM439" i="1"/>
  <c r="BM417" i="1"/>
  <c r="CM445" i="1"/>
  <c r="BZ417" i="1"/>
  <c r="AY452" i="1"/>
  <c r="BJ437" i="1"/>
  <c r="BI450" i="1"/>
  <c r="AY442" i="1"/>
  <c r="BY422" i="1"/>
  <c r="CF445" i="1"/>
  <c r="AX448" i="1"/>
  <c r="CF444" i="1"/>
  <c r="BJ444" i="1"/>
  <c r="BG453" i="1"/>
  <c r="BN456" i="1"/>
  <c r="CM443" i="1"/>
  <c r="CG441" i="1"/>
  <c r="BD456" i="1"/>
  <c r="CJ418" i="1"/>
  <c r="BL450" i="1"/>
  <c r="CE445" i="1"/>
  <c r="CG434" i="1"/>
  <c r="BU428" i="1"/>
  <c r="CM423" i="1"/>
  <c r="BQ423" i="1"/>
  <c r="CD422" i="1"/>
  <c r="BX420" i="1"/>
  <c r="AZ434" i="1"/>
  <c r="AZ424" i="1"/>
  <c r="BP436" i="1"/>
  <c r="BK430" i="1"/>
  <c r="AX430" i="1"/>
  <c r="CD425" i="1"/>
  <c r="BT424" i="1"/>
  <c r="CI415" i="1"/>
  <c r="BW417" i="1"/>
  <c r="CB432" i="1"/>
  <c r="BV416" i="1"/>
  <c r="BY424" i="1"/>
  <c r="BJ422" i="1"/>
  <c r="BZ421" i="1"/>
  <c r="CG416" i="1"/>
  <c r="BU427" i="1"/>
  <c r="CJ432" i="1"/>
  <c r="BU435" i="1"/>
  <c r="BM424" i="1"/>
  <c r="CB431" i="1"/>
  <c r="BE420" i="1"/>
  <c r="CN448" i="1"/>
  <c r="BV415" i="1"/>
  <c r="BG443" i="1"/>
  <c r="CL420" i="1"/>
  <c r="BQ437" i="1"/>
  <c r="CL439" i="1"/>
  <c r="BN439" i="1"/>
  <c r="CF421" i="1"/>
  <c r="AX418" i="1"/>
  <c r="CM455" i="1"/>
  <c r="CJ423" i="1"/>
  <c r="BV433" i="1"/>
  <c r="BV457" i="1"/>
  <c r="CL442" i="1"/>
  <c r="CB448" i="1"/>
  <c r="CJ452" i="1"/>
  <c r="CK422" i="1"/>
  <c r="BY452" i="1"/>
  <c r="AW451" i="1"/>
  <c r="AW454" i="1"/>
  <c r="BX434" i="1"/>
  <c r="BT430" i="1"/>
  <c r="BP423" i="1"/>
  <c r="BY433" i="1"/>
  <c r="BW426" i="1"/>
  <c r="CG433" i="1"/>
  <c r="BT428" i="1"/>
  <c r="AY419" i="1"/>
  <c r="CC445" i="1"/>
  <c r="CM428" i="1"/>
  <c r="BF425" i="1"/>
  <c r="BN440" i="1"/>
  <c r="BW420" i="1"/>
  <c r="BQ415" i="1"/>
  <c r="BK418" i="1"/>
  <c r="BR419" i="1"/>
  <c r="BU436" i="1"/>
  <c r="BV443" i="1"/>
  <c r="BV423" i="1"/>
  <c r="BF432" i="1"/>
  <c r="CC440" i="1"/>
  <c r="BC432" i="1"/>
  <c r="BF441" i="1"/>
  <c r="BX446" i="1"/>
  <c r="BH452" i="1"/>
  <c r="BX457" i="1"/>
  <c r="CF432" i="1"/>
  <c r="AW431" i="1"/>
  <c r="CJ440" i="1"/>
  <c r="BR446" i="1"/>
  <c r="BZ452" i="1"/>
  <c r="CH457" i="1"/>
  <c r="BR434" i="1"/>
  <c r="AZ442" i="1"/>
  <c r="BZ433" i="1"/>
  <c r="BA442" i="1"/>
  <c r="BE437" i="1"/>
  <c r="CJ444" i="1"/>
  <c r="BU450" i="1"/>
  <c r="BI457" i="1"/>
  <c r="BX436" i="1"/>
  <c r="BV444" i="1"/>
  <c r="BV450" i="1"/>
  <c r="BW456" i="1"/>
  <c r="BZ436" i="1"/>
  <c r="CM444" i="1"/>
  <c r="CM450" i="1"/>
  <c r="BI456" i="1"/>
  <c r="AW434" i="1"/>
  <c r="BE443" i="1"/>
  <c r="CI448" i="1"/>
  <c r="BT454" i="1"/>
  <c r="BL425" i="1"/>
  <c r="BC440" i="1"/>
  <c r="BP446" i="1"/>
  <c r="BO416" i="1"/>
  <c r="BS437" i="1"/>
  <c r="BN444" i="1"/>
  <c r="AX450" i="1"/>
  <c r="BF417" i="1"/>
  <c r="BG445" i="1"/>
  <c r="BN455" i="1"/>
  <c r="BU442" i="1"/>
  <c r="BU453" i="1"/>
  <c r="CE440" i="1"/>
  <c r="BC453" i="1"/>
  <c r="AZ437" i="1"/>
  <c r="BZ450" i="1"/>
  <c r="CK431" i="1"/>
  <c r="BK453" i="1"/>
  <c r="BZ443" i="1"/>
  <c r="CM457" i="1"/>
  <c r="AY440" i="1"/>
  <c r="BA455" i="1"/>
  <c r="AW448" i="1"/>
  <c r="CL436" i="1"/>
  <c r="CA453" i="1"/>
  <c r="BF452" i="1"/>
  <c r="BG452" i="1"/>
  <c r="CB453" i="1"/>
  <c r="BJ454" i="1"/>
  <c r="BG442" i="1"/>
  <c r="BZ454" i="1"/>
  <c r="BI439" i="1"/>
  <c r="CJ453" i="1"/>
  <c r="CI451" i="1"/>
  <c r="BL448" i="1"/>
  <c r="BX449" i="1"/>
  <c r="AZ455" i="1"/>
  <c r="BD431" i="1"/>
  <c r="BY414" i="1"/>
  <c r="CK447" i="1"/>
  <c r="CG429" i="1"/>
  <c r="BD428" i="1"/>
  <c r="BQ433" i="1"/>
  <c r="BE427" i="1"/>
  <c r="CA418" i="1"/>
  <c r="CF418" i="1"/>
  <c r="BG430" i="1"/>
  <c r="BE457" i="1"/>
  <c r="BU420" i="1"/>
  <c r="CF434" i="1"/>
  <c r="CB426" i="1"/>
  <c r="BF430" i="1"/>
  <c r="BU440" i="1"/>
  <c r="AX414" i="1"/>
  <c r="CM432" i="1"/>
  <c r="CJ421" i="1"/>
  <c r="BZ432" i="1"/>
  <c r="CI424" i="1"/>
  <c r="BY431" i="1"/>
  <c r="CC419" i="1"/>
  <c r="CK430" i="1"/>
  <c r="BG419" i="1"/>
  <c r="BG432" i="1"/>
  <c r="CI419" i="1"/>
  <c r="BU416" i="1"/>
  <c r="CB433" i="1"/>
  <c r="BV452" i="1"/>
  <c r="CA433" i="1"/>
  <c r="BC447" i="1"/>
  <c r="CK435" i="1"/>
  <c r="BO442" i="1"/>
  <c r="BH445" i="1"/>
  <c r="BF437" i="1"/>
  <c r="CL450" i="1"/>
  <c r="BJ445" i="1"/>
  <c r="BX456" i="1"/>
  <c r="BF449" i="1"/>
  <c r="CF426" i="1"/>
  <c r="BS418" i="1"/>
  <c r="CC444" i="1"/>
  <c r="CK445" i="1"/>
  <c r="BM443" i="1"/>
  <c r="CF441" i="1"/>
  <c r="BB452" i="1"/>
  <c r="BR435" i="1"/>
  <c r="CA445" i="1"/>
  <c r="CF455" i="1"/>
  <c r="CF438" i="1"/>
  <c r="BS453" i="1"/>
  <c r="BZ455" i="1"/>
  <c r="CE444" i="1"/>
  <c r="BJ443" i="1"/>
  <c r="BE453" i="1"/>
  <c r="BL456" i="1"/>
  <c r="BA431" i="1"/>
  <c r="AW416" i="1"/>
  <c r="CJ429" i="1"/>
  <c r="AZ414" i="1"/>
  <c r="CK453" i="1"/>
  <c r="BG431" i="1"/>
  <c r="BY426" i="1"/>
  <c r="BN429" i="1"/>
  <c r="BA429" i="1"/>
  <c r="BQ417" i="1"/>
  <c r="BH420" i="1"/>
  <c r="CE431" i="1"/>
  <c r="BI435" i="1"/>
  <c r="BP415" i="1"/>
  <c r="BP433" i="1"/>
  <c r="BB422" i="1"/>
  <c r="BM456" i="1"/>
  <c r="BQ428" i="1"/>
  <c r="BP421" i="1"/>
  <c r="BG421" i="1"/>
  <c r="BV417" i="1"/>
  <c r="BE433" i="1"/>
  <c r="BQ431" i="1"/>
  <c r="BL441" i="1"/>
  <c r="CH441" i="1"/>
  <c r="BQ453" i="1"/>
  <c r="BV434" i="1"/>
  <c r="CM441" i="1"/>
  <c r="CA417" i="1"/>
  <c r="BS436" i="1"/>
  <c r="BL438" i="1"/>
  <c r="CL451" i="1"/>
  <c r="BN438" i="1"/>
  <c r="BW415" i="1"/>
  <c r="BY445" i="1"/>
  <c r="CN456" i="1"/>
  <c r="BI444" i="1"/>
  <c r="BL428" i="1"/>
  <c r="CI447" i="1"/>
  <c r="BX438" i="1"/>
  <c r="CB427" i="1"/>
  <c r="BQ456" i="1"/>
  <c r="BP443" i="1"/>
  <c r="BX452" i="1"/>
  <c r="CA455" i="1"/>
  <c r="CA422" i="1"/>
  <c r="BD451" i="1"/>
  <c r="BJ455" i="1"/>
  <c r="BE456" i="1"/>
  <c r="CJ456" i="1"/>
  <c r="BU448" i="1"/>
  <c r="AW421" i="1"/>
  <c r="BY425" i="1"/>
  <c r="CM419" i="1"/>
  <c r="BM436" i="1"/>
  <c r="CH415" i="1"/>
  <c r="BN419" i="1"/>
  <c r="CC418" i="1"/>
  <c r="BA427" i="1"/>
  <c r="CB434" i="1"/>
  <c r="CC433" i="1"/>
  <c r="BW433" i="1"/>
  <c r="BL427" i="1"/>
  <c r="BZ420" i="1"/>
  <c r="BR430" i="1"/>
  <c r="CM416" i="1"/>
  <c r="CN434" i="1"/>
  <c r="BT419" i="1"/>
  <c r="CB422" i="1"/>
  <c r="CN431" i="1"/>
  <c r="CK438" i="1"/>
  <c r="BV414" i="1"/>
  <c r="BO432" i="1"/>
  <c r="BB417" i="1"/>
  <c r="BS416" i="1"/>
  <c r="CC442" i="1"/>
  <c r="BT432" i="1"/>
  <c r="BH429" i="1"/>
  <c r="AW419" i="1"/>
  <c r="AZ435" i="1"/>
  <c r="CB435" i="1"/>
  <c r="BC442" i="1"/>
  <c r="BN448" i="1"/>
  <c r="CD453" i="1"/>
  <c r="AZ418" i="1"/>
  <c r="CJ434" i="1"/>
  <c r="BP448" i="1"/>
  <c r="BK419" i="1"/>
  <c r="CN436" i="1"/>
  <c r="AX437" i="1"/>
  <c r="BH417" i="1"/>
  <c r="CL445" i="1"/>
  <c r="CJ438" i="1"/>
  <c r="BX451" i="1"/>
  <c r="CM438" i="1"/>
  <c r="CA457" i="1"/>
  <c r="BX444" i="1"/>
  <c r="BX455" i="1"/>
  <c r="BG448" i="1"/>
  <c r="BF439" i="1"/>
  <c r="BR451" i="1"/>
  <c r="AY457" i="1"/>
  <c r="BO456" i="1"/>
  <c r="CE454" i="1"/>
  <c r="BE441" i="1"/>
  <c r="CA447" i="1"/>
  <c r="BC424" i="1"/>
  <c r="CF456" i="1"/>
  <c r="BW457" i="1"/>
  <c r="CK425" i="1"/>
  <c r="BZ430" i="1"/>
  <c r="CH440" i="1"/>
  <c r="BQ452" i="1"/>
  <c r="AY415" i="1"/>
  <c r="BA438" i="1"/>
  <c r="BA434" i="1"/>
  <c r="BR414" i="1"/>
  <c r="BV430" i="1"/>
  <c r="BM447" i="1"/>
  <c r="BC431" i="1"/>
  <c r="BD430" i="1"/>
  <c r="BH422" i="1"/>
  <c r="BC417" i="1"/>
  <c r="BA415" i="1"/>
  <c r="AW435" i="1"/>
  <c r="BU455" i="1"/>
  <c r="CK434" i="1"/>
  <c r="BR433" i="1"/>
  <c r="CM417" i="1"/>
  <c r="CI421" i="1"/>
  <c r="BV429" i="1"/>
  <c r="CA428" i="1"/>
  <c r="BJ426" i="1"/>
  <c r="CM415" i="1"/>
  <c r="BH416" i="1"/>
  <c r="BY418" i="1"/>
  <c r="BC416" i="1"/>
  <c r="BV435" i="1"/>
  <c r="CD442" i="1"/>
  <c r="AY454" i="1"/>
  <c r="BJ436" i="1"/>
  <c r="CH437" i="1"/>
  <c r="CC421" i="1"/>
  <c r="CA419" i="1"/>
  <c r="CB452" i="1"/>
  <c r="BN452" i="1"/>
  <c r="BX450" i="1"/>
  <c r="BV448" i="1"/>
  <c r="BS420" i="1"/>
  <c r="BO446" i="1"/>
  <c r="BO455" i="1"/>
  <c r="CL457" i="1"/>
  <c r="CJ445" i="1"/>
  <c r="BU457" i="1"/>
  <c r="CF429" i="1"/>
  <c r="BP455" i="1"/>
  <c r="BB444" i="1"/>
  <c r="CJ419" i="1"/>
  <c r="BH414" i="1"/>
  <c r="BA435" i="1"/>
  <c r="BA444" i="1"/>
  <c r="CI432" i="1"/>
  <c r="CJ422" i="1"/>
  <c r="CB420" i="1"/>
  <c r="BF416" i="1"/>
  <c r="CB418" i="1"/>
  <c r="CE422" i="1"/>
  <c r="CG432" i="1"/>
  <c r="BM418" i="1"/>
  <c r="BL435" i="1"/>
  <c r="BD415" i="1"/>
  <c r="BF431" i="1"/>
  <c r="CJ427" i="1"/>
  <c r="BQ421" i="1"/>
  <c r="BJ421" i="1"/>
  <c r="BY454" i="1"/>
  <c r="CE436" i="1"/>
  <c r="BI454" i="1"/>
  <c r="BI438" i="1"/>
  <c r="CI437" i="1"/>
  <c r="BL447" i="1"/>
  <c r="BQ440" i="1"/>
  <c r="BN422" i="1"/>
  <c r="CA437" i="1"/>
  <c r="BL422" i="1"/>
  <c r="BC437" i="1"/>
  <c r="BG444" i="1"/>
  <c r="CJ449" i="1"/>
  <c r="CL454" i="1"/>
  <c r="BK422" i="1"/>
  <c r="CE421" i="1"/>
  <c r="BY437" i="1"/>
  <c r="CJ443" i="1"/>
  <c r="BO449" i="1"/>
  <c r="CK454" i="1"/>
  <c r="BZ425" i="1"/>
  <c r="BS439" i="1"/>
  <c r="CC424" i="1"/>
  <c r="BJ438" i="1"/>
  <c r="CD424" i="1"/>
  <c r="BQ441" i="1"/>
  <c r="AY448" i="1"/>
  <c r="BA454" i="1"/>
  <c r="CE424" i="1"/>
  <c r="CN440" i="1"/>
  <c r="BN447" i="1"/>
  <c r="BB454" i="1"/>
  <c r="AW425" i="1"/>
  <c r="AW441" i="1"/>
  <c r="BO447" i="1"/>
  <c r="CF453" i="1"/>
  <c r="BW423" i="1"/>
  <c r="BU439" i="1"/>
  <c r="AY446" i="1"/>
  <c r="BK451" i="1"/>
  <c r="AW457" i="1"/>
  <c r="CF436" i="1"/>
  <c r="CN443" i="1"/>
  <c r="BH449" i="1"/>
  <c r="BC427" i="1"/>
  <c r="CB441" i="1"/>
  <c r="BV447" i="1"/>
  <c r="BB427" i="1"/>
  <c r="BG438" i="1"/>
  <c r="BD450" i="1"/>
  <c r="BN427" i="1"/>
  <c r="BP449" i="1"/>
  <c r="BC420" i="1"/>
  <c r="BV446" i="1"/>
  <c r="BT456" i="1"/>
  <c r="BD445" i="1"/>
  <c r="BB456" i="1"/>
  <c r="BU445" i="1"/>
  <c r="BZ422" i="1"/>
  <c r="CG450" i="1"/>
  <c r="CG439" i="1"/>
  <c r="AZ450" i="1"/>
  <c r="BZ438" i="1"/>
  <c r="BO454" i="1"/>
  <c r="BE446" i="1"/>
  <c r="BW437" i="1"/>
  <c r="BK441" i="1"/>
  <c r="CI441" i="1"/>
  <c r="BW440" i="1"/>
  <c r="CD444" i="1"/>
  <c r="BE426" i="1"/>
  <c r="BN451" i="1"/>
  <c r="CJ416" i="1"/>
  <c r="BJ419" i="1"/>
  <c r="AZ456" i="1"/>
  <c r="CG457" i="1"/>
  <c r="CH438" i="1"/>
  <c r="CG444" i="1"/>
  <c r="CL438" i="1"/>
  <c r="AZ427" i="1"/>
  <c r="CD421" i="1"/>
  <c r="BS429" i="1"/>
  <c r="BV426" i="1"/>
  <c r="AY416" i="1"/>
  <c r="BI433" i="1"/>
  <c r="BM440" i="1"/>
  <c r="BK428" i="1"/>
  <c r="BH457" i="1"/>
  <c r="CJ428" i="1"/>
  <c r="BG449" i="1"/>
  <c r="BQ444" i="1"/>
  <c r="CI439" i="1"/>
  <c r="BO444" i="1"/>
  <c r="AY423" i="1"/>
  <c r="BJ427" i="1"/>
  <c r="BY436" i="1"/>
  <c r="BD414" i="1"/>
  <c r="BZ440" i="1"/>
  <c r="CG420" i="1"/>
  <c r="BH425" i="1"/>
  <c r="CC451" i="1"/>
  <c r="BY441" i="1"/>
  <c r="BF418" i="1"/>
  <c r="BI426" i="1"/>
  <c r="BN418" i="1"/>
  <c r="CG421" i="1"/>
  <c r="CA420" i="1"/>
  <c r="CG415" i="1"/>
  <c r="BC429" i="1"/>
  <c r="BU446" i="1"/>
  <c r="CK427" i="1"/>
  <c r="BF434" i="1"/>
  <c r="BF433" i="1"/>
  <c r="BF428" i="1"/>
  <c r="BD421" i="1"/>
  <c r="AW429" i="1"/>
  <c r="CH435" i="1"/>
  <c r="BZ424" i="1"/>
  <c r="BI455" i="1"/>
  <c r="BO423" i="1"/>
  <c r="BB415" i="1"/>
  <c r="CM414" i="1"/>
  <c r="BS425" i="1"/>
  <c r="BO426" i="1"/>
  <c r="BE450" i="1"/>
  <c r="CC449" i="1"/>
  <c r="CC427" i="1"/>
  <c r="BM442" i="1"/>
  <c r="CM442" i="1"/>
  <c r="BE452" i="1"/>
  <c r="BY448" i="1"/>
  <c r="BL445" i="1"/>
  <c r="BK427" i="1"/>
  <c r="AX434" i="1"/>
  <c r="CH420" i="1"/>
  <c r="BJ432" i="1"/>
  <c r="BW432" i="1"/>
  <c r="BE424" i="1"/>
  <c r="AY450" i="1"/>
  <c r="AY447" i="1"/>
  <c r="CI446" i="1"/>
  <c r="CC415" i="1"/>
  <c r="BX454" i="1"/>
  <c r="BE414" i="1"/>
  <c r="CL429" i="1"/>
  <c r="AY417" i="1"/>
  <c r="BW421" i="1"/>
  <c r="BY435" i="1"/>
  <c r="BK420" i="1"/>
  <c r="CJ441" i="1"/>
  <c r="BK421" i="1"/>
  <c r="CJ447" i="1"/>
  <c r="CB425" i="1"/>
  <c r="AX429" i="1"/>
  <c r="CB436" i="1"/>
  <c r="CH421" i="1"/>
  <c r="BY449" i="1"/>
  <c r="CC443" i="1"/>
  <c r="BM444" i="1"/>
  <c r="BE436" i="1"/>
  <c r="CN416" i="1"/>
  <c r="BU432" i="1"/>
  <c r="CL422" i="1"/>
  <c r="CG454" i="1"/>
  <c r="BM435" i="1"/>
  <c r="BL453" i="1"/>
  <c r="BN449" i="1"/>
  <c r="CL426" i="1"/>
  <c r="BT435" i="1"/>
  <c r="BY427" i="1"/>
  <c r="BX430" i="1"/>
  <c r="BG423" i="1"/>
  <c r="AX455" i="1"/>
  <c r="BK436" i="1"/>
  <c r="CG424" i="1"/>
  <c r="BR417" i="1"/>
  <c r="BS426" i="1"/>
  <c r="BD424" i="1"/>
  <c r="BZ434" i="1"/>
  <c r="AZ419" i="1"/>
  <c r="BO419" i="1"/>
  <c r="CC439" i="1"/>
  <c r="CC422" i="1"/>
  <c r="BB445" i="1"/>
  <c r="BU444" i="1"/>
  <c r="CC438" i="1"/>
  <c r="BH426" i="1"/>
  <c r="BT440" i="1"/>
  <c r="CN438" i="1"/>
  <c r="BH434" i="1"/>
  <c r="CD440" i="1"/>
  <c r="BQ449" i="1"/>
  <c r="CG445" i="1"/>
  <c r="BZ444" i="1"/>
  <c r="CN447" i="1"/>
  <c r="AY422" i="1"/>
  <c r="BF442" i="1"/>
  <c r="BL455" i="1"/>
  <c r="BM416" i="1"/>
  <c r="AY431" i="1"/>
  <c r="CM426" i="1"/>
  <c r="BT431" i="1"/>
  <c r="CG440" i="1"/>
  <c r="CL419" i="1"/>
  <c r="BE423" i="1"/>
  <c r="CM429" i="1"/>
  <c r="BI429" i="1"/>
  <c r="BB421" i="1"/>
  <c r="BA432" i="1"/>
  <c r="BV440" i="1"/>
  <c r="BF448" i="1"/>
  <c r="BR452" i="1"/>
  <c r="CH419" i="1"/>
  <c r="BQ420" i="1"/>
  <c r="BB429" i="1"/>
  <c r="BO421" i="1"/>
  <c r="BK432" i="1"/>
  <c r="CI414" i="1"/>
  <c r="BR450" i="1"/>
  <c r="BL442" i="1"/>
  <c r="BX443" i="1"/>
  <c r="AX456" i="1"/>
  <c r="BL433" i="1"/>
  <c r="CC416" i="1"/>
  <c r="BU415" i="1"/>
  <c r="CN421" i="1"/>
  <c r="CH425" i="1"/>
  <c r="CJ414" i="1"/>
  <c r="BG456" i="1"/>
  <c r="BS448" i="1"/>
  <c r="BD432" i="1"/>
  <c r="CJ424" i="1"/>
  <c r="BJ420" i="1"/>
  <c r="BM429" i="1"/>
  <c r="CI417" i="1"/>
  <c r="BU449" i="1"/>
  <c r="BS423" i="1"/>
  <c r="AY453" i="1"/>
  <c r="CK448" i="1"/>
  <c r="CB443" i="1"/>
  <c r="CG438" i="1"/>
  <c r="BF421" i="1"/>
  <c r="BP431" i="1"/>
  <c r="CD418" i="1"/>
  <c r="BI424" i="1"/>
  <c r="BF419" i="1"/>
  <c r="BO422" i="1"/>
  <c r="BO424" i="1"/>
  <c r="BF429" i="1"/>
  <c r="BR454" i="1"/>
  <c r="AZ430" i="1"/>
  <c r="CH451" i="1"/>
  <c r="BF453" i="1"/>
  <c r="BN435" i="1"/>
  <c r="BL414" i="1"/>
  <c r="BF414" i="1"/>
  <c r="CE419" i="1"/>
  <c r="BM438" i="1"/>
  <c r="BK425" i="1"/>
  <c r="BC449" i="1"/>
  <c r="BO452" i="1"/>
  <c r="BA451" i="1"/>
  <c r="BR445" i="1"/>
  <c r="CN414" i="1"/>
  <c r="AW430" i="1"/>
  <c r="CG455" i="1"/>
  <c r="CL423" i="1"/>
  <c r="BY432" i="1"/>
  <c r="AY444" i="1"/>
  <c r="CI422" i="1"/>
  <c r="BQ448" i="1"/>
  <c r="BB438" i="1"/>
  <c r="CD456" i="1"/>
  <c r="BE430" i="1"/>
  <c r="BI414" i="1"/>
  <c r="BJ414" i="1"/>
  <c r="BM431" i="1"/>
  <c r="BJ449" i="1"/>
  <c r="CI444" i="1"/>
  <c r="BT439" i="1"/>
  <c r="CN427" i="1"/>
  <c r="CN441" i="1"/>
  <c r="AX440" i="1"/>
  <c r="BM437" i="1"/>
  <c r="BD442" i="1"/>
  <c r="CI450" i="1"/>
  <c r="BJ447" i="1"/>
  <c r="BZ447" i="1"/>
  <c r="BC451" i="1"/>
  <c r="BC441" i="1"/>
  <c r="BU447" i="1"/>
  <c r="CB440" i="1"/>
  <c r="CJ430" i="1"/>
  <c r="CK423" i="1"/>
  <c r="BN423" i="1"/>
  <c r="BN424" i="1"/>
  <c r="BU437" i="1"/>
  <c r="AX415" i="1"/>
  <c r="CA432" i="1"/>
  <c r="BN426" i="1"/>
  <c r="CL415" i="1"/>
  <c r="BK417" i="1"/>
  <c r="BR423" i="1"/>
  <c r="BL416" i="1"/>
  <c r="CN423" i="1"/>
  <c r="BS434" i="1"/>
  <c r="AW438" i="1"/>
  <c r="BA452" i="1"/>
  <c r="BQ446" i="1"/>
  <c r="BA419" i="1"/>
  <c r="BS433" i="1"/>
  <c r="CI436" i="1"/>
  <c r="BM414" i="1"/>
  <c r="BI419" i="1"/>
  <c r="CG449" i="1"/>
  <c r="AW455" i="1"/>
  <c r="CM430" i="1"/>
  <c r="BK445" i="1"/>
  <c r="CI418" i="1"/>
  <c r="BQ436" i="1"/>
  <c r="CD423" i="1"/>
  <c r="CJ426" i="1"/>
  <c r="BI436" i="1"/>
  <c r="BE421" i="1"/>
  <c r="BO425" i="1"/>
  <c r="BT455" i="1"/>
  <c r="BI448" i="1"/>
  <c r="BN445" i="1"/>
  <c r="BE454" i="1"/>
  <c r="BJ439" i="1"/>
  <c r="CF427" i="1"/>
  <c r="BL415" i="1"/>
  <c r="CH426" i="1"/>
  <c r="CC452" i="1"/>
  <c r="CI423" i="1"/>
  <c r="CE449" i="1"/>
  <c r="CI445" i="1"/>
  <c r="BL420" i="1"/>
  <c r="CA415" i="1"/>
  <c r="BM432" i="1"/>
  <c r="BH424" i="1"/>
  <c r="CE427" i="1"/>
  <c r="BO428" i="1"/>
  <c r="CF448" i="1"/>
  <c r="CB451" i="1"/>
  <c r="AZ446" i="1"/>
  <c r="BJ416" i="1"/>
  <c r="BO417" i="1"/>
  <c r="CK429" i="1"/>
  <c r="BM421" i="1"/>
  <c r="CJ439" i="1"/>
  <c r="CN449" i="1"/>
  <c r="AW456" i="1"/>
  <c r="CL437" i="1"/>
  <c r="AX423" i="1"/>
  <c r="BI440" i="1"/>
  <c r="CH422" i="1"/>
  <c r="BT437" i="1"/>
  <c r="BA437" i="1"/>
  <c r="AY437" i="1"/>
  <c r="BP434" i="1"/>
  <c r="BV418" i="1"/>
  <c r="BQ451" i="1"/>
  <c r="BP417" i="1"/>
  <c r="BM420" i="1"/>
  <c r="CK437" i="1"/>
  <c r="CJ425" i="1"/>
  <c r="AX425" i="1"/>
  <c r="BM457" i="1"/>
  <c r="BL439" i="1"/>
  <c r="BJ441" i="1"/>
  <c r="CA442" i="1"/>
  <c r="BL444" i="1"/>
  <c r="CI430" i="1"/>
  <c r="BL418" i="1"/>
  <c r="CG428" i="1"/>
  <c r="AW446" i="1"/>
  <c r="BQ416" i="1"/>
  <c r="AZ431" i="1"/>
  <c r="CN419" i="1"/>
  <c r="BR441" i="1"/>
  <c r="CL435" i="1"/>
  <c r="CK451" i="1"/>
  <c r="BJ433" i="1"/>
  <c r="BD422" i="1"/>
  <c r="CH432" i="1"/>
  <c r="BO438" i="1"/>
  <c r="CG448" i="1"/>
  <c r="CC446" i="1"/>
  <c r="CC437" i="1"/>
  <c r="CC441" i="1"/>
  <c r="BC445" i="1"/>
  <c r="AZ417" i="1"/>
  <c r="BG414" i="1"/>
  <c r="BB423" i="1"/>
  <c r="BY429" i="1"/>
  <c r="BQ434" i="1"/>
  <c r="BV421" i="1"/>
  <c r="CE438" i="1"/>
  <c r="BB443" i="1"/>
  <c r="CN450" i="1"/>
  <c r="BE447" i="1"/>
  <c r="BW453" i="1"/>
  <c r="BM449" i="1"/>
  <c r="CK450" i="1"/>
  <c r="BC422" i="1"/>
  <c r="BT422" i="1"/>
  <c r="CF416" i="1"/>
  <c r="BS427" i="1"/>
  <c r="BT426" i="1"/>
  <c r="BC454" i="1"/>
  <c r="BJ450" i="1"/>
  <c r="BB455" i="1"/>
  <c r="BB435" i="1"/>
  <c r="CI427" i="1"/>
  <c r="CA416" i="1"/>
  <c r="BK415" i="1"/>
  <c r="BW416" i="1"/>
  <c r="CH454" i="1"/>
  <c r="BW447" i="1"/>
  <c r="BM455" i="1"/>
  <c r="BI420" i="1"/>
  <c r="BQ418" i="1"/>
  <c r="BF424" i="1"/>
  <c r="BB428" i="1"/>
  <c r="AZ426" i="1"/>
  <c r="BJ425" i="1"/>
  <c r="BH440" i="1"/>
  <c r="BP454" i="1"/>
  <c r="BB420" i="1"/>
  <c r="BJ456" i="1"/>
  <c r="BX425" i="1"/>
  <c r="CF414" i="1"/>
  <c r="BD436" i="1"/>
  <c r="BN457" i="1"/>
  <c r="CD433" i="1"/>
  <c r="CG426" i="1"/>
  <c r="BM423" i="1"/>
  <c r="BN432" i="1"/>
  <c r="CI429" i="1"/>
  <c r="AW432" i="1"/>
  <c r="CF431" i="1"/>
  <c r="CH424" i="1"/>
  <c r="CF454" i="1"/>
  <c r="BB447" i="1"/>
  <c r="BA430" i="1"/>
  <c r="BA425" i="1"/>
  <c r="CH427" i="1"/>
  <c r="AZ425" i="1"/>
  <c r="BG455" i="1"/>
  <c r="BH455" i="1"/>
  <c r="BP440" i="1"/>
  <c r="AZ448" i="1"/>
  <c r="CD447" i="1"/>
  <c r="BN446" i="1"/>
  <c r="BK444" i="1"/>
  <c r="CL447" i="1"/>
  <c r="CA430" i="1"/>
  <c r="CE457" i="1"/>
  <c r="BO427" i="1"/>
  <c r="BG440" i="1"/>
  <c r="BO443" i="1"/>
  <c r="BV437" i="1"/>
  <c r="BV428" i="1"/>
  <c r="BR428" i="1"/>
  <c r="BO418" i="1"/>
  <c r="BQ457" i="1"/>
  <c r="BC419" i="1"/>
  <c r="CK436" i="1"/>
  <c r="BJ429" i="1"/>
  <c r="BH430" i="1"/>
  <c r="BH421" i="1"/>
  <c r="BK416" i="1"/>
  <c r="BG422" i="1"/>
  <c r="AW415" i="1"/>
  <c r="BX416" i="1"/>
  <c r="BZ418" i="1"/>
  <c r="AW426" i="1"/>
  <c r="CG452" i="1"/>
  <c r="AY426" i="1"/>
  <c r="BD425" i="1"/>
  <c r="BB440" i="1"/>
  <c r="CA444" i="1"/>
  <c r="BO429" i="1"/>
  <c r="CL416" i="1"/>
  <c r="BW428" i="1"/>
  <c r="BJ316" i="1"/>
  <c r="BJ360" i="1" s="1"/>
  <c r="BI360" i="1"/>
  <c r="BI396" i="1"/>
  <c r="BJ396" i="1" s="1"/>
  <c r="BI392" i="1"/>
  <c r="BJ392" i="1" s="1"/>
  <c r="BI399" i="1"/>
  <c r="BJ399" i="1" s="1"/>
  <c r="BI367" i="1"/>
  <c r="BJ367" i="1" s="1"/>
  <c r="BI398" i="1"/>
  <c r="BJ398" i="1" s="1"/>
  <c r="AX409" i="1"/>
  <c r="BI380" i="1"/>
  <c r="BJ380" i="1" s="1"/>
  <c r="BC409" i="1"/>
  <c r="BI407" i="1"/>
  <c r="BJ407" i="1" s="1"/>
  <c r="BI397" i="1"/>
  <c r="BJ397" i="1" s="1"/>
  <c r="CK485" i="1" l="1"/>
  <c r="BR476" i="1"/>
  <c r="AW480" i="1"/>
  <c r="CD504" i="1"/>
  <c r="BF477" i="1"/>
  <c r="BS471" i="1"/>
  <c r="BO492" i="1"/>
  <c r="BB504" i="1"/>
  <c r="BC475" i="1"/>
  <c r="CH488" i="1"/>
  <c r="BK467" i="1"/>
  <c r="CC490" i="1"/>
  <c r="BG467" i="1"/>
  <c r="BD479" i="1"/>
  <c r="BF500" i="1"/>
  <c r="BV464" i="1"/>
  <c r="BG501" i="1"/>
  <c r="BM465" i="1"/>
  <c r="CD485" i="1"/>
  <c r="BO468" i="1"/>
  <c r="CB463" i="1"/>
  <c r="BH484" i="1"/>
  <c r="BL471" i="1"/>
  <c r="BK482" i="1"/>
  <c r="CK488" i="1"/>
  <c r="BI485" i="1"/>
  <c r="BW482" i="1"/>
  <c r="BN489" i="1"/>
  <c r="BQ480" i="1"/>
  <c r="AZ499" i="1"/>
  <c r="BN464" i="1"/>
  <c r="AX501" i="1"/>
  <c r="BW490" i="1"/>
  <c r="BW500" i="1"/>
  <c r="AZ500" i="1"/>
  <c r="CL489" i="1"/>
  <c r="BL505" i="1"/>
  <c r="BW502" i="1"/>
  <c r="BP490" i="1"/>
  <c r="CN467" i="1"/>
  <c r="BI488" i="1"/>
  <c r="CF496" i="1"/>
  <c r="BU497" i="1"/>
  <c r="BR500" i="1"/>
  <c r="AY479" i="1"/>
  <c r="CI487" i="1"/>
  <c r="CI489" i="1"/>
  <c r="BD493" i="1"/>
  <c r="BC465" i="1"/>
  <c r="BG496" i="1"/>
  <c r="BP496" i="1"/>
  <c r="BF485" i="1"/>
  <c r="BU468" i="1"/>
  <c r="AZ503" i="1"/>
  <c r="CN496" i="1"/>
  <c r="BQ471" i="1"/>
  <c r="BJ492" i="1"/>
  <c r="AZ502" i="1"/>
  <c r="BE467" i="1"/>
  <c r="CN473" i="1"/>
  <c r="CI476" i="1"/>
  <c r="AZ477" i="1"/>
  <c r="AX491" i="1"/>
  <c r="BV503" i="1"/>
  <c r="CB493" i="1"/>
  <c r="BI469" i="1"/>
  <c r="BT465" i="1"/>
  <c r="CF478" i="1"/>
  <c r="BB505" i="1"/>
  <c r="CA474" i="1"/>
  <c r="BB490" i="1"/>
  <c r="BE486" i="1"/>
  <c r="BA476" i="1"/>
  <c r="BW477" i="1"/>
  <c r="CG478" i="1"/>
  <c r="BA470" i="1"/>
  <c r="BB494" i="1"/>
  <c r="CB497" i="1"/>
  <c r="BN480" i="1"/>
  <c r="CI475" i="1"/>
  <c r="BW501" i="1"/>
  <c r="BN471" i="1"/>
  <c r="BQ496" i="1"/>
  <c r="BK473" i="1"/>
  <c r="BK469" i="1"/>
  <c r="CC475" i="1"/>
  <c r="BD469" i="1"/>
  <c r="BQ488" i="1"/>
  <c r="CJ467" i="1"/>
  <c r="BN500" i="1"/>
  <c r="BL476" i="1"/>
  <c r="BP463" i="1"/>
  <c r="AW464" i="1"/>
  <c r="BI505" i="1"/>
  <c r="BR467" i="1"/>
  <c r="BY481" i="1"/>
  <c r="CD494" i="1"/>
  <c r="BG470" i="1"/>
  <c r="BO491" i="1"/>
  <c r="AZ496" i="1"/>
  <c r="BN466" i="1"/>
  <c r="CI482" i="1"/>
  <c r="CH471" i="1"/>
  <c r="BT482" i="1"/>
  <c r="BH502" i="1"/>
  <c r="BF467" i="1"/>
  <c r="AX504" i="1"/>
  <c r="BV488" i="1"/>
  <c r="BG497" i="1"/>
  <c r="BW485" i="1"/>
  <c r="BV494" i="1"/>
  <c r="BD478" i="1"/>
  <c r="BX492" i="1"/>
  <c r="AZ466" i="1"/>
  <c r="BO490" i="1"/>
  <c r="BG478" i="1"/>
  <c r="BL496" i="1"/>
  <c r="CB479" i="1"/>
  <c r="BU476" i="1"/>
  <c r="AX496" i="1"/>
  <c r="BO498" i="1"/>
  <c r="BE487" i="1"/>
  <c r="BN476" i="1"/>
  <c r="AX505" i="1"/>
  <c r="BT481" i="1"/>
  <c r="BW491" i="1"/>
  <c r="BS491" i="1"/>
  <c r="BD475" i="1"/>
  <c r="BO481" i="1"/>
  <c r="BC473" i="1"/>
  <c r="CG479" i="1"/>
  <c r="BV502" i="1"/>
  <c r="BM475" i="1"/>
  <c r="CH504" i="1"/>
  <c r="BG499" i="1"/>
  <c r="BJ465" i="1"/>
  <c r="BZ485" i="1"/>
  <c r="CA483" i="1"/>
  <c r="AX500" i="1"/>
  <c r="CM494" i="1"/>
  <c r="CE503" i="1"/>
  <c r="AZ473" i="1"/>
  <c r="BB476" i="1"/>
  <c r="BB503" i="1"/>
  <c r="CN471" i="1"/>
  <c r="CN475" i="1"/>
  <c r="AY492" i="1"/>
  <c r="BI409" i="1"/>
  <c r="BJ365" i="1"/>
  <c r="BJ409" i="1" s="1"/>
  <c r="AZ514" i="1"/>
  <c r="BB528" i="1"/>
  <c r="AY513" i="1"/>
  <c r="AZ538" i="1"/>
  <c r="AW523" i="1"/>
  <c r="BD530" i="1"/>
  <c r="BB531" i="1"/>
  <c r="AW517" i="1"/>
  <c r="BA537" i="1"/>
  <c r="AZ517" i="1"/>
  <c r="BA546" i="1"/>
  <c r="AY523" i="1"/>
  <c r="AY553" i="1"/>
  <c r="AY532" i="1"/>
  <c r="BD543" i="1"/>
  <c r="AW539" i="1"/>
  <c r="AW518" i="1"/>
  <c r="BC540" i="1"/>
  <c r="BD522" i="1"/>
  <c r="AZ546" i="1"/>
  <c r="AY524" i="1"/>
  <c r="BF545" i="1"/>
  <c r="AX532" i="1"/>
  <c r="AW549" i="1"/>
  <c r="AY530" i="1"/>
  <c r="BB549" i="1"/>
  <c r="BC519" i="1"/>
  <c r="BB546" i="1"/>
  <c r="AY522" i="1"/>
  <c r="BG551" i="1"/>
  <c r="BC511" i="1"/>
  <c r="BA510" i="1"/>
  <c r="BA547" i="1"/>
  <c r="BG541" i="1"/>
  <c r="BA517" i="1"/>
  <c r="BC539" i="1"/>
  <c r="BA522" i="1"/>
  <c r="AW513" i="1"/>
  <c r="AX538" i="1"/>
  <c r="BF553" i="1"/>
  <c r="AX518" i="1"/>
  <c r="BF520" i="1"/>
  <c r="AW535" i="1"/>
  <c r="AX524" i="1"/>
  <c r="BC518" i="1"/>
  <c r="AY549" i="1"/>
  <c r="BA539" i="1"/>
  <c r="BA518" i="1"/>
  <c r="BB547" i="1"/>
  <c r="AZ524" i="1"/>
  <c r="BG511" i="1"/>
  <c r="AZ533" i="1"/>
  <c r="AX510" i="1"/>
  <c r="AX540" i="1"/>
  <c r="AX519" i="1"/>
  <c r="BD541" i="1"/>
  <c r="BG525" i="1"/>
  <c r="BC549" i="1"/>
  <c r="BB527" i="1"/>
  <c r="AZ551" i="1"/>
  <c r="AY533" i="1"/>
  <c r="AX511" i="1"/>
  <c r="BA544" i="1"/>
  <c r="AW519" i="1"/>
  <c r="BF534" i="1"/>
  <c r="AX517" i="1"/>
  <c r="BA536" i="1"/>
  <c r="BF547" i="1"/>
  <c r="BA533" i="1"/>
  <c r="BE553" i="1"/>
  <c r="BD512" i="1"/>
  <c r="BF515" i="1"/>
  <c r="BE515" i="1"/>
  <c r="BE552" i="1"/>
  <c r="AZ547" i="1"/>
  <c r="BB544" i="1"/>
  <c r="AZ513" i="1"/>
  <c r="BD539" i="1"/>
  <c r="BE525" i="1"/>
  <c r="BD544" i="1"/>
  <c r="AY540" i="1"/>
  <c r="BA525" i="1"/>
  <c r="BG522" i="1"/>
  <c r="BD518" i="1"/>
  <c r="AZ527" i="1"/>
  <c r="BB517" i="1"/>
  <c r="BF552" i="1"/>
  <c r="AW515" i="1"/>
  <c r="BC516" i="1"/>
  <c r="BB524" i="1"/>
  <c r="BD535" i="1"/>
  <c r="AW537" i="1"/>
  <c r="BC538" i="1"/>
  <c r="BD548" i="1"/>
  <c r="BF535" i="1"/>
  <c r="BE541" i="1"/>
  <c r="BD537" i="1"/>
  <c r="BD527" i="1"/>
  <c r="BG532" i="1"/>
  <c r="BF519" i="1"/>
  <c r="AZ544" i="1"/>
  <c r="BB551" i="1"/>
  <c r="BC551" i="1"/>
  <c r="BA527" i="1"/>
  <c r="BE543" i="1"/>
  <c r="BF532" i="1"/>
  <c r="BE531" i="1"/>
  <c r="AX525" i="1"/>
  <c r="AW511" i="1"/>
  <c r="BD532" i="1"/>
  <c r="BA534" i="1"/>
  <c r="AY511" i="1"/>
  <c r="AY541" i="1"/>
  <c r="AY520" i="1"/>
  <c r="BE542" i="1"/>
  <c r="AW527" i="1"/>
  <c r="BD550" i="1"/>
  <c r="BC528" i="1"/>
  <c r="BF512" i="1"/>
  <c r="BB536" i="1"/>
  <c r="BA514" i="1"/>
  <c r="BB545" i="1"/>
  <c r="AX520" i="1"/>
  <c r="AX550" i="1"/>
  <c r="AZ531" i="1"/>
  <c r="BC550" i="1"/>
  <c r="BD520" i="1"/>
  <c r="BC547" i="1"/>
  <c r="AZ523" i="1"/>
  <c r="BE534" i="1"/>
  <c r="AZ520" i="1"/>
  <c r="BD540" i="1"/>
  <c r="BG516" i="1"/>
  <c r="AY521" i="1"/>
  <c r="AX521" i="1"/>
  <c r="BB513" i="1"/>
  <c r="BD552" i="1"/>
  <c r="BB521" i="1"/>
  <c r="AX539" i="1"/>
  <c r="AZ512" i="1"/>
  <c r="BB548" i="1"/>
  <c r="AW540" i="1"/>
  <c r="AY546" i="1"/>
  <c r="AY512" i="1"/>
  <c r="BG533" i="1"/>
  <c r="BA516" i="1"/>
  <c r="AX548" i="1"/>
  <c r="BC553" i="1"/>
  <c r="AZ550" i="1"/>
  <c r="BC517" i="1"/>
  <c r="AZ542" i="1"/>
  <c r="AZ521" i="1"/>
  <c r="BF543" i="1"/>
  <c r="AX528" i="1"/>
  <c r="BE551" i="1"/>
  <c r="BD529" i="1"/>
  <c r="BG513" i="1"/>
  <c r="BC537" i="1"/>
  <c r="BB515" i="1"/>
  <c r="BE548" i="1"/>
  <c r="BA523" i="1"/>
  <c r="BA553" i="1"/>
  <c r="BA532" i="1"/>
  <c r="BD551" i="1"/>
  <c r="BG535" i="1"/>
  <c r="AY518" i="1"/>
  <c r="BB537" i="1"/>
  <c r="BG548" i="1"/>
  <c r="BB534" i="1"/>
  <c r="AY510" i="1"/>
  <c r="BD521" i="1"/>
  <c r="BE550" i="1"/>
  <c r="BC527" i="1"/>
  <c r="AZ522" i="1"/>
  <c r="BC526" i="1"/>
  <c r="BB526" i="1"/>
  <c r="BF518" i="1"/>
  <c r="BA513" i="1"/>
  <c r="AX543" i="1"/>
  <c r="AY517" i="1"/>
  <c r="BC542" i="1"/>
  <c r="AX533" i="1"/>
  <c r="AY519" i="1"/>
  <c r="AW551" i="1"/>
  <c r="BC541" i="1"/>
  <c r="AX512" i="1"/>
  <c r="AY529" i="1"/>
  <c r="BE530" i="1"/>
  <c r="BD538" i="1"/>
  <c r="BF549" i="1"/>
  <c r="BE544" i="1"/>
  <c r="AZ510" i="1"/>
  <c r="AZ519" i="1"/>
  <c r="BE521" i="1"/>
  <c r="BA524" i="1"/>
  <c r="BA521" i="1"/>
  <c r="AW548" i="1"/>
  <c r="BB514" i="1"/>
  <c r="BG531" i="1"/>
  <c r="AZ525" i="1"/>
  <c r="BE527" i="1"/>
  <c r="BC532" i="1"/>
  <c r="BA535" i="1"/>
  <c r="AZ515" i="1"/>
  <c r="BB529" i="1"/>
  <c r="AY525" i="1"/>
  <c r="BF533" i="1"/>
  <c r="BA551" i="1"/>
  <c r="AW512" i="1"/>
  <c r="AX516" i="1"/>
  <c r="BE539" i="1"/>
  <c r="BD517" i="1"/>
  <c r="BG550" i="1"/>
  <c r="BC525" i="1"/>
  <c r="BG546" i="1"/>
  <c r="BE536" i="1"/>
  <c r="BA511" i="1"/>
  <c r="AZ540" i="1"/>
  <c r="BC522" i="1"/>
  <c r="BF541" i="1"/>
  <c r="BF522" i="1"/>
  <c r="BE549" i="1"/>
  <c r="BB525" i="1"/>
  <c r="AW550" i="1"/>
  <c r="BC535" i="1"/>
  <c r="AZ511" i="1"/>
  <c r="BE522" i="1"/>
  <c r="BF551" i="1"/>
  <c r="BD528" i="1"/>
  <c r="BC545" i="1"/>
  <c r="BC524" i="1"/>
  <c r="AX547" i="1"/>
  <c r="AW533" i="1"/>
  <c r="BA538" i="1"/>
  <c r="BB541" i="1"/>
  <c r="BF546" i="1"/>
  <c r="BB530" i="1"/>
  <c r="AW545" i="1"/>
  <c r="BB523" i="1"/>
  <c r="BD510" i="1"/>
  <c r="AY539" i="1"/>
  <c r="BC514" i="1"/>
  <c r="AZ530" i="1"/>
  <c r="BF521" i="1"/>
  <c r="AW536" i="1"/>
  <c r="AY537" i="1"/>
  <c r="BD519" i="1"/>
  <c r="AX537" i="1"/>
  <c r="BC529" i="1"/>
  <c r="AW552" i="1"/>
  <c r="BD526" i="1"/>
  <c r="AX549" i="1"/>
  <c r="BF537" i="1"/>
  <c r="BB512" i="1"/>
  <c r="BA541" i="1"/>
  <c r="BD523" i="1"/>
  <c r="BG542" i="1"/>
  <c r="AX526" i="1"/>
  <c r="AW553" i="1"/>
  <c r="BE528" i="1"/>
  <c r="AX551" i="1"/>
  <c r="BD536" i="1"/>
  <c r="BA512" i="1"/>
  <c r="BG536" i="1"/>
  <c r="BB522" i="1"/>
  <c r="BF542" i="1"/>
  <c r="BB553" i="1"/>
  <c r="BE538" i="1"/>
  <c r="BC515" i="1"/>
  <c r="BB532" i="1"/>
  <c r="BB511" i="1"/>
  <c r="BB539" i="1"/>
  <c r="BB518" i="1"/>
  <c r="AY552" i="1"/>
  <c r="BE546" i="1"/>
  <c r="BG549" i="1"/>
  <c r="BE518" i="1"/>
  <c r="BE540" i="1"/>
  <c r="AY531" i="1"/>
  <c r="AW514" i="1"/>
  <c r="BG544" i="1"/>
  <c r="BB538" i="1"/>
  <c r="BA528" i="1"/>
  <c r="BF544" i="1"/>
  <c r="AY514" i="1"/>
  <c r="AX536" i="1"/>
  <c r="AZ539" i="1"/>
  <c r="AY550" i="1"/>
  <c r="BG538" i="1"/>
  <c r="BC513" i="1"/>
  <c r="BB542" i="1"/>
  <c r="BE524" i="1"/>
  <c r="AW544" i="1"/>
  <c r="AY527" i="1"/>
  <c r="BC510" i="1"/>
  <c r="BF529" i="1"/>
  <c r="BF510" i="1"/>
  <c r="BG539" i="1"/>
  <c r="BD515" i="1"/>
  <c r="AW538" i="1"/>
  <c r="BC523" i="1"/>
  <c r="BG543" i="1"/>
  <c r="BF523" i="1"/>
  <c r="BG552" i="1"/>
  <c r="BE529" i="1"/>
  <c r="BD546" i="1"/>
  <c r="BD525" i="1"/>
  <c r="AY548" i="1"/>
  <c r="BA519" i="1"/>
  <c r="AW543" i="1"/>
  <c r="BG520" i="1"/>
  <c r="BG523" i="1"/>
  <c r="BC520" i="1"/>
  <c r="BG512" i="1"/>
  <c r="AY551" i="1"/>
  <c r="BG526" i="1"/>
  <c r="AZ553" i="1"/>
  <c r="BG519" i="1"/>
  <c r="BG553" i="1"/>
  <c r="AX553" i="1"/>
  <c r="AW530" i="1"/>
  <c r="BC534" i="1"/>
  <c r="BG534" i="1"/>
  <c r="AX513" i="1"/>
  <c r="BE519" i="1"/>
  <c r="BG510" i="1"/>
  <c r="BF525" i="1"/>
  <c r="AX545" i="1"/>
  <c r="BD511" i="1"/>
  <c r="AX514" i="1"/>
  <c r="AW541" i="1"/>
  <c r="AZ541" i="1"/>
  <c r="AY547" i="1"/>
  <c r="BB510" i="1"/>
  <c r="BE510" i="1"/>
  <c r="BD516" i="1"/>
  <c r="BC512" i="1"/>
  <c r="AZ552" i="1"/>
  <c r="AW525" i="1"/>
  <c r="BE523" i="1"/>
  <c r="BA543" i="1"/>
  <c r="BG528" i="1"/>
  <c r="BE532" i="1"/>
  <c r="BE520" i="1"/>
  <c r="AZ516" i="1"/>
  <c r="AY543" i="1"/>
  <c r="BB543" i="1"/>
  <c r="AW529" i="1"/>
  <c r="AZ529" i="1"/>
  <c r="BF514" i="1"/>
  <c r="AX515" i="1"/>
  <c r="AY544" i="1"/>
  <c r="AW521" i="1"/>
  <c r="BF527" i="1"/>
  <c r="BA550" i="1"/>
  <c r="BD534" i="1"/>
  <c r="AY536" i="1"/>
  <c r="BA540" i="1"/>
  <c r="AW531" i="1"/>
  <c r="AX529" i="1"/>
  <c r="BA548" i="1"/>
  <c r="BG537" i="1"/>
  <c r="BA545" i="1"/>
  <c r="BE537" i="1"/>
  <c r="AZ532" i="1"/>
  <c r="BB535" i="1"/>
  <c r="BE511" i="1"/>
  <c r="BE545" i="1"/>
  <c r="AZ534" i="1"/>
  <c r="BG514" i="1"/>
  <c r="AW510" i="1"/>
  <c r="BG521" i="1"/>
  <c r="AW547" i="1"/>
  <c r="BG545" i="1"/>
  <c r="BC544" i="1"/>
  <c r="AX530" i="1"/>
  <c r="BB550" i="1"/>
  <c r="BA530" i="1"/>
  <c r="AZ536" i="1"/>
  <c r="AZ545" i="1"/>
  <c r="AX522" i="1"/>
  <c r="AX552" i="1"/>
  <c r="BD553" i="1"/>
  <c r="BE514" i="1"/>
  <c r="AZ537" i="1"/>
  <c r="AY545" i="1"/>
  <c r="AZ543" i="1"/>
  <c r="BE533" i="1"/>
  <c r="AZ535" i="1"/>
  <c r="BD549" i="1"/>
  <c r="BA526" i="1"/>
  <c r="BB519" i="1"/>
  <c r="AY526" i="1"/>
  <c r="AZ528" i="1"/>
  <c r="BE516" i="1"/>
  <c r="BG524" i="1"/>
  <c r="BF539" i="1"/>
  <c r="AX535" i="1"/>
  <c r="AW526" i="1"/>
  <c r="AZ518" i="1"/>
  <c r="BA552" i="1"/>
  <c r="BD524" i="1"/>
  <c r="BD542" i="1"/>
  <c r="AY538" i="1"/>
  <c r="BB552" i="1"/>
  <c r="BE512" i="1"/>
  <c r="AY515" i="1"/>
  <c r="BF517" i="1"/>
  <c r="BG527" i="1"/>
  <c r="AY528" i="1"/>
  <c r="AX534" i="1"/>
  <c r="BG540" i="1"/>
  <c r="BE547" i="1"/>
  <c r="AZ549" i="1"/>
  <c r="AX544" i="1"/>
  <c r="AY542" i="1"/>
  <c r="AX527" i="1"/>
  <c r="AX541" i="1"/>
  <c r="AW528" i="1"/>
  <c r="BA520" i="1"/>
  <c r="BC552" i="1"/>
  <c r="BC531" i="1"/>
  <c r="BA515" i="1"/>
  <c r="BB516" i="1"/>
  <c r="BC530" i="1"/>
  <c r="BG518" i="1"/>
  <c r="BA549" i="1"/>
  <c r="AY535" i="1"/>
  <c r="BF548" i="1"/>
  <c r="BD513" i="1"/>
  <c r="BG547" i="1"/>
  <c r="BC546" i="1"/>
  <c r="AX546" i="1"/>
  <c r="AW520" i="1"/>
  <c r="BD531" i="1"/>
  <c r="AY516" i="1"/>
  <c r="BE535" i="1"/>
  <c r="AX523" i="1"/>
  <c r="AW516" i="1"/>
  <c r="BF550" i="1"/>
  <c r="BC536" i="1"/>
  <c r="BF538" i="1"/>
  <c r="BD545" i="1"/>
  <c r="AW534" i="1"/>
  <c r="BC543" i="1"/>
  <c r="BG530" i="1"/>
  <c r="BF526" i="1"/>
  <c r="BF530" i="1"/>
  <c r="BC533" i="1"/>
  <c r="BG529" i="1"/>
  <c r="BA531" i="1"/>
  <c r="BC548" i="1"/>
  <c r="AY534" i="1"/>
  <c r="BF531" i="1"/>
  <c r="AW524" i="1"/>
  <c r="BB540" i="1"/>
  <c r="BA529" i="1"/>
  <c r="AW532" i="1"/>
  <c r="AX542" i="1"/>
  <c r="BA542" i="1"/>
  <c r="AZ548" i="1"/>
  <c r="BE513" i="1"/>
  <c r="BF511" i="1"/>
  <c r="BE517" i="1"/>
  <c r="BE526" i="1"/>
  <c r="BB520" i="1"/>
  <c r="AW522" i="1"/>
  <c r="BF516" i="1"/>
  <c r="BF536" i="1"/>
  <c r="BB533" i="1"/>
  <c r="BF528" i="1"/>
  <c r="BD533" i="1"/>
  <c r="BF540" i="1"/>
  <c r="BF524" i="1"/>
  <c r="AZ526" i="1"/>
  <c r="BG515" i="1"/>
  <c r="AX531" i="1"/>
  <c r="BC521" i="1"/>
  <c r="BG517" i="1"/>
  <c r="BD547" i="1"/>
  <c r="AW542" i="1"/>
  <c r="BD514" i="1"/>
  <c r="AW546" i="1"/>
  <c r="BF513" i="1"/>
  <c r="BK468" i="1"/>
  <c r="CA467" i="1"/>
  <c r="CA505" i="1"/>
  <c r="CB482" i="1"/>
  <c r="BE484" i="1"/>
  <c r="BK499" i="1"/>
  <c r="CE469" i="1"/>
  <c r="BA475" i="1"/>
  <c r="BY493" i="1"/>
  <c r="BQ479" i="1"/>
  <c r="BG493" i="1"/>
  <c r="BE485" i="1"/>
  <c r="BH500" i="1"/>
  <c r="BN469" i="1"/>
  <c r="BK503" i="1"/>
  <c r="BW493" i="1"/>
  <c r="BT484" i="1"/>
  <c r="BJ479" i="1"/>
  <c r="BG505" i="1"/>
  <c r="CC473" i="1"/>
  <c r="CH481" i="1"/>
  <c r="BQ502" i="1"/>
  <c r="BI490" i="1"/>
  <c r="CI464" i="1"/>
  <c r="BM476" i="1"/>
  <c r="BK498" i="1"/>
  <c r="BU504" i="1"/>
  <c r="BY476" i="1"/>
  <c r="BT495" i="1"/>
  <c r="CM483" i="1"/>
  <c r="CI500" i="1"/>
  <c r="BP492" i="1"/>
  <c r="BP501" i="1"/>
  <c r="CM488" i="1"/>
  <c r="AW476" i="1"/>
  <c r="CH477" i="1"/>
  <c r="CI481" i="1"/>
  <c r="BO486" i="1"/>
  <c r="BQ499" i="1"/>
  <c r="CJ487" i="1"/>
  <c r="BP479" i="1"/>
  <c r="BR498" i="1"/>
  <c r="BI477" i="1"/>
  <c r="CG468" i="1"/>
  <c r="AZ504" i="1"/>
  <c r="BZ486" i="1"/>
  <c r="CI469" i="1"/>
  <c r="CA495" i="1"/>
  <c r="BX499" i="1"/>
  <c r="CC492" i="1"/>
  <c r="CJ469" i="1"/>
  <c r="BE475" i="1"/>
  <c r="CF469" i="1"/>
  <c r="AX478" i="1"/>
  <c r="BL498" i="1"/>
  <c r="CG504" i="1"/>
  <c r="AZ481" i="1"/>
  <c r="CH476" i="1"/>
  <c r="BO478" i="1"/>
  <c r="BZ463" i="1"/>
  <c r="BS478" i="1"/>
  <c r="BM493" i="1"/>
  <c r="BL499" i="1"/>
  <c r="AY491" i="1"/>
  <c r="AZ463" i="1"/>
  <c r="BX465" i="1"/>
  <c r="BN482" i="1"/>
  <c r="AZ480" i="1"/>
  <c r="BD467" i="1"/>
  <c r="BI501" i="1"/>
  <c r="CE471" i="1"/>
  <c r="BU465" i="1"/>
  <c r="BY495" i="1"/>
  <c r="CI486" i="1"/>
  <c r="BO488" i="1"/>
  <c r="CB492" i="1"/>
  <c r="CA478" i="1"/>
  <c r="BD484" i="1"/>
  <c r="BI468" i="1"/>
  <c r="BI467" i="1"/>
  <c r="BC489" i="1"/>
  <c r="BJ497" i="1"/>
  <c r="BY475" i="1"/>
  <c r="AY465" i="1"/>
  <c r="AX482" i="1"/>
  <c r="CF504" i="1"/>
  <c r="CN504" i="1"/>
  <c r="BL504" i="1"/>
  <c r="CF493" i="1"/>
  <c r="BO477" i="1"/>
  <c r="CH475" i="1"/>
  <c r="BF462" i="1"/>
  <c r="BB469" i="1"/>
  <c r="BB493" i="1"/>
  <c r="BO465" i="1"/>
  <c r="CI484" i="1"/>
  <c r="BN474" i="1"/>
  <c r="CG463" i="1"/>
  <c r="CG498" i="1"/>
  <c r="CF501" i="1"/>
  <c r="CN482" i="1"/>
  <c r="BP491" i="1"/>
  <c r="CG500" i="1"/>
  <c r="CE479" i="1"/>
  <c r="CI499" i="1"/>
  <c r="BQ463" i="1"/>
  <c r="BT487" i="1"/>
  <c r="BL490" i="1"/>
  <c r="AY470" i="1"/>
  <c r="BC472" i="1"/>
  <c r="CF502" i="1"/>
  <c r="BW495" i="1"/>
  <c r="CL474" i="1"/>
  <c r="BO471" i="1"/>
  <c r="BY484" i="1"/>
  <c r="CK492" i="1"/>
  <c r="CN503" i="1"/>
  <c r="CN500" i="1"/>
  <c r="BD496" i="1"/>
  <c r="CI479" i="1"/>
  <c r="BA497" i="1"/>
  <c r="CB487" i="1"/>
  <c r="CK497" i="1"/>
  <c r="BG477" i="1"/>
  <c r="CF465" i="1"/>
  <c r="BY463" i="1"/>
  <c r="BA472" i="1"/>
  <c r="CL479" i="1"/>
  <c r="BU473" i="1"/>
  <c r="BM481" i="1"/>
  <c r="BC474" i="1"/>
  <c r="BU470" i="1"/>
  <c r="BG484" i="1"/>
  <c r="CM484" i="1"/>
  <c r="CK503" i="1"/>
  <c r="BY491" i="1"/>
  <c r="BS462" i="1"/>
  <c r="CH498" i="1"/>
  <c r="AZ486" i="1"/>
  <c r="CE491" i="1"/>
  <c r="CC483" i="1"/>
  <c r="BZ499" i="1"/>
  <c r="CM497" i="1"/>
  <c r="BF484" i="1"/>
  <c r="BS480" i="1"/>
  <c r="BI497" i="1"/>
  <c r="BX477" i="1"/>
  <c r="BV473" i="1"/>
  <c r="BJ463" i="1"/>
  <c r="BM463" i="1"/>
  <c r="CG491" i="1"/>
  <c r="AZ487" i="1"/>
  <c r="BX475" i="1"/>
  <c r="BA498" i="1"/>
  <c r="BX483" i="1"/>
  <c r="BO496" i="1"/>
  <c r="BB496" i="1"/>
  <c r="BJ467" i="1"/>
  <c r="BD498" i="1"/>
  <c r="BU487" i="1"/>
  <c r="BE489" i="1"/>
  <c r="CB483" i="1"/>
  <c r="CB470" i="1"/>
  <c r="CM480" i="1"/>
  <c r="BZ491" i="1"/>
  <c r="AX498" i="1"/>
  <c r="BU475" i="1"/>
  <c r="CJ466" i="1"/>
  <c r="BY486" i="1"/>
  <c r="CF468" i="1"/>
  <c r="BJ483" i="1"/>
  <c r="CL482" i="1"/>
  <c r="BA495" i="1"/>
  <c r="AW465" i="1"/>
  <c r="CG462" i="1"/>
  <c r="BC462" i="1"/>
  <c r="AW462" i="1" a="1"/>
  <c r="BP486" i="1" s="1"/>
  <c r="BT493" i="1"/>
  <c r="AY481" i="1"/>
  <c r="AW466" i="1"/>
  <c r="BK471" i="1"/>
  <c r="CL494" i="1"/>
  <c r="CL496" i="1"/>
  <c r="CA469" i="1"/>
  <c r="AY497" i="1"/>
  <c r="BZ496" i="1"/>
  <c r="BY501" i="1"/>
  <c r="CC503" i="1"/>
  <c r="CH466" i="1"/>
  <c r="AY484" i="1"/>
  <c r="BY494" i="1"/>
  <c r="BD502" i="1"/>
  <c r="BM503" i="1"/>
  <c r="BQ482" i="1"/>
  <c r="BD470" i="1"/>
  <c r="BM479" i="1"/>
  <c r="BF501" i="1"/>
  <c r="CG486" i="1"/>
  <c r="BK475" i="1"/>
  <c r="BC477" i="1"/>
  <c r="BD462" i="1"/>
  <c r="CB468" i="1"/>
  <c r="AY502" i="1"/>
  <c r="BR481" i="1"/>
  <c r="BG469" i="1"/>
  <c r="BZ503" i="1"/>
  <c r="CF474" i="1"/>
  <c r="BC480" i="1"/>
  <c r="BY500" i="1"/>
  <c r="CL487" i="1"/>
  <c r="BJ501" i="1"/>
  <c r="BP485" i="1"/>
  <c r="BU502" i="1"/>
  <c r="CE474" i="1"/>
  <c r="CM482" i="1"/>
  <c r="BX481" i="1"/>
  <c r="BZ497" i="1"/>
  <c r="CE482" i="1"/>
  <c r="AZ470" i="1"/>
  <c r="CF473" i="1"/>
  <c r="BS479" i="1"/>
  <c r="BW462" i="1"/>
  <c r="AZ469" i="1"/>
  <c r="CF476" i="1"/>
  <c r="BA504" i="1"/>
  <c r="BD488" i="1"/>
  <c r="BI470" i="1"/>
  <c r="CF467" i="1"/>
  <c r="CD480" i="1"/>
  <c r="BZ505" i="1"/>
  <c r="CA488" i="1"/>
  <c r="BY474" i="1"/>
  <c r="BF497" i="1"/>
  <c r="BU464" i="1"/>
  <c r="CC493" i="1"/>
  <c r="BQ485" i="1"/>
  <c r="BZ469" i="1"/>
  <c r="CG475" i="1"/>
  <c r="BB497" i="1"/>
  <c r="BH485" i="1"/>
  <c r="CE499" i="1"/>
  <c r="BT505" i="1"/>
  <c r="BK479" i="1"/>
  <c r="BP472" i="1"/>
  <c r="BR501" i="1"/>
  <c r="CI503" i="1"/>
  <c r="CI473" i="1"/>
  <c r="BM501" i="1"/>
  <c r="BZ477" i="1"/>
  <c r="CH478" i="1"/>
  <c r="CG470" i="1"/>
  <c r="AX467" i="1"/>
  <c r="AX480" i="1"/>
  <c r="BZ476" i="1"/>
  <c r="BG476" i="1"/>
  <c r="CF495" i="1"/>
  <c r="BK483" i="1"/>
  <c r="BX476" i="1"/>
  <c r="CH502" i="1"/>
  <c r="BB471" i="1"/>
  <c r="CK499" i="1"/>
  <c r="BI462" i="1"/>
  <c r="AZ478" i="1"/>
  <c r="CK496" i="1"/>
  <c r="BY496" i="1"/>
  <c r="CA468" i="1"/>
  <c r="BJ475" i="1"/>
  <c r="CI480" i="1"/>
  <c r="BV483" i="1"/>
  <c r="BU503" i="1"/>
  <c r="BQ476" i="1"/>
  <c r="CF486" i="1"/>
  <c r="BX504" i="1"/>
  <c r="BF480" i="1"/>
  <c r="CJ500" i="1"/>
  <c r="CL468" i="1"/>
  <c r="BK481" i="1"/>
  <c r="CG471" i="1"/>
  <c r="CA489" i="1"/>
  <c r="BP483" i="1"/>
  <c r="BG498" i="1"/>
  <c r="CA499" i="1"/>
  <c r="BL478" i="1"/>
  <c r="BL488" i="1"/>
  <c r="CG495" i="1"/>
  <c r="CK465" i="1"/>
  <c r="BA462" i="1"/>
  <c r="BG481" i="1"/>
  <c r="CL469" i="1"/>
  <c r="CC502" i="1"/>
  <c r="BP477" i="1"/>
  <c r="BG465" i="1"/>
  <c r="BV470" i="1"/>
  <c r="CB476" i="1"/>
  <c r="BO485" i="1"/>
  <c r="BD497" i="1"/>
  <c r="BM470" i="1"/>
  <c r="CD495" i="1"/>
  <c r="BB468" i="1"/>
  <c r="BW464" i="1"/>
  <c r="BA467" i="1"/>
  <c r="CI498" i="1"/>
  <c r="BE478" i="1"/>
  <c r="BL501" i="1"/>
  <c r="CC463" i="1"/>
  <c r="BE500" i="1"/>
  <c r="BS487" i="1"/>
  <c r="CJ475" i="1"/>
  <c r="BA492" i="1"/>
  <c r="BY473" i="1"/>
  <c r="CA465" i="1"/>
  <c r="BM504" i="1"/>
  <c r="BP494" i="1"/>
  <c r="BZ500" i="1"/>
  <c r="BV471" i="1"/>
  <c r="BX466" i="1"/>
  <c r="BF503" i="1"/>
  <c r="CH464" i="1"/>
  <c r="BI465" i="1"/>
  <c r="BS498" i="1"/>
  <c r="CJ499" i="1"/>
  <c r="BB466" i="1"/>
  <c r="AX468" i="1"/>
  <c r="BY468" i="1"/>
  <c r="BT475" i="1"/>
  <c r="BY505" i="1"/>
  <c r="BB485" i="1"/>
  <c r="BU489" i="1"/>
  <c r="CH503" i="1"/>
  <c r="BF475" i="1"/>
  <c r="CK491" i="1"/>
  <c r="BQ495" i="1"/>
  <c r="AY486" i="1"/>
  <c r="CA504" i="1"/>
  <c r="CM470" i="1"/>
  <c r="AX495" i="1"/>
  <c r="CB472" i="1"/>
  <c r="BF471" i="1"/>
  <c r="AX494" i="1"/>
  <c r="AZ464" i="1" l="1"/>
  <c r="BZ504" i="1"/>
  <c r="CN505" i="1"/>
  <c r="BQ491" i="1"/>
  <c r="CA473" i="1"/>
  <c r="CB464" i="1"/>
  <c r="BF486" i="1"/>
  <c r="CB502" i="1"/>
  <c r="BV498" i="1"/>
  <c r="CB475" i="1"/>
  <c r="BL470" i="1"/>
  <c r="AX477" i="1"/>
  <c r="AX463" i="1"/>
  <c r="CF479" i="1"/>
  <c r="BL491" i="1"/>
  <c r="BG464" i="1"/>
  <c r="BN465" i="1"/>
  <c r="CK468" i="1"/>
  <c r="AW492" i="1"/>
  <c r="CD493" i="1"/>
  <c r="BB474" i="1"/>
  <c r="AY467" i="1"/>
  <c r="BG479" i="1"/>
  <c r="BO494" i="1"/>
  <c r="BI503" i="1"/>
  <c r="BR493" i="1"/>
  <c r="BT470" i="1"/>
  <c r="BO501" i="1"/>
  <c r="BI491" i="1"/>
  <c r="BA484" i="1"/>
  <c r="BI500" i="1"/>
  <c r="BP500" i="1"/>
  <c r="CJ503" i="1"/>
  <c r="BC471" i="1"/>
  <c r="CK470" i="1"/>
  <c r="BS501" i="1"/>
  <c r="CM499" i="1"/>
  <c r="CD475" i="1"/>
  <c r="BB464" i="1"/>
  <c r="BP473" i="1"/>
  <c r="BD500" i="1"/>
  <c r="CJ484" i="1"/>
  <c r="BU500" i="1"/>
  <c r="CM476" i="1"/>
  <c r="BN477" i="1"/>
  <c r="CL505" i="1"/>
  <c r="BB463" i="1"/>
  <c r="AW478" i="1"/>
  <c r="BS475" i="1"/>
  <c r="BD505" i="1"/>
  <c r="BG475" i="1"/>
  <c r="BM496" i="1"/>
  <c r="BX467" i="1"/>
  <c r="CE464" i="1"/>
  <c r="BH491" i="1"/>
  <c r="BY467" i="1"/>
  <c r="BI498" i="1"/>
  <c r="BZ502" i="1"/>
  <c r="CJ486" i="1"/>
  <c r="AZ498" i="1"/>
  <c r="BH498" i="1"/>
  <c r="AW470" i="1"/>
  <c r="AW488" i="1"/>
  <c r="BE490" i="1"/>
  <c r="BX470" i="1"/>
  <c r="BI479" i="1"/>
  <c r="BE473" i="1"/>
  <c r="CL504" i="1"/>
  <c r="BL472" i="1"/>
  <c r="BI464" i="1"/>
  <c r="BA501" i="1"/>
  <c r="CM496" i="1"/>
  <c r="BF498" i="1"/>
  <c r="BA481" i="1"/>
  <c r="BE462" i="1"/>
  <c r="BC467" i="1"/>
  <c r="CD466" i="1"/>
  <c r="CK483" i="1"/>
  <c r="BM484" i="1"/>
  <c r="AY464" i="1"/>
  <c r="CE497" i="1"/>
  <c r="CJ472" i="1"/>
  <c r="AX475" i="1"/>
  <c r="BV462" i="1"/>
  <c r="CC491" i="1"/>
  <c r="BK465" i="1"/>
  <c r="BA478" i="1"/>
  <c r="BA488" i="1"/>
  <c r="BP466" i="1"/>
  <c r="BV475" i="1"/>
  <c r="BB479" i="1"/>
  <c r="CI497" i="1"/>
  <c r="CI488" i="1"/>
  <c r="CI502" i="1"/>
  <c r="CJ480" i="1"/>
  <c r="CA481" i="1"/>
  <c r="BV478" i="1"/>
  <c r="BK476" i="1"/>
  <c r="BD480" i="1"/>
  <c r="BL466" i="1"/>
  <c r="BM467" i="1"/>
  <c r="BG489" i="1"/>
  <c r="CF485" i="1"/>
  <c r="BD503" i="1"/>
  <c r="BI499" i="1"/>
  <c r="BN473" i="1"/>
  <c r="BP467" i="1"/>
  <c r="BM489" i="1"/>
  <c r="AW482" i="1"/>
  <c r="BD499" i="1"/>
  <c r="CG505" i="1"/>
  <c r="BC479" i="1"/>
  <c r="CJ478" i="1"/>
  <c r="CG474" i="1"/>
  <c r="CF487" i="1"/>
  <c r="BD485" i="1"/>
  <c r="CG485" i="1"/>
  <c r="CK504" i="1"/>
  <c r="BO489" i="1"/>
  <c r="CK464" i="1"/>
  <c r="BH489" i="1"/>
  <c r="CI463" i="1"/>
  <c r="BY479" i="1"/>
  <c r="BW505" i="1"/>
  <c r="CG492" i="1"/>
  <c r="BM477" i="1"/>
  <c r="BW480" i="1"/>
  <c r="BQ494" i="1"/>
  <c r="BW476" i="1"/>
  <c r="AW479" i="1"/>
  <c r="BQ501" i="1"/>
  <c r="BL483" i="1"/>
  <c r="AY498" i="1"/>
  <c r="AX488" i="1"/>
  <c r="BJ473" i="1"/>
  <c r="BF495" i="1"/>
  <c r="BD474" i="1"/>
  <c r="CM475" i="1"/>
  <c r="BD465" i="1"/>
  <c r="AZ489" i="1"/>
  <c r="BT471" i="1"/>
  <c r="BN490" i="1"/>
  <c r="CB480" i="1"/>
  <c r="CK478" i="1"/>
  <c r="BZ478" i="1"/>
  <c r="AZ475" i="1"/>
  <c r="CC464" i="1"/>
  <c r="AX473" i="1"/>
  <c r="BR503" i="1"/>
  <c r="BV499" i="1"/>
  <c r="CJ485" i="1"/>
  <c r="BJ476" i="1"/>
  <c r="BO462" i="1"/>
  <c r="CH462" i="1"/>
  <c r="CI468" i="1"/>
  <c r="CD470" i="1"/>
  <c r="CF482" i="1"/>
  <c r="BF487" i="1"/>
  <c r="BW488" i="1"/>
  <c r="BO500" i="1"/>
  <c r="BZ466" i="1"/>
  <c r="CE480" i="1"/>
  <c r="BC486" i="1"/>
  <c r="BR472" i="1"/>
  <c r="CE500" i="1"/>
  <c r="BC500" i="1"/>
  <c r="CF463" i="1"/>
  <c r="CB485" i="1"/>
  <c r="BD464" i="1"/>
  <c r="AZ485" i="1"/>
  <c r="BR478" i="1"/>
  <c r="AW489" i="1"/>
  <c r="BD472" i="1"/>
  <c r="CJ474" i="1"/>
  <c r="BW497" i="1"/>
  <c r="BM500" i="1"/>
  <c r="BL500" i="1"/>
  <c r="CA475" i="1"/>
  <c r="CM504" i="1"/>
  <c r="CC474" i="1"/>
  <c r="BT498" i="1"/>
  <c r="BX489" i="1"/>
  <c r="CH505" i="1"/>
  <c r="BS484" i="1"/>
  <c r="BQ469" i="1"/>
  <c r="BX502" i="1"/>
  <c r="BJ495" i="1"/>
  <c r="BJ504" i="1"/>
  <c r="CB490" i="1"/>
  <c r="AX481" i="1"/>
  <c r="BV468" i="1"/>
  <c r="AY483" i="1"/>
  <c r="CJ505" i="1"/>
  <c r="CF497" i="1"/>
  <c r="CE495" i="1"/>
  <c r="CC488" i="1"/>
  <c r="CC504" i="1"/>
  <c r="CI483" i="1"/>
  <c r="AX476" i="1"/>
  <c r="BK487" i="1"/>
  <c r="BX488" i="1"/>
  <c r="AX474" i="1"/>
  <c r="BU499" i="1"/>
  <c r="BP493" i="1"/>
  <c r="AZ490" i="1"/>
  <c r="CL499" i="1"/>
  <c r="BY502" i="1"/>
  <c r="CL477" i="1"/>
  <c r="BC499" i="1"/>
  <c r="CF462" i="1"/>
  <c r="BG482" i="1"/>
  <c r="BL479" i="1"/>
  <c r="BP474" i="1"/>
  <c r="BC469" i="1"/>
  <c r="CH491" i="1"/>
  <c r="BU472" i="1"/>
  <c r="BC484" i="1"/>
  <c r="BK478" i="1"/>
  <c r="BV500" i="1"/>
  <c r="BR462" i="1"/>
  <c r="BA487" i="1"/>
  <c r="BJ494" i="1"/>
  <c r="BK505" i="1"/>
  <c r="BO487" i="1"/>
  <c r="AY489" i="1"/>
  <c r="BI471" i="1"/>
  <c r="BS486" i="1"/>
  <c r="BH463" i="1"/>
  <c r="BD494" i="1"/>
  <c r="BA496" i="1"/>
  <c r="BQ490" i="1"/>
  <c r="BI473" i="1"/>
  <c r="BP498" i="1"/>
  <c r="BV489" i="1"/>
  <c r="BO466" i="1"/>
  <c r="BQ497" i="1"/>
  <c r="BA502" i="1"/>
  <c r="BN493" i="1"/>
  <c r="BJ503" i="1"/>
  <c r="AW467" i="1"/>
  <c r="BL493" i="1"/>
  <c r="CA490" i="1"/>
  <c r="BY480" i="1"/>
  <c r="CG482" i="1"/>
  <c r="BP503" i="1"/>
  <c r="CC487" i="1"/>
  <c r="BT503" i="1"/>
  <c r="BJ477" i="1"/>
  <c r="BS489" i="1"/>
  <c r="BU481" i="1"/>
  <c r="CG465" i="1"/>
  <c r="BT464" i="1"/>
  <c r="BP480" i="1"/>
  <c r="BW498" i="1"/>
  <c r="CN485" i="1"/>
  <c r="AW502" i="1"/>
  <c r="BJ491" i="1"/>
  <c r="CH485" i="1"/>
  <c r="CK475" i="1"/>
  <c r="BL462" i="1"/>
  <c r="CE486" i="1"/>
  <c r="AZ484" i="1"/>
  <c r="BX479" i="1"/>
  <c r="BZ490" i="1"/>
  <c r="BK496" i="1"/>
  <c r="BL477" i="1"/>
  <c r="CG483" i="1"/>
  <c r="CA477" i="1"/>
  <c r="AX464" i="1"/>
  <c r="AY488" i="1"/>
  <c r="CK486" i="1"/>
  <c r="BL464" i="1"/>
  <c r="CG480" i="1"/>
  <c r="CM478" i="1"/>
  <c r="BG488" i="1"/>
  <c r="CA500" i="1"/>
  <c r="BE496" i="1"/>
  <c r="BE465" i="1"/>
  <c r="CN466" i="1"/>
  <c r="CA491" i="1"/>
  <c r="BS492" i="1"/>
  <c r="BW475" i="1"/>
  <c r="CJ471" i="1"/>
  <c r="CF489" i="1"/>
  <c r="BJ474" i="1"/>
  <c r="BY489" i="1"/>
  <c r="BM486" i="1"/>
  <c r="CD469" i="1"/>
  <c r="BJ487" i="1"/>
  <c r="BL465" i="1"/>
  <c r="BT502" i="1"/>
  <c r="CJ504" i="1"/>
  <c r="BO497" i="1"/>
  <c r="CL470" i="1"/>
  <c r="AW486" i="1"/>
  <c r="BH503" i="1"/>
  <c r="BR477" i="1"/>
  <c r="BQ493" i="1"/>
  <c r="CF483" i="1"/>
  <c r="BK472" i="1"/>
  <c r="AX486" i="1"/>
  <c r="BF504" i="1"/>
  <c r="BW472" i="1"/>
  <c r="BV505" i="1"/>
  <c r="BR483" i="1"/>
  <c r="BH464" i="1"/>
  <c r="BI474" i="1"/>
  <c r="BO472" i="1"/>
  <c r="BC493" i="1"/>
  <c r="BF488" i="1"/>
  <c r="AW498" i="1"/>
  <c r="BS490" i="1"/>
  <c r="BN481" i="1"/>
  <c r="CM468" i="1"/>
  <c r="BM482" i="1"/>
  <c r="BW486" i="1"/>
  <c r="BV463" i="1"/>
  <c r="CL498" i="1"/>
  <c r="BA463" i="1"/>
  <c r="CM490" i="1"/>
  <c r="BU485" i="1"/>
  <c r="CN470" i="1"/>
  <c r="BY466" i="1"/>
  <c r="AZ493" i="1"/>
  <c r="CM502" i="1"/>
  <c r="CH500" i="1"/>
  <c r="BZ494" i="1"/>
  <c r="CM501" i="1"/>
  <c r="CC496" i="1"/>
  <c r="CM493" i="1"/>
  <c r="BG500" i="1"/>
  <c r="BT480" i="1"/>
  <c r="CB489" i="1"/>
  <c r="BH482" i="1"/>
  <c r="CC500" i="1"/>
  <c r="BV479" i="1"/>
  <c r="BU479" i="1"/>
  <c r="CD483" i="1"/>
  <c r="CN474" i="1"/>
  <c r="BV484" i="1"/>
  <c r="CD505" i="1"/>
  <c r="BW504" i="1"/>
  <c r="BQ504" i="1"/>
  <c r="BC485" i="1"/>
  <c r="CB484" i="1"/>
  <c r="CA480" i="1"/>
  <c r="BD501" i="1"/>
  <c r="BJ505" i="1"/>
  <c r="CI504" i="1"/>
  <c r="BR474" i="1"/>
  <c r="AX483" i="1"/>
  <c r="BN468" i="1"/>
  <c r="CC498" i="1"/>
  <c r="BT468" i="1"/>
  <c r="BR482" i="1"/>
  <c r="BA464" i="1"/>
  <c r="BA494" i="1"/>
  <c r="BR496" i="1"/>
  <c r="CN478" i="1"/>
  <c r="BE479" i="1"/>
  <c r="CK489" i="1"/>
  <c r="BU474" i="1"/>
  <c r="AW487" i="1"/>
  <c r="BX500" i="1"/>
  <c r="BY497" i="1"/>
  <c r="CL463" i="1"/>
  <c r="BB495" i="1"/>
  <c r="BF474" i="1"/>
  <c r="BB473" i="1"/>
  <c r="CC482" i="1"/>
  <c r="BL482" i="1"/>
  <c r="AY487" i="1"/>
  <c r="BI476" i="1"/>
  <c r="BT491" i="1"/>
  <c r="BS466" i="1"/>
  <c r="CM465" i="1"/>
  <c r="BU486" i="1"/>
  <c r="BX463" i="1"/>
  <c r="CE489" i="1"/>
  <c r="BN478" i="1"/>
  <c r="BT501" i="1"/>
  <c r="CF470" i="1"/>
  <c r="BK497" i="1"/>
  <c r="AX479" i="1"/>
  <c r="BV504" i="1"/>
  <c r="BB472" i="1"/>
  <c r="BP487" i="1"/>
  <c r="BE480" i="1"/>
  <c r="BW467" i="1"/>
  <c r="AW493" i="1"/>
  <c r="AW474" i="1"/>
  <c r="CJ462" i="1"/>
  <c r="BP497" i="1"/>
  <c r="BP465" i="1"/>
  <c r="BH465" i="1"/>
  <c r="CH469" i="1"/>
  <c r="BY477" i="1"/>
  <c r="CB488" i="1"/>
  <c r="CE472" i="1"/>
  <c r="BZ492" i="1"/>
  <c r="BL468" i="1"/>
  <c r="BB488" i="1"/>
  <c r="BW473" i="1"/>
  <c r="BQ462" i="1"/>
  <c r="CD463" i="1"/>
  <c r="CN476" i="1"/>
  <c r="CJ496" i="1"/>
  <c r="CA497" i="1"/>
  <c r="BZ479" i="1"/>
  <c r="BN488" i="1"/>
  <c r="BQ465" i="1"/>
  <c r="BU505" i="1"/>
  <c r="BS473" i="1"/>
  <c r="CL471" i="1"/>
  <c r="BC502" i="1"/>
  <c r="BL484" i="1"/>
  <c r="CL501" i="1"/>
  <c r="BB498" i="1"/>
  <c r="BI495" i="1"/>
  <c r="BS505" i="1"/>
  <c r="CD496" i="1"/>
  <c r="CD476" i="1"/>
  <c r="BY470" i="1"/>
  <c r="CJ501" i="1"/>
  <c r="BN496" i="1"/>
  <c r="BE483" i="1"/>
  <c r="CI485" i="1"/>
  <c r="BE502" i="1"/>
  <c r="BK464" i="1"/>
  <c r="CM473" i="1"/>
  <c r="CG494" i="1"/>
  <c r="BS476" i="1"/>
  <c r="CK466" i="1"/>
  <c r="CF498" i="1"/>
  <c r="BR490" i="1"/>
  <c r="BG472" i="1"/>
  <c r="BP471" i="1"/>
  <c r="BA479" i="1"/>
  <c r="CB500" i="1"/>
  <c r="BF476" i="1"/>
  <c r="CI470" i="1"/>
  <c r="BD490" i="1"/>
  <c r="BQ464" i="1"/>
  <c r="CN477" i="1"/>
  <c r="BU501" i="1"/>
  <c r="BW481" i="1"/>
  <c r="BN495" i="1"/>
  <c r="CG472" i="1"/>
  <c r="CI466" i="1"/>
  <c r="BV485" i="1"/>
  <c r="BZ489" i="1"/>
  <c r="CK463" i="1"/>
  <c r="BO482" i="1"/>
  <c r="CE468" i="1"/>
  <c r="BR504" i="1"/>
  <c r="CG501" i="1"/>
  <c r="BC476" i="1"/>
  <c r="BW474" i="1"/>
  <c r="CJ477" i="1"/>
  <c r="BX498" i="1"/>
  <c r="AW477" i="1"/>
  <c r="BC497" i="1"/>
  <c r="BM497" i="1"/>
  <c r="BC505" i="1"/>
  <c r="BX474" i="1"/>
  <c r="AY473" i="1"/>
  <c r="CD491" i="1"/>
  <c r="BG466" i="1"/>
  <c r="BF470" i="1"/>
  <c r="BX471" i="1"/>
  <c r="CL490" i="1"/>
  <c r="CA493" i="1"/>
  <c r="CH483" i="1"/>
  <c r="AX490" i="1"/>
  <c r="BR475" i="1"/>
  <c r="BK504" i="1"/>
  <c r="CD499" i="1"/>
  <c r="AW472" i="1"/>
  <c r="BF491" i="1"/>
  <c r="AW471" i="1"/>
  <c r="BN504" i="1"/>
  <c r="BY462" i="1"/>
  <c r="CN484" i="1"/>
  <c r="BU493" i="1"/>
  <c r="BT479" i="1"/>
  <c r="AZ494" i="1"/>
  <c r="CE485" i="1"/>
  <c r="BV493" i="1"/>
  <c r="BT496" i="1"/>
  <c r="AZ495" i="1"/>
  <c r="BC482" i="1"/>
  <c r="BA474" i="1"/>
  <c r="BH486" i="1"/>
  <c r="CJ481" i="1"/>
  <c r="BO464" i="1"/>
  <c r="CM467" i="1"/>
  <c r="CC472" i="1"/>
  <c r="BN497" i="1"/>
  <c r="BS481" i="1"/>
  <c r="BB487" i="1"/>
  <c r="BD489" i="1"/>
  <c r="BC491" i="1"/>
  <c r="BC503" i="1"/>
  <c r="BC466" i="1"/>
  <c r="BZ462" i="1"/>
  <c r="BE499" i="1"/>
  <c r="BX495" i="1"/>
  <c r="BZ484" i="1"/>
  <c r="CC495" i="1"/>
  <c r="BD486" i="1"/>
  <c r="CB505" i="1"/>
  <c r="BR468" i="1"/>
  <c r="BX472" i="1"/>
  <c r="BS467" i="1"/>
  <c r="BI466" i="1"/>
  <c r="CA479" i="1"/>
  <c r="BN492" i="1"/>
  <c r="CH463" i="1"/>
  <c r="CD472" i="1"/>
  <c r="BT483" i="1"/>
  <c r="BM462" i="1"/>
  <c r="CL495" i="1"/>
  <c r="CN481" i="1"/>
  <c r="AW491" i="1"/>
  <c r="BV480" i="1"/>
  <c r="BS472" i="1"/>
  <c r="BF499" i="1"/>
  <c r="CD489" i="1"/>
  <c r="AY503" i="1"/>
  <c r="BN487" i="1"/>
  <c r="CE492" i="1"/>
  <c r="BJ484" i="1"/>
  <c r="BW484" i="1"/>
  <c r="BC494" i="1"/>
  <c r="BH492" i="1"/>
  <c r="BH479" i="1"/>
  <c r="BV497" i="1"/>
  <c r="CL475" i="1"/>
  <c r="CD478" i="1"/>
  <c r="CF494" i="1"/>
  <c r="CH490" i="1"/>
  <c r="BK490" i="1"/>
  <c r="AY476" i="1"/>
  <c r="BY492" i="1"/>
  <c r="BY478" i="1"/>
  <c r="AZ491" i="1"/>
  <c r="BL486" i="1"/>
  <c r="CH499" i="1"/>
  <c r="BH505" i="1"/>
  <c r="CG496" i="1"/>
  <c r="CA476" i="1"/>
  <c r="BA486" i="1"/>
  <c r="AZ467" i="1"/>
  <c r="BX473" i="1"/>
  <c r="AW503" i="1"/>
  <c r="BM472" i="1"/>
  <c r="CJ476" i="1"/>
  <c r="CM477" i="1"/>
  <c r="BM469" i="1"/>
  <c r="BJ471" i="1"/>
  <c r="BQ477" i="1"/>
  <c r="CA496" i="1"/>
  <c r="BC481" i="1"/>
  <c r="BR470" i="1"/>
  <c r="BH475" i="1"/>
  <c r="BI489" i="1"/>
  <c r="BF463" i="1"/>
  <c r="BX494" i="1"/>
  <c r="BE481" i="1"/>
  <c r="CB466" i="1"/>
  <c r="CH468" i="1"/>
  <c r="CI492" i="1"/>
  <c r="BQ466" i="1"/>
  <c r="CB503" i="1"/>
  <c r="BU471" i="1"/>
  <c r="CF505" i="1"/>
  <c r="BW466" i="1"/>
  <c r="BP478" i="1"/>
  <c r="BE463" i="1"/>
  <c r="CN463" i="1"/>
  <c r="CE493" i="1"/>
  <c r="CA466" i="1"/>
  <c r="BM495" i="1"/>
  <c r="CM503" i="1"/>
  <c r="AW505" i="1"/>
  <c r="BH472" i="1"/>
  <c r="CL464" i="1"/>
  <c r="BW489" i="1"/>
  <c r="CL491" i="1"/>
  <c r="CN465" i="1"/>
  <c r="CA482" i="1"/>
  <c r="CL473" i="1"/>
  <c r="CJ502" i="1"/>
  <c r="CC465" i="1"/>
  <c r="BK466" i="1"/>
  <c r="BI483" i="1"/>
  <c r="BB492" i="1"/>
  <c r="CC497" i="1"/>
  <c r="CN489" i="1"/>
  <c r="BP502" i="1"/>
  <c r="CC485" i="1"/>
  <c r="CB465" i="1"/>
  <c r="CL484" i="1"/>
  <c r="BB465" i="1"/>
  <c r="CN491" i="1"/>
  <c r="BH474" i="1"/>
  <c r="CF475" i="1"/>
  <c r="AW463" i="1"/>
  <c r="AX499" i="1"/>
  <c r="BI463" i="1"/>
  <c r="BY482" i="1"/>
  <c r="CK480" i="1"/>
  <c r="CE462" i="1"/>
  <c r="CL500" i="1"/>
  <c r="BC483" i="1"/>
  <c r="BU484" i="1"/>
  <c r="BP481" i="1"/>
  <c r="BH462" i="1"/>
  <c r="BM490" i="1"/>
  <c r="BB486" i="1"/>
  <c r="CA464" i="1"/>
  <c r="CE504" i="1"/>
  <c r="BQ478" i="1"/>
  <c r="CN472" i="1"/>
  <c r="BA489" i="1"/>
  <c r="BM499" i="1"/>
  <c r="BR488" i="1"/>
  <c r="CB477" i="1"/>
  <c r="CG481" i="1"/>
  <c r="AZ462" i="1"/>
  <c r="BV496" i="1"/>
  <c r="CB473" i="1"/>
  <c r="CH474" i="1"/>
  <c r="BM505" i="1"/>
  <c r="BA493" i="1"/>
  <c r="AX465" i="1"/>
  <c r="AX472" i="1"/>
  <c r="CD464" i="1"/>
  <c r="BP504" i="1"/>
  <c r="BE470" i="1"/>
  <c r="BQ470" i="1"/>
  <c r="BX468" i="1"/>
  <c r="CB474" i="1"/>
  <c r="BR499" i="1"/>
  <c r="CD492" i="1"/>
  <c r="BQ468" i="1"/>
  <c r="BT485" i="1"/>
  <c r="BB489" i="1"/>
  <c r="CH492" i="1"/>
  <c r="BR492" i="1"/>
  <c r="BG487" i="1"/>
  <c r="BS499" i="1"/>
  <c r="CL478" i="1"/>
  <c r="BY464" i="1"/>
  <c r="BS483" i="1"/>
  <c r="BZ498" i="1"/>
  <c r="CM464" i="1"/>
  <c r="BO495" i="1"/>
  <c r="BZ482" i="1"/>
  <c r="BI484" i="1"/>
  <c r="BR491" i="1"/>
  <c r="CA502" i="1"/>
  <c r="BB501" i="1"/>
  <c r="CD500" i="1"/>
  <c r="CG473" i="1"/>
  <c r="AW497" i="1"/>
  <c r="BI478" i="1"/>
  <c r="CM469" i="1"/>
  <c r="BS485" i="1"/>
  <c r="CL497" i="1"/>
  <c r="CN494" i="1"/>
  <c r="BI482" i="1"/>
  <c r="CJ479" i="1"/>
  <c r="BM478" i="1"/>
  <c r="BH481" i="1"/>
  <c r="BP468" i="1"/>
  <c r="AX469" i="1"/>
  <c r="BK501" i="1"/>
  <c r="BT467" i="1"/>
  <c r="BW471" i="1"/>
  <c r="BO467" i="1"/>
  <c r="BO473" i="1"/>
  <c r="CK484" i="1"/>
  <c r="BC504" i="1"/>
  <c r="BK485" i="1"/>
  <c r="BU478" i="1"/>
  <c r="CD486" i="1"/>
  <c r="BW496" i="1"/>
  <c r="CI491" i="1"/>
  <c r="BA465" i="1"/>
  <c r="AW499" i="1"/>
  <c r="BA477" i="1"/>
  <c r="CJ493" i="1"/>
  <c r="BR487" i="1"/>
  <c r="CI501" i="1"/>
  <c r="BN462" i="1"/>
  <c r="BJ482" i="1"/>
  <c r="BK500" i="1"/>
  <c r="BT469" i="1"/>
  <c r="BR473" i="1"/>
  <c r="AW495" i="1"/>
  <c r="BE488" i="1"/>
  <c r="BS502" i="1"/>
  <c r="BE497" i="1"/>
  <c r="CE487" i="1"/>
  <c r="BA469" i="1"/>
  <c r="BD471" i="1"/>
  <c r="BO504" i="1"/>
  <c r="BZ495" i="1"/>
  <c r="BH473" i="1"/>
  <c r="BJ498" i="1"/>
  <c r="BY485" i="1"/>
  <c r="CK482" i="1"/>
  <c r="CL467" i="1"/>
  <c r="BK492" i="1"/>
  <c r="BM480" i="1"/>
  <c r="BT478" i="1"/>
  <c r="BP469" i="1"/>
  <c r="CI462" i="1"/>
  <c r="BV466" i="1"/>
  <c r="CE483" i="1"/>
  <c r="BC496" i="1"/>
  <c r="BL467" i="1"/>
  <c r="BN498" i="1"/>
  <c r="BZ501" i="1"/>
  <c r="CJ468" i="1"/>
  <c r="CF500" i="1"/>
  <c r="AZ492" i="1"/>
  <c r="BA490" i="1"/>
  <c r="BW463" i="1"/>
  <c r="BI502" i="1"/>
  <c r="BW469" i="1"/>
  <c r="BU495" i="1"/>
  <c r="BN505" i="1"/>
  <c r="BH471" i="1"/>
  <c r="CG466" i="1"/>
  <c r="CD468" i="1"/>
  <c r="BN485" i="1"/>
  <c r="BF505" i="1"/>
  <c r="CC484" i="1"/>
  <c r="BT489" i="1"/>
  <c r="CD473" i="1"/>
  <c r="BZ480" i="1"/>
  <c r="BV477" i="1"/>
  <c r="CJ492" i="1"/>
  <c r="BC468" i="1"/>
  <c r="CN464" i="1"/>
  <c r="AW504" i="1"/>
  <c r="BT466" i="1"/>
  <c r="BW499" i="1"/>
  <c r="CE477" i="1"/>
  <c r="BG474" i="1"/>
  <c r="CK494" i="1"/>
  <c r="BH476" i="1"/>
  <c r="BM502" i="1"/>
  <c r="BX493" i="1"/>
  <c r="CF480" i="1"/>
  <c r="CH489" i="1"/>
  <c r="BM466" i="1"/>
  <c r="BE472" i="1"/>
  <c r="CK471" i="1"/>
  <c r="BK493" i="1"/>
  <c r="BE495" i="1"/>
  <c r="CF492" i="1"/>
  <c r="BX497" i="1"/>
  <c r="CJ482" i="1"/>
  <c r="BT504" i="1"/>
  <c r="BM464" i="1"/>
  <c r="BO476" i="1"/>
  <c r="BK486" i="1"/>
  <c r="BR480" i="1"/>
  <c r="BG485" i="1"/>
  <c r="BO493" i="1"/>
  <c r="BP462" i="1"/>
  <c r="BZ471" i="1"/>
  <c r="BD477" i="1"/>
  <c r="BY499" i="1"/>
  <c r="CJ488" i="1"/>
  <c r="BV482" i="1"/>
  <c r="BD463" i="1"/>
  <c r="AY495" i="1"/>
  <c r="BM485" i="1"/>
  <c r="BH488" i="1"/>
  <c r="CE498" i="1"/>
  <c r="BG473" i="1"/>
  <c r="AW475" i="1"/>
  <c r="BX480" i="1"/>
  <c r="CH482" i="1"/>
  <c r="CD484" i="1"/>
  <c r="BS495" i="1"/>
  <c r="BV491" i="1"/>
  <c r="BB470" i="1"/>
  <c r="BA483" i="1"/>
  <c r="BM483" i="1"/>
  <c r="CB499" i="1"/>
  <c r="BA480" i="1"/>
  <c r="BL502" i="1"/>
  <c r="CE478" i="1"/>
  <c r="BA471" i="1"/>
  <c r="BX469" i="1"/>
  <c r="CF491" i="1"/>
  <c r="CC501" i="1"/>
  <c r="CJ498" i="1"/>
  <c r="BY472" i="1"/>
  <c r="BG480" i="1"/>
  <c r="BQ500" i="1"/>
  <c r="BS477" i="1"/>
  <c r="CN469" i="1"/>
  <c r="BL487" i="1"/>
  <c r="BL497" i="1"/>
  <c r="BH487" i="1"/>
  <c r="BX490" i="1"/>
  <c r="CN490" i="1"/>
  <c r="BL494" i="1"/>
  <c r="BN501" i="1"/>
  <c r="CB471" i="1"/>
  <c r="BZ465" i="1"/>
  <c r="CB501" i="1"/>
  <c r="BH477" i="1"/>
  <c r="BV495" i="1"/>
  <c r="CD488" i="1"/>
  <c r="CI471" i="1"/>
  <c r="BZ493" i="1"/>
  <c r="CB504" i="1"/>
  <c r="BH501" i="1"/>
  <c r="CG499" i="1"/>
  <c r="BR464" i="1"/>
  <c r="BF483" i="1"/>
  <c r="BF468" i="1"/>
  <c r="CE473" i="1"/>
  <c r="CK479" i="1"/>
  <c r="BZ483" i="1"/>
  <c r="BT499" i="1"/>
  <c r="CF471" i="1"/>
  <c r="BC498" i="1"/>
  <c r="BQ486" i="1"/>
  <c r="CN492" i="1"/>
  <c r="CM479" i="1"/>
  <c r="BJ485" i="1"/>
  <c r="BG490" i="1"/>
  <c r="AZ483" i="1"/>
  <c r="BG486" i="1"/>
  <c r="CG493" i="1"/>
  <c r="CI493" i="1"/>
  <c r="BD473" i="1"/>
  <c r="BJ488" i="1"/>
  <c r="BT492" i="1"/>
  <c r="AY468" i="1"/>
  <c r="CC468" i="1"/>
  <c r="CB462" i="1"/>
  <c r="AX492" i="1"/>
  <c r="BW483" i="1"/>
  <c r="BF473" i="1"/>
  <c r="BV465" i="1"/>
  <c r="BF464" i="1"/>
  <c r="BT490" i="1"/>
  <c r="BO505" i="1"/>
  <c r="BS500" i="1"/>
  <c r="CI505" i="1"/>
  <c r="BU462" i="1"/>
  <c r="BR479" i="1"/>
  <c r="CE463" i="1"/>
  <c r="CH496" i="1"/>
  <c r="BT500" i="1"/>
  <c r="BV490" i="1"/>
  <c r="BX496" i="1"/>
  <c r="AY478" i="1"/>
  <c r="AW485" i="1"/>
  <c r="AW481" i="1"/>
  <c r="CJ470" i="1"/>
  <c r="BE469" i="1"/>
  <c r="BF482" i="1"/>
  <c r="CD481" i="1"/>
  <c r="BE494" i="1"/>
  <c r="CD490" i="1"/>
  <c r="BO469" i="1"/>
  <c r="AY474" i="1"/>
  <c r="CN497" i="1"/>
  <c r="BX505" i="1"/>
  <c r="BM488" i="1"/>
  <c r="BS496" i="1"/>
  <c r="CI478" i="1"/>
  <c r="BC487" i="1"/>
  <c r="CH479" i="1"/>
  <c r="CB467" i="1"/>
  <c r="BS497" i="1"/>
  <c r="BR484" i="1"/>
  <c r="BV472" i="1"/>
  <c r="CA462" i="1"/>
  <c r="BB480" i="1"/>
  <c r="BI504" i="1"/>
  <c r="CA470" i="1"/>
  <c r="BK470" i="1"/>
  <c r="BM492" i="1"/>
  <c r="BR471" i="1"/>
  <c r="BA473" i="1"/>
  <c r="BF492" i="1"/>
  <c r="CJ483" i="1"/>
  <c r="AZ471" i="1"/>
  <c r="BB484" i="1"/>
  <c r="BS503" i="1"/>
  <c r="BK494" i="1"/>
  <c r="BD495" i="1"/>
  <c r="BU483" i="1"/>
  <c r="BC495" i="1"/>
  <c r="CC469" i="1"/>
  <c r="BN503" i="1"/>
  <c r="CH486" i="1"/>
  <c r="BX491" i="1"/>
  <c r="BM468" i="1"/>
  <c r="CK490" i="1"/>
  <c r="AW484" i="1"/>
  <c r="CL481" i="1"/>
  <c r="AX489" i="1"/>
  <c r="BQ503" i="1"/>
  <c r="BM498" i="1"/>
  <c r="CF488" i="1"/>
  <c r="BY487" i="1"/>
  <c r="BU498" i="1"/>
  <c r="BI492" i="1"/>
  <c r="BL495" i="1"/>
  <c r="CJ489" i="1"/>
  <c r="BS482" i="1"/>
  <c r="AY477" i="1"/>
  <c r="BB483" i="1"/>
  <c r="CM471" i="1"/>
  <c r="BE505" i="1"/>
  <c r="BX503" i="1"/>
  <c r="BK489" i="1"/>
  <c r="BF496" i="1"/>
  <c r="AX471" i="1"/>
  <c r="CB498" i="1"/>
  <c r="BP495" i="1"/>
  <c r="CB495" i="1"/>
  <c r="CK487" i="1"/>
  <c r="CL488" i="1"/>
  <c r="CH487" i="1"/>
  <c r="BR495" i="1"/>
  <c r="CI490" i="1"/>
  <c r="BX484" i="1"/>
  <c r="CI495" i="1"/>
  <c r="BN470" i="1"/>
  <c r="CJ495" i="1"/>
  <c r="BN472" i="1"/>
  <c r="CI477" i="1"/>
  <c r="BH483" i="1"/>
  <c r="CK469" i="1"/>
  <c r="BQ474" i="1"/>
  <c r="AY482" i="1"/>
  <c r="CD477" i="1"/>
  <c r="CK500" i="1"/>
  <c r="CA484" i="1"/>
  <c r="BR494" i="1"/>
  <c r="CM489" i="1"/>
  <c r="BF479" i="1"/>
  <c r="BS474" i="1"/>
  <c r="CH470" i="1"/>
  <c r="BF490" i="1"/>
  <c r="CF499" i="1"/>
  <c r="CD462" i="1"/>
  <c r="BF489" i="1"/>
  <c r="BN486" i="1"/>
  <c r="CE484" i="1"/>
  <c r="CM495" i="1"/>
  <c r="BQ483" i="1"/>
  <c r="BD482" i="1"/>
  <c r="BH494" i="1"/>
  <c r="BN502" i="1"/>
  <c r="AY493" i="1"/>
  <c r="AY462" i="1"/>
  <c r="BJ500" i="1"/>
  <c r="CH494" i="1"/>
  <c r="AX484" i="1"/>
  <c r="BZ467" i="1"/>
  <c r="BP475" i="1"/>
  <c r="BB467" i="1"/>
  <c r="BJ486" i="1"/>
  <c r="AY485" i="1"/>
  <c r="BO474" i="1"/>
  <c r="BO475" i="1"/>
  <c r="CH472" i="1"/>
  <c r="BO503" i="1"/>
  <c r="CB491" i="1"/>
  <c r="CM486" i="1"/>
  <c r="CG476" i="1"/>
  <c r="BE491" i="1"/>
  <c r="BZ488" i="1"/>
  <c r="BF469" i="1"/>
  <c r="CH480" i="1"/>
  <c r="BH504" i="1"/>
  <c r="BP464" i="1"/>
  <c r="CJ490" i="1"/>
  <c r="AX493" i="1"/>
  <c r="BN463" i="1"/>
  <c r="BS463" i="1"/>
  <c r="CK481" i="1"/>
  <c r="BU477" i="1"/>
  <c r="BF465" i="1"/>
  <c r="CC466" i="1"/>
  <c r="AY496" i="1"/>
  <c r="BX478" i="1"/>
  <c r="CG497" i="1"/>
  <c r="CE505" i="1"/>
  <c r="BD492" i="1"/>
  <c r="BY504" i="1"/>
  <c r="BG483" i="1"/>
  <c r="BA466" i="1"/>
  <c r="BO499" i="1"/>
  <c r="BP489" i="1"/>
  <c r="CD503" i="1"/>
  <c r="AX466" i="1"/>
  <c r="CK493" i="1"/>
  <c r="CF477" i="1"/>
  <c r="CF466" i="1"/>
  <c r="CC499" i="1"/>
  <c r="BJ468" i="1"/>
  <c r="AW494" i="1"/>
  <c r="CE490" i="1"/>
  <c r="CD498" i="1"/>
  <c r="BT497" i="1"/>
  <c r="CG490" i="1"/>
  <c r="BB499" i="1"/>
  <c r="BH466" i="1"/>
  <c r="BO463" i="1"/>
  <c r="BK474" i="1"/>
  <c r="CI496" i="1"/>
  <c r="BE504" i="1"/>
  <c r="CJ491" i="1"/>
  <c r="BK484" i="1"/>
  <c r="AX503" i="1"/>
  <c r="CN486" i="1"/>
  <c r="AZ474" i="1"/>
  <c r="BW465" i="1"/>
  <c r="CC467" i="1"/>
  <c r="CK473" i="1"/>
  <c r="CL486" i="1"/>
  <c r="BL481" i="1"/>
  <c r="CJ473" i="1"/>
  <c r="BH499" i="1"/>
  <c r="BJ490" i="1"/>
  <c r="AX470" i="1"/>
  <c r="BE503" i="1"/>
  <c r="BR466" i="1"/>
  <c r="CG484" i="1"/>
  <c r="BR463" i="1"/>
  <c r="BY498" i="1"/>
  <c r="BL473" i="1"/>
  <c r="BU496" i="1"/>
  <c r="CK502" i="1"/>
  <c r="CG502" i="1"/>
  <c r="BA500" i="1"/>
  <c r="BP488" i="1"/>
  <c r="CM487" i="1"/>
  <c r="AY472" i="1"/>
  <c r="BX462" i="1"/>
  <c r="CC476" i="1"/>
  <c r="BA491" i="1"/>
  <c r="BG502" i="1"/>
  <c r="BK488" i="1"/>
  <c r="BV492" i="1"/>
  <c r="BX486" i="1"/>
  <c r="CA485" i="1"/>
  <c r="CM474" i="1"/>
  <c r="BR489" i="1"/>
  <c r="CL485" i="1"/>
  <c r="BR497" i="1"/>
  <c r="CJ497" i="1"/>
  <c r="BT472" i="1"/>
  <c r="CD471" i="1"/>
  <c r="CB496" i="1"/>
  <c r="BB475" i="1"/>
  <c r="BX485" i="1"/>
  <c r="BU469" i="1"/>
  <c r="CC481" i="1"/>
  <c r="CN488" i="1"/>
  <c r="CC486" i="1"/>
  <c r="AZ465" i="1"/>
  <c r="BM471" i="1"/>
  <c r="BE468" i="1"/>
  <c r="BH493" i="1"/>
  <c r="BH470" i="1"/>
  <c r="BQ492" i="1"/>
  <c r="CI465" i="1"/>
  <c r="AZ479" i="1"/>
  <c r="AZ501" i="1"/>
  <c r="CM485" i="1"/>
  <c r="BG495" i="1"/>
  <c r="CH484" i="1"/>
  <c r="CB478" i="1"/>
  <c r="CL465" i="1"/>
  <c r="BO479" i="1"/>
  <c r="CJ465" i="1"/>
  <c r="CE488" i="1"/>
  <c r="BL475" i="1"/>
  <c r="BB502" i="1"/>
  <c r="BR465" i="1"/>
  <c r="BQ484" i="1"/>
  <c r="BV476" i="1"/>
  <c r="BE477" i="1"/>
  <c r="AY469" i="1"/>
  <c r="BR469" i="1"/>
  <c r="CH465" i="1"/>
  <c r="BN484" i="1"/>
  <c r="BP470" i="1"/>
  <c r="BZ475" i="1"/>
  <c r="BC488" i="1"/>
  <c r="AW469" i="1"/>
  <c r="BZ473" i="1"/>
  <c r="CH467" i="1"/>
  <c r="CK498" i="1"/>
  <c r="CA471" i="1"/>
  <c r="CM492" i="1"/>
  <c r="CD501" i="1"/>
  <c r="CI494" i="1"/>
  <c r="BY488" i="1"/>
  <c r="CM472" i="1"/>
  <c r="BT473" i="1"/>
  <c r="CC479" i="1"/>
  <c r="AW490" i="1"/>
  <c r="CH493" i="1"/>
  <c r="AX502" i="1"/>
  <c r="BG491" i="1"/>
  <c r="BJ493" i="1"/>
  <c r="AW483" i="1"/>
  <c r="AY471" i="1"/>
  <c r="AY501" i="1"/>
  <c r="CL483" i="1"/>
  <c r="BP499" i="1"/>
  <c r="CD467" i="1"/>
  <c r="AW501" i="1"/>
  <c r="CM500" i="1"/>
  <c r="CK472" i="1"/>
  <c r="CJ494" i="1"/>
  <c r="CL480" i="1"/>
  <c r="CM491" i="1"/>
  <c r="CK495" i="1"/>
  <c r="AX485" i="1"/>
  <c r="BZ470" i="1"/>
  <c r="CG488" i="1"/>
  <c r="BJ464" i="1"/>
  <c r="BB481" i="1"/>
  <c r="BF494" i="1"/>
  <c r="CN502" i="1"/>
  <c r="BR505" i="1"/>
  <c r="CB494" i="1"/>
  <c r="CN487" i="1"/>
  <c r="BE482" i="1"/>
  <c r="AY500" i="1"/>
  <c r="BJ502" i="1"/>
  <c r="BW494" i="1"/>
  <c r="CD479" i="1"/>
  <c r="BH490" i="1"/>
  <c r="BS493" i="1"/>
  <c r="BG468" i="1"/>
  <c r="BC463" i="1"/>
  <c r="CJ463" i="1"/>
  <c r="BD504" i="1"/>
  <c r="BD476" i="1"/>
  <c r="CL493" i="1"/>
  <c r="CG487" i="1"/>
  <c r="BE471" i="1"/>
  <c r="CK477" i="1"/>
  <c r="BQ472" i="1"/>
  <c r="BD491" i="1"/>
  <c r="CA486" i="1"/>
  <c r="BF493" i="1"/>
  <c r="BL469" i="1"/>
  <c r="AY499" i="1"/>
  <c r="CL492" i="1"/>
  <c r="BE493" i="1"/>
  <c r="BV467" i="1"/>
  <c r="BL474" i="1"/>
  <c r="CH501" i="1"/>
  <c r="BE492" i="1"/>
  <c r="BZ474" i="1"/>
  <c r="CF503" i="1"/>
  <c r="BC464" i="1"/>
  <c r="CG469" i="1"/>
  <c r="BR502" i="1"/>
  <c r="BG462" i="1"/>
  <c r="AY504" i="1"/>
  <c r="BA468" i="1"/>
  <c r="BU467" i="1"/>
  <c r="BJ478" i="1"/>
  <c r="CC478" i="1"/>
  <c r="BH480" i="1"/>
  <c r="BI480" i="1"/>
  <c r="AZ482" i="1"/>
  <c r="BF478" i="1"/>
  <c r="AY505" i="1"/>
  <c r="BE474" i="1"/>
  <c r="BB477" i="1"/>
  <c r="BA485" i="1"/>
  <c r="CK462" i="1"/>
  <c r="BW478" i="1"/>
  <c r="BS504" i="1"/>
  <c r="CN501" i="1"/>
  <c r="BW470" i="1"/>
  <c r="AY480" i="1"/>
  <c r="AZ468" i="1"/>
  <c r="CG489" i="1"/>
  <c r="CG477" i="1"/>
  <c r="CI474" i="1"/>
  <c r="CE481" i="1"/>
  <c r="CL462" i="1"/>
  <c r="BD481" i="1"/>
  <c r="CA487" i="1"/>
  <c r="BY469" i="1"/>
  <c r="BK477" i="1"/>
  <c r="BP484" i="1"/>
  <c r="AX462" i="1"/>
  <c r="CE502" i="1"/>
  <c r="CJ464" i="1"/>
  <c r="BK480" i="1"/>
  <c r="BP482" i="1"/>
  <c r="BW479" i="1"/>
  <c r="CA498" i="1"/>
  <c r="CE501" i="1"/>
  <c r="CF490" i="1"/>
  <c r="BZ464" i="1"/>
  <c r="AW462" i="1"/>
  <c r="BR485" i="1"/>
  <c r="BK495" i="1"/>
  <c r="BZ481" i="1"/>
  <c r="CA503" i="1"/>
  <c r="CL502" i="1"/>
  <c r="AY466" i="1"/>
  <c r="BT486" i="1"/>
  <c r="BT494" i="1"/>
  <c r="AW468" i="1"/>
  <c r="CD487" i="1"/>
  <c r="CD474" i="1"/>
  <c r="AY475" i="1"/>
  <c r="BW487" i="1"/>
  <c r="CD482" i="1"/>
  <c r="BN491" i="1"/>
  <c r="CH495" i="1"/>
  <c r="BL485" i="1"/>
  <c r="CN480" i="1"/>
  <c r="CC462" i="1"/>
  <c r="BJ481" i="1"/>
  <c r="BY483" i="1"/>
  <c r="BH469" i="1"/>
  <c r="BN494" i="1"/>
  <c r="BJ469" i="1"/>
  <c r="CN462" i="1"/>
  <c r="BO502" i="1"/>
  <c r="BB491" i="1"/>
  <c r="BA503" i="1"/>
  <c r="BU494" i="1"/>
  <c r="BN483" i="1"/>
  <c r="BV469" i="1"/>
  <c r="BE466" i="1"/>
  <c r="BH496" i="1"/>
  <c r="AZ505" i="1"/>
  <c r="BM473" i="1"/>
  <c r="BP476" i="1"/>
  <c r="CB469" i="1"/>
  <c r="BQ473" i="1"/>
  <c r="BR486" i="1"/>
  <c r="CM505" i="1"/>
  <c r="CN479" i="1"/>
  <c r="AY494" i="1"/>
  <c r="CC470" i="1"/>
  <c r="BI496" i="1"/>
  <c r="BH478" i="1"/>
  <c r="CN493" i="1"/>
  <c r="CK474" i="1"/>
  <c r="BT463" i="1"/>
  <c r="CD465" i="1"/>
  <c r="AZ497" i="1"/>
  <c r="CL503" i="1"/>
  <c r="BY465" i="1"/>
  <c r="BX482" i="1"/>
  <c r="BE501" i="1"/>
  <c r="CE470" i="1"/>
  <c r="BM491" i="1"/>
  <c r="BF481" i="1"/>
  <c r="BI472" i="1"/>
  <c r="CC494" i="1"/>
  <c r="BW492" i="1"/>
  <c r="BO483" i="1"/>
  <c r="BK491" i="1"/>
  <c r="BM494" i="1"/>
  <c r="CN483" i="1"/>
  <c r="BV487" i="1"/>
  <c r="BU490" i="1"/>
  <c r="BU480" i="1"/>
  <c r="CE475" i="1"/>
  <c r="CB486" i="1"/>
  <c r="CF472" i="1"/>
  <c r="BL480" i="1"/>
  <c r="AW500" i="1"/>
  <c r="BV501" i="1"/>
  <c r="BX487" i="1"/>
  <c r="BS470" i="1"/>
  <c r="BT476" i="1"/>
  <c r="CK501" i="1"/>
  <c r="BS468" i="1"/>
  <c r="BZ472" i="1"/>
  <c r="BA499" i="1"/>
  <c r="BC470" i="1"/>
  <c r="CK505" i="1"/>
  <c r="BQ467" i="1"/>
  <c r="CE465" i="1"/>
  <c r="CC477" i="1"/>
  <c r="CH497" i="1"/>
  <c r="CA494" i="1"/>
  <c r="BI493" i="1"/>
  <c r="BJ470" i="1"/>
  <c r="CI467" i="1"/>
  <c r="AY463" i="1"/>
  <c r="BV474" i="1"/>
  <c r="CH473" i="1"/>
  <c r="BJ489" i="1"/>
  <c r="BB462" i="1"/>
  <c r="CE466" i="1"/>
  <c r="CC505" i="1"/>
  <c r="BJ472" i="1"/>
  <c r="BQ475" i="1"/>
  <c r="CK467" i="1"/>
  <c r="BI475" i="1"/>
  <c r="AZ472" i="1"/>
  <c r="BU488" i="1"/>
  <c r="BD468" i="1"/>
  <c r="BN479" i="1"/>
  <c r="CM466" i="1"/>
  <c r="BI494" i="1"/>
  <c r="CM481" i="1"/>
  <c r="AZ488" i="1"/>
  <c r="BJ499" i="1"/>
  <c r="CG464" i="1"/>
  <c r="CB481" i="1"/>
  <c r="BA482" i="1"/>
  <c r="BI481" i="1"/>
  <c r="BG504" i="1"/>
  <c r="BL492" i="1"/>
  <c r="CN499" i="1"/>
  <c r="BQ498" i="1"/>
  <c r="BD483" i="1"/>
  <c r="BV486" i="1"/>
  <c r="BE464" i="1"/>
  <c r="BD466" i="1"/>
  <c r="CA472" i="1"/>
  <c r="BA505" i="1"/>
  <c r="CM498" i="1"/>
  <c r="BN467" i="1"/>
  <c r="BQ489" i="1"/>
  <c r="BU482" i="1"/>
  <c r="BS465" i="1"/>
  <c r="BT462" i="1"/>
  <c r="BM474" i="1"/>
  <c r="CC480" i="1"/>
  <c r="CN468" i="1"/>
  <c r="BG463" i="1"/>
  <c r="BP505" i="1"/>
  <c r="CF481" i="1"/>
  <c r="BC492" i="1"/>
  <c r="CC471" i="1"/>
  <c r="BS488" i="1"/>
  <c r="CL472" i="1"/>
  <c r="BY471" i="1"/>
  <c r="BN499" i="1"/>
  <c r="CF464" i="1"/>
  <c r="BG471" i="1"/>
  <c r="BQ487" i="1"/>
  <c r="BQ505" i="1"/>
  <c r="BG492" i="1"/>
  <c r="BJ462" i="1"/>
  <c r="BJ480" i="1"/>
  <c r="BF472" i="1"/>
  <c r="CI472" i="1"/>
  <c r="CM462" i="1"/>
  <c r="CG503" i="1"/>
  <c r="BT474" i="1"/>
  <c r="BK502" i="1"/>
  <c r="BY490" i="1"/>
  <c r="CL476" i="1"/>
  <c r="BH495" i="1"/>
  <c r="BZ487" i="1"/>
  <c r="BS494" i="1"/>
  <c r="AZ476" i="1"/>
  <c r="AY490" i="1"/>
  <c r="BI487" i="1"/>
  <c r="BC490" i="1"/>
  <c r="BN475" i="1"/>
  <c r="CN495" i="1"/>
  <c r="CA463" i="1"/>
  <c r="CA492" i="1"/>
  <c r="BU466" i="1"/>
  <c r="BB478" i="1"/>
  <c r="CE476" i="1"/>
  <c r="BB482" i="1"/>
  <c r="AX497" i="1"/>
  <c r="BD487" i="1"/>
  <c r="BS469" i="1"/>
  <c r="BW468" i="1"/>
  <c r="BH468" i="1"/>
  <c r="BI486" i="1"/>
  <c r="BL489" i="1"/>
  <c r="BE498" i="1"/>
  <c r="CE467" i="1"/>
  <c r="CN498" i="1"/>
  <c r="CE494" i="1"/>
  <c r="CD502" i="1"/>
  <c r="CK476" i="1"/>
  <c r="CD497" i="1"/>
  <c r="CG467" i="1"/>
  <c r="BE476" i="1"/>
  <c r="BK462" i="1"/>
  <c r="BX501" i="1"/>
  <c r="AW496" i="1"/>
  <c r="BO480" i="1"/>
  <c r="CF484" i="1"/>
  <c r="BL503" i="1"/>
  <c r="BQ481" i="1"/>
  <c r="BU492" i="1"/>
  <c r="BG503" i="1"/>
  <c r="BV481" i="1"/>
  <c r="BB500" i="1"/>
  <c r="CM463" i="1"/>
  <c r="BF466" i="1"/>
  <c r="BO470" i="1"/>
  <c r="CC489" i="1"/>
  <c r="BC478" i="1"/>
  <c r="BJ496" i="1"/>
  <c r="BY503" i="1"/>
  <c r="BF502" i="1"/>
  <c r="CE496" i="1"/>
  <c r="AX487" i="1"/>
  <c r="BU491" i="1"/>
  <c r="BM487" i="1"/>
  <c r="CA501" i="1"/>
  <c r="BS464" i="1"/>
  <c r="BH497" i="1"/>
  <c r="BT488" i="1"/>
  <c r="BL463" i="1"/>
  <c r="BX464" i="1"/>
  <c r="BW503" i="1"/>
  <c r="BT477" i="1"/>
  <c r="BH467" i="1"/>
  <c r="CL466" i="1"/>
  <c r="BG494" i="1"/>
  <c r="BO484" i="1"/>
  <c r="BJ466" i="1"/>
  <c r="BC501" i="1"/>
  <c r="BZ468" i="1"/>
  <c r="AW473" i="1"/>
  <c r="BU463" i="1"/>
  <c r="BK463" i="1"/>
  <c r="AW605" i="1" l="1" a="1"/>
  <c r="AW558" i="1" a="1"/>
  <c r="AW117" i="1" a="1"/>
  <c r="BF606" i="1"/>
  <c r="BF614" i="1"/>
  <c r="BF613" i="1"/>
  <c r="BG613" i="1"/>
  <c r="AW614" i="1"/>
  <c r="AX614" i="1"/>
  <c r="AX613" i="1"/>
  <c r="AX612" i="1"/>
  <c r="AX611" i="1"/>
  <c r="BD615" i="1"/>
  <c r="BF568" i="1"/>
  <c r="BG581" i="1"/>
  <c r="AW595" i="1"/>
  <c r="BA562" i="1"/>
  <c r="BB575" i="1"/>
  <c r="BC588" i="1"/>
  <c r="BD601" i="1"/>
  <c r="AX570" i="1"/>
  <c r="AY583" i="1"/>
  <c r="AZ596" i="1"/>
  <c r="BF581" i="1"/>
  <c r="BE564" i="1"/>
  <c r="BF577" i="1"/>
  <c r="BG590" i="1"/>
  <c r="AZ558" i="1"/>
  <c r="BA571" i="1"/>
  <c r="BB584" i="1"/>
  <c r="BC597" i="1"/>
  <c r="BG564" i="1"/>
  <c r="AW578" i="1"/>
  <c r="AX591" i="1"/>
  <c r="BC559" i="1"/>
  <c r="BD572" i="1"/>
  <c r="BE585" i="1"/>
  <c r="BF598" i="1"/>
  <c r="AZ567" i="1"/>
  <c r="BA580" i="1"/>
  <c r="BB593" i="1"/>
  <c r="BE593" i="1"/>
  <c r="AW563" i="1"/>
  <c r="AX576" i="1"/>
  <c r="AY589" i="1"/>
  <c r="AW561" i="1"/>
  <c r="BE558" i="1"/>
  <c r="BF571" i="1"/>
  <c r="BG584" i="1"/>
  <c r="AW598" i="1"/>
  <c r="AY575" i="1"/>
  <c r="BD592" i="1"/>
  <c r="BD579" i="1"/>
  <c r="BG606" i="1"/>
  <c r="BG615" i="1"/>
  <c r="BG614" i="1"/>
  <c r="BG612" i="1"/>
  <c r="BG611" i="1"/>
  <c r="BG610" i="1"/>
  <c r="AW605" i="1"/>
  <c r="AX605" i="1"/>
  <c r="AY605" i="1"/>
  <c r="AZ605" i="1"/>
  <c r="BA605" i="1"/>
  <c r="BB605" i="1"/>
  <c r="BC605" i="1"/>
  <c r="BD605" i="1"/>
  <c r="BE605" i="1"/>
  <c r="BF605" i="1"/>
  <c r="BG605" i="1"/>
  <c r="AW606" i="1"/>
  <c r="AX606" i="1"/>
  <c r="AY606" i="1"/>
  <c r="AZ606" i="1"/>
  <c r="BA606" i="1"/>
  <c r="BB606" i="1"/>
  <c r="BC606" i="1"/>
  <c r="BD606" i="1"/>
  <c r="BE606" i="1"/>
  <c r="AW607" i="1"/>
  <c r="AX607" i="1"/>
  <c r="AY607" i="1"/>
  <c r="AZ607" i="1"/>
  <c r="BA607" i="1"/>
  <c r="BB607" i="1"/>
  <c r="BC607" i="1"/>
  <c r="BD607" i="1"/>
  <c r="BE607" i="1"/>
  <c r="BF607" i="1"/>
  <c r="BG607" i="1"/>
  <c r="AW608" i="1"/>
  <c r="AX608" i="1"/>
  <c r="AY608" i="1"/>
  <c r="AZ608" i="1"/>
  <c r="BA608" i="1"/>
  <c r="BB608" i="1"/>
  <c r="BC608" i="1"/>
  <c r="BD608" i="1"/>
  <c r="BE608" i="1"/>
  <c r="BF608" i="1"/>
  <c r="BG608" i="1"/>
  <c r="AW609" i="1"/>
  <c r="AX609" i="1"/>
  <c r="AY609" i="1"/>
  <c r="AZ609" i="1"/>
  <c r="BA609" i="1"/>
  <c r="BB609" i="1"/>
  <c r="BC609" i="1"/>
  <c r="BD609" i="1"/>
  <c r="BE609" i="1"/>
  <c r="BF609" i="1"/>
  <c r="BG609" i="1"/>
  <c r="AW610" i="1"/>
  <c r="AX610" i="1"/>
  <c r="AY610" i="1"/>
  <c r="AZ610" i="1"/>
  <c r="BA610" i="1"/>
  <c r="BB610" i="1"/>
  <c r="BC610" i="1"/>
  <c r="BD610" i="1"/>
  <c r="BE610" i="1"/>
  <c r="BF610" i="1"/>
  <c r="AW611" i="1"/>
  <c r="AY611" i="1"/>
  <c r="AZ611" i="1"/>
  <c r="BA611" i="1"/>
  <c r="BB611" i="1"/>
  <c r="BC611" i="1"/>
  <c r="BD611" i="1"/>
  <c r="BE611" i="1"/>
  <c r="BF611" i="1"/>
  <c r="AW612" i="1"/>
  <c r="AY612" i="1"/>
  <c r="AZ612" i="1"/>
  <c r="BA612" i="1"/>
  <c r="BB612" i="1"/>
  <c r="BC612" i="1"/>
  <c r="BD612" i="1"/>
  <c r="BE612" i="1"/>
  <c r="BF612" i="1"/>
  <c r="AW613" i="1"/>
  <c r="AY613" i="1"/>
  <c r="AZ613" i="1"/>
  <c r="BA613" i="1"/>
  <c r="BB613" i="1"/>
  <c r="BC613" i="1"/>
  <c r="BD613" i="1"/>
  <c r="BE613" i="1"/>
  <c r="AY614" i="1"/>
  <c r="AZ614" i="1"/>
  <c r="BA614" i="1"/>
  <c r="BB614" i="1"/>
  <c r="BC614" i="1"/>
  <c r="BD614" i="1"/>
  <c r="BE614" i="1"/>
  <c r="AW615" i="1"/>
  <c r="AX615" i="1"/>
  <c r="AY615" i="1"/>
  <c r="AZ615" i="1"/>
  <c r="BA615" i="1"/>
  <c r="BB615" i="1"/>
  <c r="BC615" i="1"/>
  <c r="BE615" i="1"/>
  <c r="BF615" i="1"/>
  <c r="AW618" i="1" a="1"/>
  <c r="BC626" i="1"/>
  <c r="AW645" i="1"/>
  <c r="BA638" i="1"/>
  <c r="BF656" i="1"/>
  <c r="BE643" i="1"/>
  <c r="BD630" i="1"/>
  <c r="BD651" i="1"/>
  <c r="BF654" i="1"/>
  <c r="BC627" i="1"/>
  <c r="BD641" i="1"/>
  <c r="BF657" i="1"/>
  <c r="BE644" i="1"/>
  <c r="BD631" i="1"/>
  <c r="BC618" i="1"/>
  <c r="AW621" i="1"/>
  <c r="BE657" i="1"/>
  <c r="BD644" i="1"/>
  <c r="BC631" i="1"/>
  <c r="BB618" i="1"/>
  <c r="BG648" i="1"/>
  <c r="BF635" i="1"/>
  <c r="BE622" i="1"/>
  <c r="AZ654" i="1"/>
  <c r="AY641" i="1"/>
  <c r="AX628" i="1"/>
  <c r="BD659" i="1"/>
  <c r="BC646" i="1"/>
  <c r="BB633" i="1"/>
  <c r="BA620" i="1"/>
  <c r="BG651" i="1"/>
  <c r="BF638" i="1"/>
  <c r="BE625" i="1"/>
  <c r="BF641" i="1"/>
  <c r="AY656" i="1"/>
  <c r="AX643" i="1"/>
  <c r="AW630" i="1"/>
  <c r="AX657" i="1"/>
  <c r="AW655" i="1"/>
  <c r="BG641" i="1"/>
  <c r="BF628" i="1"/>
  <c r="BB625" i="1"/>
  <c r="BE641" i="1"/>
  <c r="AY636" i="1"/>
  <c r="BE655" i="1"/>
  <c r="BD642" i="1"/>
  <c r="BC629" i="1"/>
  <c r="BA648" i="1"/>
  <c r="BC651" i="1"/>
  <c r="BB626" i="1"/>
  <c r="BB639" i="1"/>
  <c r="BE656" i="1"/>
  <c r="BD643" i="1"/>
  <c r="BC630" i="1"/>
  <c r="BB649" i="1"/>
  <c r="AX659" i="1"/>
  <c r="BD656" i="1"/>
  <c r="BC643" i="1"/>
  <c r="BB630" i="1"/>
  <c r="BG660" i="1"/>
  <c r="BF647" i="1"/>
  <c r="BE634" i="1"/>
  <c r="BD621" i="1"/>
  <c r="AY653" i="1"/>
  <c r="AX640" i="1"/>
  <c r="AW627" i="1"/>
  <c r="BC658" i="1"/>
  <c r="BB645" i="1"/>
  <c r="BA632" i="1"/>
  <c r="AZ619" i="1"/>
  <c r="BF650" i="1"/>
  <c r="BE637" i="1"/>
  <c r="BD624" i="1"/>
  <c r="BC638" i="1"/>
  <c r="AX655" i="1"/>
  <c r="AW642" i="1"/>
  <c r="BG628" i="1"/>
  <c r="BE652" i="1"/>
  <c r="BG653" i="1"/>
  <c r="BF640" i="1"/>
  <c r="BE627" i="1"/>
  <c r="BG569" i="1"/>
  <c r="AW583" i="1"/>
  <c r="AX596" i="1"/>
  <c r="BB563" i="1"/>
  <c r="BC576" i="1"/>
  <c r="BD589" i="1"/>
  <c r="AX558" i="1"/>
  <c r="AY571" i="1"/>
  <c r="AZ584" i="1"/>
  <c r="BA597" i="1"/>
  <c r="AX585" i="1"/>
  <c r="BF565" i="1"/>
  <c r="BG578" i="1"/>
  <c r="AW592" i="1"/>
  <c r="BA559" i="1"/>
  <c r="BB572" i="1"/>
  <c r="BC585" i="1"/>
  <c r="BD598" i="1"/>
  <c r="AW566" i="1"/>
  <c r="AX579" i="1"/>
  <c r="AY592" i="1"/>
  <c r="BD560" i="1"/>
  <c r="BE573" i="1"/>
  <c r="BF586" i="1"/>
  <c r="BG599" i="1"/>
  <c r="BA568" i="1"/>
  <c r="BB581" i="1"/>
  <c r="BC594" i="1"/>
  <c r="BG595" i="1"/>
  <c r="AX564" i="1"/>
  <c r="AY577" i="1"/>
  <c r="AZ590" i="1"/>
  <c r="BB590" i="1"/>
  <c r="BF559" i="1"/>
  <c r="BG572" i="1"/>
  <c r="AW586" i="1"/>
  <c r="AX599" i="1"/>
  <c r="AZ576" i="1"/>
  <c r="BF594" i="1"/>
  <c r="BG582" i="1"/>
  <c r="BG629" i="1"/>
  <c r="AW643" i="1"/>
  <c r="AX656" i="1"/>
  <c r="AW618" i="1"/>
  <c r="AX631" i="1"/>
  <c r="AY644" i="1"/>
  <c r="AZ657" i="1"/>
  <c r="AW644" i="1"/>
  <c r="BF626" i="1"/>
  <c r="BG639" i="1"/>
  <c r="AW653" i="1"/>
  <c r="BB621" i="1"/>
  <c r="BC634" i="1"/>
  <c r="BD647" i="1"/>
  <c r="BE660" i="1"/>
  <c r="AY629" i="1"/>
  <c r="AZ642" i="1"/>
  <c r="BA655" i="1"/>
  <c r="BF623" i="1"/>
  <c r="BG636" i="1"/>
  <c r="AW650" i="1"/>
  <c r="BC619" i="1"/>
  <c r="BD632" i="1"/>
  <c r="BE645" i="1"/>
  <c r="BF658" i="1"/>
  <c r="BD628" i="1"/>
  <c r="BD619" i="1"/>
  <c r="BE632" i="1"/>
  <c r="BF645" i="1"/>
  <c r="BG658" i="1"/>
  <c r="BG644" i="1"/>
  <c r="BE629" i="1"/>
  <c r="AW657" i="1"/>
  <c r="BD618" i="1"/>
  <c r="BE631" i="1"/>
  <c r="BF644" i="1"/>
  <c r="BG657" i="1"/>
  <c r="BC640" i="1"/>
  <c r="AY647" i="1"/>
  <c r="BD627" i="1"/>
  <c r="AW571" i="1"/>
  <c r="AX584" i="1"/>
  <c r="AY597" i="1"/>
  <c r="BC564" i="1"/>
  <c r="BD577" i="1"/>
  <c r="BE590" i="1"/>
  <c r="AY559" i="1"/>
  <c r="AZ572" i="1"/>
  <c r="BA585" i="1"/>
  <c r="BB598" i="1"/>
  <c r="BB589" i="1"/>
  <c r="BG566" i="1"/>
  <c r="AW580" i="1"/>
  <c r="AX593" i="1"/>
  <c r="BB560" i="1"/>
  <c r="BC573" i="1"/>
  <c r="BD586" i="1"/>
  <c r="BE599" i="1"/>
  <c r="AX567" i="1"/>
  <c r="AY580" i="1"/>
  <c r="AZ593" i="1"/>
  <c r="BE561" i="1"/>
  <c r="BF574" i="1"/>
  <c r="BG587" i="1"/>
  <c r="AW601" i="1"/>
  <c r="BB569" i="1"/>
  <c r="BC582" i="1"/>
  <c r="BD595" i="1"/>
  <c r="AX598" i="1"/>
  <c r="AY565" i="1"/>
  <c r="AZ578" i="1"/>
  <c r="BA591" i="1"/>
  <c r="BG558" i="1"/>
  <c r="BG560" i="1"/>
  <c r="AW574" i="1"/>
  <c r="AX587" i="1"/>
  <c r="AY600" i="1"/>
  <c r="BA577" i="1"/>
  <c r="AW597" i="1"/>
  <c r="AY586" i="1"/>
  <c r="AW631" i="1"/>
  <c r="AX644" i="1"/>
  <c r="AY657" i="1"/>
  <c r="AX619" i="1"/>
  <c r="AY632" i="1"/>
  <c r="AZ645" i="1"/>
  <c r="BA658" i="1"/>
  <c r="AZ647" i="1"/>
  <c r="BG627" i="1"/>
  <c r="AW641" i="1"/>
  <c r="AX654" i="1"/>
  <c r="BC622" i="1"/>
  <c r="BD635" i="1"/>
  <c r="BE648" i="1"/>
  <c r="BF661" i="1"/>
  <c r="AZ630" i="1"/>
  <c r="BA643" i="1"/>
  <c r="BB656" i="1"/>
  <c r="BG624" i="1"/>
  <c r="AW638" i="1"/>
  <c r="AX651" i="1"/>
  <c r="BD620" i="1"/>
  <c r="BE633" i="1"/>
  <c r="BF646" i="1"/>
  <c r="BG659" i="1"/>
  <c r="AW633" i="1"/>
  <c r="BE620" i="1"/>
  <c r="BF633" i="1"/>
  <c r="BG646" i="1"/>
  <c r="AW660" i="1"/>
  <c r="AX647" i="1"/>
  <c r="BF630" i="1"/>
  <c r="AZ660" i="1"/>
  <c r="BE619" i="1"/>
  <c r="BF632" i="1"/>
  <c r="BG645" i="1"/>
  <c r="AW659" i="1"/>
  <c r="BF643" i="1"/>
  <c r="BB650" i="1"/>
  <c r="BG654" i="1"/>
  <c r="AW559" i="1"/>
  <c r="AX572" i="1"/>
  <c r="AY585" i="1"/>
  <c r="AZ598" i="1"/>
  <c r="BD565" i="1"/>
  <c r="BE578" i="1"/>
  <c r="BF591" i="1"/>
  <c r="AZ560" i="1"/>
  <c r="BA573" i="1"/>
  <c r="BB586" i="1"/>
  <c r="BC599" i="1"/>
  <c r="BE592" i="1"/>
  <c r="AW568" i="1"/>
  <c r="AX581" i="1"/>
  <c r="AY594" i="1"/>
  <c r="BC561" i="1"/>
  <c r="BD574" i="1"/>
  <c r="BE587" i="1"/>
  <c r="BF600" i="1"/>
  <c r="AY568" i="1"/>
  <c r="AZ581" i="1"/>
  <c r="BA594" i="1"/>
  <c r="BF562" i="1"/>
  <c r="BG575" i="1"/>
  <c r="AW589" i="1"/>
  <c r="BA565" i="1"/>
  <c r="BC570" i="1"/>
  <c r="BD583" i="1"/>
  <c r="BE596" i="1"/>
  <c r="BA601" i="1"/>
  <c r="AZ566" i="1"/>
  <c r="BA579" i="1"/>
  <c r="BB592" i="1"/>
  <c r="BD567" i="1"/>
  <c r="AW562" i="1"/>
  <c r="AX575" i="1"/>
  <c r="AY588" i="1"/>
  <c r="AZ601" i="1"/>
  <c r="BC579" i="1"/>
  <c r="AY599" i="1"/>
  <c r="BC590" i="1"/>
  <c r="AY621" i="1"/>
  <c r="AZ634" i="1"/>
  <c r="BA647" i="1"/>
  <c r="BB660" i="1"/>
  <c r="BA622" i="1"/>
  <c r="BB635" i="1"/>
  <c r="BC648" i="1"/>
  <c r="BD661" i="1"/>
  <c r="AX618" i="1"/>
  <c r="AY631" i="1"/>
  <c r="AZ644" i="1"/>
  <c r="BA657" i="1"/>
  <c r="BF625" i="1"/>
  <c r="BG638" i="1"/>
  <c r="AW652" i="1"/>
  <c r="BB620" i="1"/>
  <c r="BC633" i="1"/>
  <c r="BD646" i="1"/>
  <c r="BE659" i="1"/>
  <c r="AY628" i="1"/>
  <c r="AZ641" i="1"/>
  <c r="BA654" i="1"/>
  <c r="BG623" i="1"/>
  <c r="AW637" i="1"/>
  <c r="AX650" i="1"/>
  <c r="AY624" i="1"/>
  <c r="BG643" i="1"/>
  <c r="AW624" i="1"/>
  <c r="AX637" i="1"/>
  <c r="AY650" i="1"/>
  <c r="AX623" i="1"/>
  <c r="BF655" i="1"/>
  <c r="AZ636" i="1"/>
  <c r="BG630" i="1"/>
  <c r="AW623" i="1"/>
  <c r="AX636" i="1"/>
  <c r="AY649" i="1"/>
  <c r="BE618" i="1"/>
  <c r="BB651" i="1"/>
  <c r="AY659" i="1"/>
  <c r="BA660" i="1"/>
  <c r="AZ562" i="1"/>
  <c r="BA575" i="1"/>
  <c r="BB588" i="1"/>
  <c r="BC601" i="1"/>
  <c r="BG568" i="1"/>
  <c r="AW582" i="1"/>
  <c r="AX595" i="1"/>
  <c r="BC563" i="1"/>
  <c r="BD576" i="1"/>
  <c r="BE589" i="1"/>
  <c r="AX562" i="1"/>
  <c r="AY558" i="1"/>
  <c r="AZ571" i="1"/>
  <c r="BA584" i="1"/>
  <c r="BB597" i="1"/>
  <c r="BF564" i="1"/>
  <c r="BG577" i="1"/>
  <c r="AW591" i="1"/>
  <c r="BA558" i="1"/>
  <c r="BB571" i="1"/>
  <c r="BC584" i="1"/>
  <c r="BD597" i="1"/>
  <c r="AX566" i="1"/>
  <c r="AY579" i="1"/>
  <c r="AZ592" i="1"/>
  <c r="BE560" i="1"/>
  <c r="BF573" i="1"/>
  <c r="BG586" i="1"/>
  <c r="AW600" i="1"/>
  <c r="AZ587" i="1"/>
  <c r="BC569" i="1"/>
  <c r="BD582" i="1"/>
  <c r="BE595" i="1"/>
  <c r="BE580" i="1"/>
  <c r="AZ565" i="1"/>
  <c r="BA578" i="1"/>
  <c r="BB591" i="1"/>
  <c r="BD568" i="1"/>
  <c r="BF582" i="1"/>
  <c r="BA564" i="1"/>
  <c r="BA600" i="1"/>
  <c r="AZ622" i="1"/>
  <c r="BA635" i="1"/>
  <c r="BB648" i="1"/>
  <c r="BC661" i="1"/>
  <c r="BB623" i="1"/>
  <c r="BC636" i="1"/>
  <c r="BD649" i="1"/>
  <c r="AX622" i="1"/>
  <c r="AY619" i="1"/>
  <c r="AZ632" i="1"/>
  <c r="BA645" i="1"/>
  <c r="BB658" i="1"/>
  <c r="BG626" i="1"/>
  <c r="AW640" i="1"/>
  <c r="AX653" i="1"/>
  <c r="BC621" i="1"/>
  <c r="BD634" i="1"/>
  <c r="BE647" i="1"/>
  <c r="BF660" i="1"/>
  <c r="AZ629" i="1"/>
  <c r="BA642" i="1"/>
  <c r="BB655" i="1"/>
  <c r="AW625" i="1"/>
  <c r="AX638" i="1"/>
  <c r="AY651" i="1"/>
  <c r="BD629" i="1"/>
  <c r="AZ648" i="1"/>
  <c r="AX625" i="1"/>
  <c r="AY638" i="1"/>
  <c r="AZ651" i="1"/>
  <c r="BA626" i="1"/>
  <c r="AW658" i="1"/>
  <c r="BB638" i="1"/>
  <c r="AW632" i="1"/>
  <c r="AX624" i="1"/>
  <c r="AY637" i="1"/>
  <c r="AZ650" i="1"/>
  <c r="AW622" i="1"/>
  <c r="BE654" i="1"/>
  <c r="BA661" i="1"/>
  <c r="BB661" i="1"/>
  <c r="BA563" i="1"/>
  <c r="BB576" i="1"/>
  <c r="BC589" i="1"/>
  <c r="AZ563" i="1"/>
  <c r="AW570" i="1"/>
  <c r="AX583" i="1"/>
  <c r="AY596" i="1"/>
  <c r="BD564" i="1"/>
  <c r="BE577" i="1"/>
  <c r="BF590" i="1"/>
  <c r="AW560" i="1"/>
  <c r="AZ559" i="1"/>
  <c r="BA572" i="1"/>
  <c r="BB585" i="1"/>
  <c r="BC598" i="1"/>
  <c r="BG565" i="1"/>
  <c r="AW579" i="1"/>
  <c r="AX592" i="1"/>
  <c r="BB559" i="1"/>
  <c r="BC572" i="1"/>
  <c r="BD585" i="1"/>
  <c r="BE598" i="1"/>
  <c r="AY567" i="1"/>
  <c r="AZ580" i="1"/>
  <c r="BA593" i="1"/>
  <c r="BF561" i="1"/>
  <c r="BG574" i="1"/>
  <c r="AW588" i="1"/>
  <c r="AX601" i="1"/>
  <c r="AW596" i="1"/>
  <c r="BD570" i="1"/>
  <c r="BE583" i="1"/>
  <c r="BF596" i="1"/>
  <c r="AW584" i="1"/>
  <c r="BA566" i="1"/>
  <c r="BB579" i="1"/>
  <c r="BC592" i="1"/>
  <c r="BE569" i="1"/>
  <c r="BG583" i="1"/>
  <c r="BB565" i="1"/>
  <c r="BA623" i="1"/>
  <c r="BB636" i="1"/>
  <c r="BC649" i="1"/>
  <c r="AY623" i="1"/>
  <c r="BC624" i="1"/>
  <c r="BD637" i="1"/>
  <c r="BE650" i="1"/>
  <c r="BG618" i="1"/>
  <c r="AZ620" i="1"/>
  <c r="BA633" i="1"/>
  <c r="BB646" i="1"/>
  <c r="BC659" i="1"/>
  <c r="AW628" i="1"/>
  <c r="AX641" i="1"/>
  <c r="AY654" i="1"/>
  <c r="BD622" i="1"/>
  <c r="BE635" i="1"/>
  <c r="BF648" i="1"/>
  <c r="BG661" i="1"/>
  <c r="BA630" i="1"/>
  <c r="BB643" i="1"/>
  <c r="BC656" i="1"/>
  <c r="AX626" i="1"/>
  <c r="AY639" i="1"/>
  <c r="AZ652" i="1"/>
  <c r="AX635" i="1"/>
  <c r="BD652" i="1"/>
  <c r="AY626" i="1"/>
  <c r="AZ639" i="1"/>
  <c r="BA652" i="1"/>
  <c r="BC628" i="1"/>
  <c r="AZ661" i="1"/>
  <c r="BC639" i="1"/>
  <c r="AY634" i="1"/>
  <c r="AY625" i="1"/>
  <c r="AZ638" i="1"/>
  <c r="BA651" i="1"/>
  <c r="AZ625" i="1"/>
  <c r="BG656" i="1"/>
  <c r="AY622" i="1"/>
  <c r="BB564" i="1"/>
  <c r="BC577" i="1"/>
  <c r="BD590" i="1"/>
  <c r="AW558" i="1"/>
  <c r="AX571" i="1"/>
  <c r="AY584" i="1"/>
  <c r="AZ597" i="1"/>
  <c r="BE565" i="1"/>
  <c r="BF578" i="1"/>
  <c r="BG591" i="1"/>
  <c r="BC566" i="1"/>
  <c r="BA560" i="1"/>
  <c r="BB573" i="1"/>
  <c r="BC586" i="1"/>
  <c r="BD599" i="1"/>
  <c r="AW567" i="1"/>
  <c r="AX580" i="1"/>
  <c r="AY593" i="1"/>
  <c r="BC560" i="1"/>
  <c r="BD573" i="1"/>
  <c r="BE586" i="1"/>
  <c r="BF599" i="1"/>
  <c r="AZ568" i="1"/>
  <c r="BA581" i="1"/>
  <c r="BB594" i="1"/>
  <c r="BG562" i="1"/>
  <c r="AW576" i="1"/>
  <c r="AX589" i="1"/>
  <c r="BG559" i="1"/>
  <c r="BD558" i="1"/>
  <c r="BE571" i="1"/>
  <c r="BF584" i="1"/>
  <c r="BG597" i="1"/>
  <c r="BA588" i="1"/>
  <c r="BB567" i="1"/>
  <c r="BC580" i="1"/>
  <c r="BD593" i="1"/>
  <c r="BF570" i="1"/>
  <c r="AW585" i="1"/>
  <c r="BE568" i="1"/>
  <c r="BB624" i="1"/>
  <c r="BC637" i="1"/>
  <c r="BD650" i="1"/>
  <c r="AZ623" i="1"/>
  <c r="BD625" i="1"/>
  <c r="BE638" i="1"/>
  <c r="BF651" i="1"/>
  <c r="BF629" i="1"/>
  <c r="BA621" i="1"/>
  <c r="BB634" i="1"/>
  <c r="BC647" i="1"/>
  <c r="BD660" i="1"/>
  <c r="AX629" i="1"/>
  <c r="AY642" i="1"/>
  <c r="AZ655" i="1"/>
  <c r="BE623" i="1"/>
  <c r="BF636" i="1"/>
  <c r="BG649" i="1"/>
  <c r="BA618" i="1"/>
  <c r="BB631" i="1"/>
  <c r="BC644" i="1"/>
  <c r="BD657" i="1"/>
  <c r="AY627" i="1"/>
  <c r="AZ640" i="1"/>
  <c r="BA653" i="1"/>
  <c r="BE642" i="1"/>
  <c r="AX658" i="1"/>
  <c r="AZ627" i="1"/>
  <c r="BA640" i="1"/>
  <c r="BB653" i="1"/>
  <c r="BF631" i="1"/>
  <c r="BF618" i="1"/>
  <c r="BF642" i="1"/>
  <c r="BA636" i="1"/>
  <c r="AZ626" i="1"/>
  <c r="BA639" i="1"/>
  <c r="BB652" i="1"/>
  <c r="BB627" i="1"/>
  <c r="AY660" i="1"/>
  <c r="BG642" i="1"/>
  <c r="BC565" i="1"/>
  <c r="BD578" i="1"/>
  <c r="BE591" i="1"/>
  <c r="AX559" i="1"/>
  <c r="AY572" i="1"/>
  <c r="AZ585" i="1"/>
  <c r="BA598" i="1"/>
  <c r="BF566" i="1"/>
  <c r="BG579" i="1"/>
  <c r="AW593" i="1"/>
  <c r="BG570" i="1"/>
  <c r="BB561" i="1"/>
  <c r="BC574" i="1"/>
  <c r="BD587" i="1"/>
  <c r="BE600" i="1"/>
  <c r="AX568" i="1"/>
  <c r="AY581" i="1"/>
  <c r="AZ594" i="1"/>
  <c r="BD561" i="1"/>
  <c r="BE574" i="1"/>
  <c r="BF587" i="1"/>
  <c r="BG600" i="1"/>
  <c r="BA569" i="1"/>
  <c r="BB582" i="1"/>
  <c r="BC595" i="1"/>
  <c r="AW564" i="1"/>
  <c r="AX577" i="1"/>
  <c r="AY590" i="1"/>
  <c r="BB578" i="1"/>
  <c r="BE559" i="1"/>
  <c r="BF572" i="1"/>
  <c r="BG585" i="1"/>
  <c r="AW599" i="1"/>
  <c r="BD591" i="1"/>
  <c r="BC568" i="1"/>
  <c r="BD581" i="1"/>
  <c r="BE594" i="1"/>
  <c r="BG571" i="1"/>
  <c r="AX586" i="1"/>
  <c r="BF569" i="1"/>
  <c r="BF652" i="1"/>
  <c r="BG640" i="1"/>
  <c r="BC623" i="1"/>
  <c r="AY618" i="1"/>
  <c r="BB657" i="1"/>
  <c r="AX652" i="1"/>
  <c r="BE646" i="1"/>
  <c r="BB642" i="1"/>
  <c r="BD639" i="1"/>
  <c r="BD655" i="1"/>
  <c r="BA649" i="1"/>
  <c r="BC641" i="1"/>
  <c r="AY635" i="1"/>
  <c r="BF580" i="1"/>
  <c r="BA574" i="1"/>
  <c r="AW569" i="1"/>
  <c r="BC578" i="1"/>
  <c r="BF589" i="1"/>
  <c r="BA583" i="1"/>
  <c r="BG576" i="1"/>
  <c r="BC571" i="1"/>
  <c r="AY566" i="1"/>
  <c r="BC591" i="1"/>
  <c r="AX588" i="1"/>
  <c r="BE570" i="1"/>
  <c r="AX574" i="1"/>
  <c r="AW117" i="1"/>
  <c r="BI120" i="1"/>
  <c r="BU123" i="1"/>
  <c r="CG126" i="1"/>
  <c r="BA130" i="1"/>
  <c r="BM133" i="1"/>
  <c r="BY136" i="1"/>
  <c r="CK139" i="1"/>
  <c r="AX120" i="1"/>
  <c r="BJ123" i="1"/>
  <c r="BV126" i="1"/>
  <c r="CH129" i="1"/>
  <c r="BB133" i="1"/>
  <c r="BK119" i="1"/>
  <c r="BG123" i="1"/>
  <c r="BE127" i="1"/>
  <c r="BA131" i="1"/>
  <c r="CM134" i="1"/>
  <c r="BT138" i="1"/>
  <c r="CL141" i="1"/>
  <c r="AY119" i="1"/>
  <c r="AW619" i="1"/>
  <c r="AZ658" i="1"/>
  <c r="BA646" i="1"/>
  <c r="AW629" i="1"/>
  <c r="BD623" i="1"/>
  <c r="AZ618" i="1"/>
  <c r="BC657" i="1"/>
  <c r="AY652" i="1"/>
  <c r="BG647" i="1"/>
  <c r="BF621" i="1"/>
  <c r="AX661" i="1"/>
  <c r="AX621" i="1"/>
  <c r="AW647" i="1"/>
  <c r="BE653" i="1"/>
  <c r="AZ586" i="1"/>
  <c r="BF579" i="1"/>
  <c r="BB574" i="1"/>
  <c r="AX597" i="1"/>
  <c r="AZ595" i="1"/>
  <c r="BF588" i="1"/>
  <c r="BA582" i="1"/>
  <c r="AW577" i="1"/>
  <c r="BD571" i="1"/>
  <c r="AY562" i="1"/>
  <c r="BC593" i="1"/>
  <c r="AY576" i="1"/>
  <c r="BD580" i="1"/>
  <c r="BI117" i="1"/>
  <c r="BI161" i="1" s="1"/>
  <c r="BU120" i="1"/>
  <c r="CG123" i="1"/>
  <c r="CG161" i="1" s="1"/>
  <c r="BA127" i="1"/>
  <c r="BM130" i="1"/>
  <c r="BY133" i="1"/>
  <c r="CK136" i="1"/>
  <c r="AX117" i="1"/>
  <c r="AX161" i="1" s="1"/>
  <c r="BJ120" i="1"/>
  <c r="BV123" i="1"/>
  <c r="CH126" i="1"/>
  <c r="AX620" i="1"/>
  <c r="BA659" i="1"/>
  <c r="BB647" i="1"/>
  <c r="AX630" i="1"/>
  <c r="BE624" i="1"/>
  <c r="BA619" i="1"/>
  <c r="BD658" i="1"/>
  <c r="AZ653" i="1"/>
  <c r="AW649" i="1"/>
  <c r="BG622" i="1"/>
  <c r="BF619" i="1"/>
  <c r="BE628" i="1"/>
  <c r="AX648" i="1"/>
  <c r="BG655" i="1"/>
  <c r="BA587" i="1"/>
  <c r="BG580" i="1"/>
  <c r="BC575" i="1"/>
  <c r="BB601" i="1"/>
  <c r="BA596" i="1"/>
  <c r="BG589" i="1"/>
  <c r="BB583" i="1"/>
  <c r="AX578" i="1"/>
  <c r="BE572" i="1"/>
  <c r="BA576" i="1"/>
  <c r="BD594" i="1"/>
  <c r="AZ577" i="1"/>
  <c r="BE581" i="1"/>
  <c r="BU117" i="1"/>
  <c r="BU161" i="1" s="1"/>
  <c r="CG120" i="1"/>
  <c r="BA124" i="1"/>
  <c r="BM127" i="1"/>
  <c r="BY130" i="1"/>
  <c r="CK133" i="1"/>
  <c r="BE137" i="1"/>
  <c r="BJ117" i="1"/>
  <c r="BJ161" i="1" s="1"/>
  <c r="BV120" i="1"/>
  <c r="CH123" i="1"/>
  <c r="BB127" i="1"/>
  <c r="BN130" i="1"/>
  <c r="BZ133" i="1"/>
  <c r="CM119" i="1"/>
  <c r="CK123" i="1"/>
  <c r="CG127" i="1"/>
  <c r="CE131" i="1"/>
  <c r="BV135" i="1"/>
  <c r="BC139" i="1"/>
  <c r="BR142" i="1"/>
  <c r="CA119" i="1"/>
  <c r="BY123" i="1"/>
  <c r="AX632" i="1"/>
  <c r="AY620" i="1"/>
  <c r="BB659" i="1"/>
  <c r="AX642" i="1"/>
  <c r="BE636" i="1"/>
  <c r="BA631" i="1"/>
  <c r="AW626" i="1"/>
  <c r="BE621" i="1"/>
  <c r="AW661" i="1"/>
  <c r="BG634" i="1"/>
  <c r="BA650" i="1"/>
  <c r="BF620" i="1"/>
  <c r="AX660" i="1"/>
  <c r="AY658" i="1"/>
  <c r="AX560" i="1"/>
  <c r="BA599" i="1"/>
  <c r="BG592" i="1"/>
  <c r="BC587" i="1"/>
  <c r="AX569" i="1"/>
  <c r="BD562" i="1"/>
  <c r="BG601" i="1"/>
  <c r="BB595" i="1"/>
  <c r="AX590" i="1"/>
  <c r="BE584" i="1"/>
  <c r="BA567" i="1"/>
  <c r="AX573" i="1"/>
  <c r="AZ589" i="1"/>
  <c r="AZ600" i="1"/>
  <c r="BM118" i="1"/>
  <c r="BY121" i="1"/>
  <c r="CK124" i="1"/>
  <c r="BE128" i="1"/>
  <c r="BQ131" i="1"/>
  <c r="CC134" i="1"/>
  <c r="AW138" i="1"/>
  <c r="BB118" i="1"/>
  <c r="BN121" i="1"/>
  <c r="BZ124" i="1"/>
  <c r="CL127" i="1"/>
  <c r="BF131" i="1"/>
  <c r="AY117" i="1"/>
  <c r="AY161" i="1" s="1"/>
  <c r="CM120" i="1"/>
  <c r="CI124" i="1"/>
  <c r="CG128" i="1"/>
  <c r="CC132" i="1"/>
  <c r="BQ136" i="1"/>
  <c r="AX140" i="1"/>
  <c r="BJ143" i="1"/>
  <c r="CA120" i="1"/>
  <c r="AY633" i="1"/>
  <c r="AZ621" i="1"/>
  <c r="BC660" i="1"/>
  <c r="AY643" i="1"/>
  <c r="BF637" i="1"/>
  <c r="BB632" i="1"/>
  <c r="AX627" i="1"/>
  <c r="BF622" i="1"/>
  <c r="BG620" i="1"/>
  <c r="AW636" i="1"/>
  <c r="BC652" i="1"/>
  <c r="BG621" i="1"/>
  <c r="AY661" i="1"/>
  <c r="AZ659" i="1"/>
  <c r="AY561" i="1"/>
  <c r="BB600" i="1"/>
  <c r="AW594" i="1"/>
  <c r="BD588" i="1"/>
  <c r="AY570" i="1"/>
  <c r="BE563" i="1"/>
  <c r="BB566" i="1"/>
  <c r="BC596" i="1"/>
  <c r="AY591" i="1"/>
  <c r="BF585" i="1"/>
  <c r="BB568" i="1"/>
  <c r="BB577" i="1"/>
  <c r="BA590" i="1"/>
  <c r="AX561" i="1"/>
  <c r="AZ633" i="1"/>
  <c r="BD648" i="1"/>
  <c r="BF624" i="1"/>
  <c r="AY640" i="1"/>
  <c r="BD653" i="1"/>
  <c r="AZ637" i="1"/>
  <c r="BB640" i="1"/>
  <c r="BE566" i="1"/>
  <c r="AX594" i="1"/>
  <c r="BF601" i="1"/>
  <c r="BA570" i="1"/>
  <c r="BE597" i="1"/>
  <c r="BG561" i="1"/>
  <c r="BD569" i="1"/>
  <c r="BF593" i="1"/>
  <c r="BY118" i="1"/>
  <c r="BY161" i="1" s="1"/>
  <c r="AW123" i="1"/>
  <c r="BQ128" i="1"/>
  <c r="CG132" i="1"/>
  <c r="BI138" i="1"/>
  <c r="BR119" i="1"/>
  <c r="CL124" i="1"/>
  <c r="BJ129" i="1"/>
  <c r="CL133" i="1"/>
  <c r="BW121" i="1"/>
  <c r="BW161" i="1" s="1"/>
  <c r="BS126" i="1"/>
  <c r="BA132" i="1"/>
  <c r="AY137" i="1"/>
  <c r="BN141" i="1"/>
  <c r="AY120" i="1"/>
  <c r="BW124" i="1"/>
  <c r="BU128" i="1"/>
  <c r="BQ132" i="1"/>
  <c r="BF136" i="1"/>
  <c r="CE139" i="1"/>
  <c r="AZ143" i="1"/>
  <c r="CN120" i="1"/>
  <c r="CA125" i="1"/>
  <c r="BO130" i="1"/>
  <c r="AZ135" i="1"/>
  <c r="BK139" i="1"/>
  <c r="BK143" i="1"/>
  <c r="BX146" i="1"/>
  <c r="BC625" i="1"/>
  <c r="BA634" i="1"/>
  <c r="BE649" i="1"/>
  <c r="BG625" i="1"/>
  <c r="BD645" i="1"/>
  <c r="BA637" i="1"/>
  <c r="AZ624" i="1"/>
  <c r="BC653" i="1"/>
  <c r="BF567" i="1"/>
  <c r="AY595" i="1"/>
  <c r="AY563" i="1"/>
  <c r="BF575" i="1"/>
  <c r="BC558" i="1"/>
  <c r="BG573" i="1"/>
  <c r="BE582" i="1"/>
  <c r="AY598" i="1"/>
  <c r="CK118" i="1"/>
  <c r="BI123" i="1"/>
  <c r="CC128" i="1"/>
  <c r="BA133" i="1"/>
  <c r="BU138" i="1"/>
  <c r="CD119" i="1"/>
  <c r="BF125" i="1"/>
  <c r="BV129" i="1"/>
  <c r="BF134" i="1"/>
  <c r="CM121" i="1"/>
  <c r="CI126" i="1"/>
  <c r="BO132" i="1"/>
  <c r="BL137" i="1"/>
  <c r="BZ141" i="1"/>
  <c r="BM120" i="1"/>
  <c r="CM124" i="1"/>
  <c r="CI128" i="1"/>
  <c r="CE132" i="1"/>
  <c r="BS136" i="1"/>
  <c r="AZ140" i="1"/>
  <c r="BL143" i="1"/>
  <c r="BO121" i="1"/>
  <c r="BA126" i="1"/>
  <c r="CF130" i="1"/>
  <c r="BO135" i="1"/>
  <c r="CA139" i="1"/>
  <c r="BX143" i="1"/>
  <c r="BD626" i="1"/>
  <c r="BF639" i="1"/>
  <c r="AY655" i="1"/>
  <c r="BG637" i="1"/>
  <c r="BE658" i="1"/>
  <c r="BD640" i="1"/>
  <c r="BA625" i="1"/>
  <c r="BD654" i="1"/>
  <c r="AZ573" i="1"/>
  <c r="BD600" i="1"/>
  <c r="AY569" i="1"/>
  <c r="BG588" i="1"/>
  <c r="BD559" i="1"/>
  <c r="AW575" i="1"/>
  <c r="BF583" i="1"/>
  <c r="BE119" i="1"/>
  <c r="BE161" i="1" s="1"/>
  <c r="BM124" i="1"/>
  <c r="AW129" i="1"/>
  <c r="BE134" i="1"/>
  <c r="CG138" i="1"/>
  <c r="CH120" i="1"/>
  <c r="BR125" i="1"/>
  <c r="BB130" i="1"/>
  <c r="BM117" i="1"/>
  <c r="BI122" i="1"/>
  <c r="BS127" i="1"/>
  <c r="AY133" i="1"/>
  <c r="BY137" i="1"/>
  <c r="BF142" i="1"/>
  <c r="AW121" i="1"/>
  <c r="BI125" i="1"/>
  <c r="BE129" i="1"/>
  <c r="BC133" i="1"/>
  <c r="CF136" i="1"/>
  <c r="BL140" i="1"/>
  <c r="AZ117" i="1"/>
  <c r="AZ161" i="1" s="1"/>
  <c r="CE121" i="1"/>
  <c r="BQ126" i="1"/>
  <c r="BG131" i="1"/>
  <c r="CD135" i="1"/>
  <c r="AY140" i="1"/>
  <c r="CJ143" i="1"/>
  <c r="AY645" i="1"/>
  <c r="AX633" i="1"/>
  <c r="AY630" i="1"/>
  <c r="BC645" i="1"/>
  <c r="BA629" i="1"/>
  <c r="BB629" i="1"/>
  <c r="AX646" i="1"/>
  <c r="AW646" i="1"/>
  <c r="AY573" i="1"/>
  <c r="BB599" i="1"/>
  <c r="BC562" i="1"/>
  <c r="BF576" i="1"/>
  <c r="BB558" i="1"/>
  <c r="AZ579" i="1"/>
  <c r="AW587" i="1"/>
  <c r="BF558" i="1"/>
  <c r="AW120" i="1"/>
  <c r="BQ125" i="1"/>
  <c r="CG129" i="1"/>
  <c r="BI135" i="1"/>
  <c r="BY139" i="1"/>
  <c r="CL121" i="1"/>
  <c r="BJ126" i="1"/>
  <c r="BR131" i="1"/>
  <c r="BK118" i="1"/>
  <c r="BW123" i="1"/>
  <c r="BC129" i="1"/>
  <c r="AY134" i="1"/>
  <c r="CH138" i="1"/>
  <c r="BA117" i="1"/>
  <c r="BA161" i="1" s="1"/>
  <c r="AW122" i="1"/>
  <c r="BG126" i="1"/>
  <c r="BE130" i="1"/>
  <c r="BA134" i="1"/>
  <c r="CA137" i="1"/>
  <c r="BD141" i="1"/>
  <c r="BG118" i="1"/>
  <c r="CL122" i="1"/>
  <c r="CA127" i="1"/>
  <c r="BM132" i="1"/>
  <c r="CH136" i="1"/>
  <c r="AX141" i="1"/>
  <c r="AZ646" i="1"/>
  <c r="AZ635" i="1"/>
  <c r="AZ631" i="1"/>
  <c r="AW651" i="1"/>
  <c r="BF634" i="1"/>
  <c r="BB641" i="1"/>
  <c r="BE640" i="1"/>
  <c r="AZ649" i="1"/>
  <c r="AZ574" i="1"/>
  <c r="BC600" i="1"/>
  <c r="BD563" i="1"/>
  <c r="AZ582" i="1"/>
  <c r="BG563" i="1"/>
  <c r="AZ591" i="1"/>
  <c r="AX600" i="1"/>
  <c r="BC567" i="1"/>
  <c r="BA121" i="1"/>
  <c r="CC125" i="1"/>
  <c r="CK130" i="1"/>
  <c r="BU135" i="1"/>
  <c r="BV117" i="1"/>
  <c r="BF122" i="1"/>
  <c r="BN127" i="1"/>
  <c r="CD131" i="1"/>
  <c r="CA118" i="1"/>
  <c r="BG124" i="1"/>
  <c r="BQ129" i="1"/>
  <c r="BM134" i="1"/>
  <c r="BP139" i="1"/>
  <c r="BO117" i="1"/>
  <c r="BK122" i="1"/>
  <c r="BW126" i="1"/>
  <c r="BS130" i="1"/>
  <c r="BO134" i="1"/>
  <c r="CN137" i="1"/>
  <c r="BP141" i="1"/>
  <c r="BW118" i="1"/>
  <c r="BM123" i="1"/>
  <c r="AY128" i="1"/>
  <c r="CD132" i="1"/>
  <c r="BF137" i="1"/>
  <c r="BL141" i="1"/>
  <c r="BE651" i="1"/>
  <c r="BC650" i="1"/>
  <c r="AZ643" i="1"/>
  <c r="BB619" i="1"/>
  <c r="BG635" i="1"/>
  <c r="BC642" i="1"/>
  <c r="AX645" i="1"/>
  <c r="BG619" i="1"/>
  <c r="BE579" i="1"/>
  <c r="BA561" i="1"/>
  <c r="BD575" i="1"/>
  <c r="BA595" i="1"/>
  <c r="AW565" i="1"/>
  <c r="BA592" i="1"/>
  <c r="AY601" i="1"/>
  <c r="AW573" i="1"/>
  <c r="BB637" i="1"/>
  <c r="AW656" i="1"/>
  <c r="BA644" i="1"/>
  <c r="BC620" i="1"/>
  <c r="BA641" i="1"/>
  <c r="AW648" i="1"/>
  <c r="BA627" i="1"/>
  <c r="BF653" i="1"/>
  <c r="BF592" i="1"/>
  <c r="BB562" i="1"/>
  <c r="BE576" i="1"/>
  <c r="BB596" i="1"/>
  <c r="BB570" i="1"/>
  <c r="BF597" i="1"/>
  <c r="BG594" i="1"/>
  <c r="AY587" i="1"/>
  <c r="AY646" i="1"/>
  <c r="BB622" i="1"/>
  <c r="BF649" i="1"/>
  <c r="BC632" i="1"/>
  <c r="BB654" i="1"/>
  <c r="AX649" i="1"/>
  <c r="BB628" i="1"/>
  <c r="BA624" i="1"/>
  <c r="BG593" i="1"/>
  <c r="BG567" i="1"/>
  <c r="AY582" i="1"/>
  <c r="BE562" i="1"/>
  <c r="BC583" i="1"/>
  <c r="BG598" i="1"/>
  <c r="AZ599" i="1"/>
  <c r="BA589" i="1"/>
  <c r="BE626" i="1"/>
  <c r="BC635" i="1"/>
  <c r="BG650" i="1"/>
  <c r="BD633" i="1"/>
  <c r="BC655" i="1"/>
  <c r="BC654" i="1"/>
  <c r="BG633" i="1"/>
  <c r="AY560" i="1"/>
  <c r="AW581" i="1"/>
  <c r="AZ583" i="1"/>
  <c r="BF563" i="1"/>
  <c r="BD584" i="1"/>
  <c r="AZ588" i="1"/>
  <c r="AX563" i="1"/>
  <c r="AW572" i="1"/>
  <c r="BD638" i="1"/>
  <c r="BF659" i="1"/>
  <c r="AZ561" i="1"/>
  <c r="BD596" i="1"/>
  <c r="BM121" i="1"/>
  <c r="BI129" i="1"/>
  <c r="BQ137" i="1"/>
  <c r="CD122" i="1"/>
  <c r="CL130" i="1"/>
  <c r="BI121" i="1"/>
  <c r="BQ130" i="1"/>
  <c r="CC139" i="1"/>
  <c r="BK121" i="1"/>
  <c r="CI127" i="1"/>
  <c r="AX135" i="1"/>
  <c r="CJ140" i="1"/>
  <c r="BW120" i="1"/>
  <c r="BG129" i="1"/>
  <c r="BU137" i="1"/>
  <c r="BD144" i="1"/>
  <c r="BR117" i="1"/>
  <c r="BD122" i="1"/>
  <c r="CL126" i="1"/>
  <c r="BX131" i="1"/>
  <c r="BC136" i="1"/>
  <c r="BO140" i="1"/>
  <c r="BE144" i="1"/>
  <c r="BC117" i="1"/>
  <c r="CE122" i="1"/>
  <c r="BM128" i="1"/>
  <c r="AZ134" i="1"/>
  <c r="BG139" i="1"/>
  <c r="CL143" i="1"/>
  <c r="CD147" i="1"/>
  <c r="AX151" i="1"/>
  <c r="BJ154" i="1"/>
  <c r="BV157" i="1"/>
  <c r="CH160" i="1"/>
  <c r="CH118" i="1"/>
  <c r="BR124" i="1"/>
  <c r="BF130" i="1"/>
  <c r="CA135" i="1"/>
  <c r="CE140" i="1"/>
  <c r="BC145" i="1"/>
  <c r="CE148" i="1"/>
  <c r="BL118" i="1"/>
  <c r="BL161" i="1" s="1"/>
  <c r="BN125" i="1"/>
  <c r="BF132" i="1"/>
  <c r="BS138" i="1"/>
  <c r="BF144" i="1"/>
  <c r="BY148" i="1"/>
  <c r="BQ152" i="1"/>
  <c r="AX156" i="1"/>
  <c r="BW159" i="1"/>
  <c r="BS121" i="1"/>
  <c r="BI128" i="1"/>
  <c r="CN134" i="1"/>
  <c r="AZ141" i="1"/>
  <c r="BE146" i="1"/>
  <c r="BJ150" i="1"/>
  <c r="CM153" i="1"/>
  <c r="BN120" i="1"/>
  <c r="BD127" i="1"/>
  <c r="AW134" i="1"/>
  <c r="BE140" i="1"/>
  <c r="BO145" i="1"/>
  <c r="CA149" i="1"/>
  <c r="BN153" i="1"/>
  <c r="CM156" i="1"/>
  <c r="BT160" i="1"/>
  <c r="BH123" i="1"/>
  <c r="AY130" i="1"/>
  <c r="BX136" i="1"/>
  <c r="BV142" i="1"/>
  <c r="BN147" i="1"/>
  <c r="BL151" i="1"/>
  <c r="CK154" i="1"/>
  <c r="CG122" i="1"/>
  <c r="BV127" i="1"/>
  <c r="BP137" i="1"/>
  <c r="CA145" i="1"/>
  <c r="CF151" i="1"/>
  <c r="CJ156" i="1"/>
  <c r="CD118" i="1"/>
  <c r="CD161" i="1" s="1"/>
  <c r="BI153" i="1"/>
  <c r="CF140" i="1"/>
  <c r="BR158" i="1"/>
  <c r="AW140" i="1"/>
  <c r="BC158" i="1"/>
  <c r="CJ125" i="1"/>
  <c r="CM135" i="1"/>
  <c r="BU144" i="1"/>
  <c r="CJ150" i="1"/>
  <c r="BG156" i="1"/>
  <c r="BS160" i="1"/>
  <c r="BU148" i="1"/>
  <c r="CE120" i="1"/>
  <c r="BK145" i="1"/>
  <c r="CM160" i="1"/>
  <c r="BX148" i="1"/>
  <c r="BV118" i="1"/>
  <c r="BT129" i="1"/>
  <c r="BH139" i="1"/>
  <c r="AY147" i="1"/>
  <c r="CH152" i="1"/>
  <c r="CA157" i="1"/>
  <c r="CD121" i="1"/>
  <c r="BG136" i="1"/>
  <c r="BI156" i="1"/>
  <c r="CF133" i="1"/>
  <c r="BE154" i="1"/>
  <c r="BM131" i="1"/>
  <c r="CG153" i="1"/>
  <c r="BA123" i="1"/>
  <c r="BI133" i="1"/>
  <c r="BO142" i="1"/>
  <c r="BH149" i="1"/>
  <c r="CF154" i="1"/>
  <c r="BE639" i="1"/>
  <c r="AZ628" i="1"/>
  <c r="BA586" i="1"/>
  <c r="AX565" i="1"/>
  <c r="CK121" i="1"/>
  <c r="BU129" i="1"/>
  <c r="CC137" i="1"/>
  <c r="AX123" i="1"/>
  <c r="AX132" i="1"/>
  <c r="BW122" i="1"/>
  <c r="CE130" i="1"/>
  <c r="BJ140" i="1"/>
  <c r="CA121" i="1"/>
  <c r="BG128" i="1"/>
  <c r="BK135" i="1"/>
  <c r="CB141" i="1"/>
  <c r="BC122" i="1"/>
  <c r="BY129" i="1"/>
  <c r="CJ137" i="1"/>
  <c r="BP144" i="1"/>
  <c r="CJ117" i="1"/>
  <c r="BV122" i="1"/>
  <c r="BJ127" i="1"/>
  <c r="CN131" i="1"/>
  <c r="BT136" i="1"/>
  <c r="CC140" i="1"/>
  <c r="BQ144" i="1"/>
  <c r="BW117" i="1"/>
  <c r="BE123" i="1"/>
  <c r="CK128" i="1"/>
  <c r="BT134" i="1"/>
  <c r="BX139" i="1"/>
  <c r="BH144" i="1"/>
  <c r="AX148" i="1"/>
  <c r="BJ151" i="1"/>
  <c r="BV154" i="1"/>
  <c r="CH157" i="1"/>
  <c r="BD117" i="1"/>
  <c r="BJ119" i="1"/>
  <c r="AX125" i="1"/>
  <c r="BX130" i="1"/>
  <c r="AZ136" i="1"/>
  <c r="BE141" i="1"/>
  <c r="BQ145" i="1"/>
  <c r="AY149" i="1"/>
  <c r="BA119" i="1"/>
  <c r="CM125" i="1"/>
  <c r="CB132" i="1"/>
  <c r="AY139" i="1"/>
  <c r="BW144" i="1"/>
  <c r="CM148" i="1"/>
  <c r="CD152" i="1"/>
  <c r="BK156" i="1"/>
  <c r="CJ159" i="1"/>
  <c r="AY122" i="1"/>
  <c r="CF128" i="1"/>
  <c r="BS135" i="1"/>
  <c r="BT141" i="1"/>
  <c r="BV146" i="1"/>
  <c r="BX150" i="1"/>
  <c r="BH154" i="1"/>
  <c r="CL120" i="1"/>
  <c r="CD127" i="1"/>
  <c r="BU134" i="1"/>
  <c r="BY140" i="1"/>
  <c r="CH145" i="1"/>
  <c r="AW150" i="1"/>
  <c r="CA153" i="1"/>
  <c r="BH157" i="1"/>
  <c r="CG160" i="1"/>
  <c r="CI123" i="1"/>
  <c r="BW130" i="1"/>
  <c r="BC137" i="1"/>
  <c r="AY143" i="1"/>
  <c r="CC147" i="1"/>
  <c r="BY151" i="1"/>
  <c r="BF155" i="1"/>
  <c r="BK117" i="1"/>
  <c r="BV128" i="1"/>
  <c r="BL138" i="1"/>
  <c r="BK146" i="1"/>
  <c r="BJ152" i="1"/>
  <c r="BI157" i="1"/>
  <c r="BK130" i="1"/>
  <c r="BZ154" i="1"/>
  <c r="CI142" i="1"/>
  <c r="BD159" i="1"/>
  <c r="BG142" i="1"/>
  <c r="BE159" i="1"/>
  <c r="CE126" i="1"/>
  <c r="CE136" i="1"/>
  <c r="BE145" i="1"/>
  <c r="BP151" i="1"/>
  <c r="BV156" i="1"/>
  <c r="CJ160" i="1"/>
  <c r="AZ150" i="1"/>
  <c r="CH122" i="1"/>
  <c r="BB147" i="1"/>
  <c r="BZ117" i="1"/>
  <c r="BZ161" i="1" s="1"/>
  <c r="BB150" i="1"/>
  <c r="BV119" i="1"/>
  <c r="BJ130" i="1"/>
  <c r="CJ139" i="1"/>
  <c r="BU147" i="1"/>
  <c r="BH153" i="1"/>
  <c r="AX158" i="1"/>
  <c r="CF122" i="1"/>
  <c r="BP138" i="1"/>
  <c r="BM157" i="1"/>
  <c r="BI136" i="1"/>
  <c r="BV155" i="1"/>
  <c r="CG133" i="1"/>
  <c r="BA155" i="1"/>
  <c r="AW124" i="1"/>
  <c r="BG134" i="1"/>
  <c r="BE143" i="1"/>
  <c r="CF149" i="1"/>
  <c r="BJ155" i="1"/>
  <c r="BF627" i="1"/>
  <c r="AY648" i="1"/>
  <c r="BB587" i="1"/>
  <c r="AY578" i="1"/>
  <c r="BE122" i="1"/>
  <c r="BE131" i="1"/>
  <c r="BA139" i="1"/>
  <c r="BB124" i="1"/>
  <c r="BJ132" i="1"/>
  <c r="CK122" i="1"/>
  <c r="BO131" i="1"/>
  <c r="BV140" i="1"/>
  <c r="BY122" i="1"/>
  <c r="BS129" i="1"/>
  <c r="BX135" i="1"/>
  <c r="CN141" i="1"/>
  <c r="BU122" i="1"/>
  <c r="AW130" i="1"/>
  <c r="BH138" i="1"/>
  <c r="CB144" i="1"/>
  <c r="BH118" i="1"/>
  <c r="CN122" i="1"/>
  <c r="CB127" i="1"/>
  <c r="BN132" i="1"/>
  <c r="CI136" i="1"/>
  <c r="AY141" i="1"/>
  <c r="CC144" i="1"/>
  <c r="AX118" i="1"/>
  <c r="CA123" i="1"/>
  <c r="BM129" i="1"/>
  <c r="CK134" i="1"/>
  <c r="BB140" i="1"/>
  <c r="BV144" i="1"/>
  <c r="BJ148" i="1"/>
  <c r="BV151" i="1"/>
  <c r="CH154" i="1"/>
  <c r="BB158" i="1"/>
  <c r="BX117" i="1"/>
  <c r="CF119" i="1"/>
  <c r="BP125" i="1"/>
  <c r="AZ131" i="1"/>
  <c r="BV136" i="1"/>
  <c r="BU141" i="1"/>
  <c r="CE145" i="1"/>
  <c r="BK149" i="1"/>
  <c r="BX119" i="1"/>
  <c r="BX126" i="1"/>
  <c r="BJ133" i="1"/>
  <c r="BV139" i="1"/>
  <c r="CM144" i="1"/>
  <c r="BI149" i="1"/>
  <c r="AY153" i="1"/>
  <c r="BX156" i="1"/>
  <c r="BE160" i="1"/>
  <c r="BX122" i="1"/>
  <c r="BO129" i="1"/>
  <c r="AW136" i="1"/>
  <c r="AW142" i="1"/>
  <c r="CN146" i="1"/>
  <c r="CL150" i="1"/>
  <c r="BU154" i="1"/>
  <c r="BT121" i="1"/>
  <c r="BK128" i="1"/>
  <c r="AY135" i="1"/>
  <c r="BA141" i="1"/>
  <c r="BG146" i="1"/>
  <c r="BK150" i="1"/>
  <c r="CN153" i="1"/>
  <c r="BU157" i="1"/>
  <c r="BH117" i="1"/>
  <c r="BH161" i="1" s="1"/>
  <c r="BO124" i="1"/>
  <c r="BD131" i="1"/>
  <c r="BZ137" i="1"/>
  <c r="BR143" i="1"/>
  <c r="AZ148" i="1"/>
  <c r="CL151" i="1"/>
  <c r="BS155" i="1"/>
  <c r="BI118" i="1"/>
  <c r="BK129" i="1"/>
  <c r="CM138" i="1"/>
  <c r="CI146" i="1"/>
  <c r="CB152" i="1"/>
  <c r="BY157" i="1"/>
  <c r="BX134" i="1"/>
  <c r="CK155" i="1"/>
  <c r="CE144" i="1"/>
  <c r="BH160" i="1"/>
  <c r="BB144" i="1"/>
  <c r="BI160" i="1"/>
  <c r="BW127" i="1"/>
  <c r="BR137" i="1"/>
  <c r="CB145" i="1"/>
  <c r="CG151" i="1"/>
  <c r="CL156" i="1"/>
  <c r="BW119" i="1"/>
  <c r="BR151" i="1"/>
  <c r="BV124" i="1"/>
  <c r="BW148" i="1"/>
  <c r="BM125" i="1"/>
  <c r="BT151" i="1"/>
  <c r="CB120" i="1"/>
  <c r="BJ131" i="1"/>
  <c r="CA140" i="1"/>
  <c r="BA148" i="1"/>
  <c r="CC153" i="1"/>
  <c r="BM158" i="1"/>
  <c r="BS123" i="1"/>
  <c r="CD140" i="1"/>
  <c r="BP158" i="1"/>
  <c r="CE137" i="1"/>
  <c r="AY157" i="1"/>
  <c r="BJ136" i="1"/>
  <c r="BL156" i="1"/>
  <c r="CE124" i="1"/>
  <c r="CJ134" i="1"/>
  <c r="CD143" i="1"/>
  <c r="BH150" i="1"/>
  <c r="CB155" i="1"/>
  <c r="BG652" i="1"/>
  <c r="AW620" i="1"/>
  <c r="AX582" i="1"/>
  <c r="BF560" i="1"/>
  <c r="BQ122" i="1"/>
  <c r="CC131" i="1"/>
  <c r="BM139" i="1"/>
  <c r="BN124" i="1"/>
  <c r="BV132" i="1"/>
  <c r="BU124" i="1"/>
  <c r="BO133" i="1"/>
  <c r="CH140" i="1"/>
  <c r="CM122" i="1"/>
  <c r="CI129" i="1"/>
  <c r="CK135" i="1"/>
  <c r="BH142" i="1"/>
  <c r="CC123" i="1"/>
  <c r="BW131" i="1"/>
  <c r="BY138" i="1"/>
  <c r="CN144" i="1"/>
  <c r="BX118" i="1"/>
  <c r="BX161" i="1" s="1"/>
  <c r="BN123" i="1"/>
  <c r="AZ128" i="1"/>
  <c r="CF132" i="1"/>
  <c r="BG137" i="1"/>
  <c r="BM141" i="1"/>
  <c r="AW145" i="1"/>
  <c r="BS118" i="1"/>
  <c r="BS161" i="1" s="1"/>
  <c r="BE124" i="1"/>
  <c r="CF129" i="1"/>
  <c r="BM135" i="1"/>
  <c r="BR140" i="1"/>
  <c r="CJ144" i="1"/>
  <c r="BV148" i="1"/>
  <c r="CH151" i="1"/>
  <c r="BB155" i="1"/>
  <c r="BN158" i="1"/>
  <c r="AZ118" i="1"/>
  <c r="BH120" i="1"/>
  <c r="CL125" i="1"/>
  <c r="BV131" i="1"/>
  <c r="CN136" i="1"/>
  <c r="CK141" i="1"/>
  <c r="BC146" i="1"/>
  <c r="BW149" i="1"/>
  <c r="BG120" i="1"/>
  <c r="AZ127" i="1"/>
  <c r="CH133" i="1"/>
  <c r="BC140" i="1"/>
  <c r="BM145" i="1"/>
  <c r="BX149" i="1"/>
  <c r="BL153" i="1"/>
  <c r="CK156" i="1"/>
  <c r="BR160" i="1"/>
  <c r="BD123" i="1"/>
  <c r="CM129" i="1"/>
  <c r="BU136" i="1"/>
  <c r="BS142" i="1"/>
  <c r="BL147" i="1"/>
  <c r="BI151" i="1"/>
  <c r="AW654" i="1"/>
  <c r="BA628" i="1"/>
  <c r="BE601" i="1"/>
  <c r="BB580" i="1"/>
  <c r="CC122" i="1"/>
  <c r="AW132" i="1"/>
  <c r="CH117" i="1"/>
  <c r="CD125" i="1"/>
  <c r="CH132" i="1"/>
  <c r="BG125" i="1"/>
  <c r="CC133" i="1"/>
  <c r="BB141" i="1"/>
  <c r="BK123" i="1"/>
  <c r="CG130" i="1"/>
  <c r="BA137" i="1"/>
  <c r="BT142" i="1"/>
  <c r="BC124" i="1"/>
  <c r="CM131" i="1"/>
  <c r="CN138" i="1"/>
  <c r="BH145" i="1"/>
  <c r="AZ119" i="1"/>
  <c r="CD123" i="1"/>
  <c r="BP128" i="1"/>
  <c r="BF133" i="1"/>
  <c r="BV137" i="1"/>
  <c r="CC141" i="1"/>
  <c r="BI145" i="1"/>
  <c r="CM118" i="1"/>
  <c r="CA124" i="1"/>
  <c r="BI130" i="1"/>
  <c r="CF135" i="1"/>
  <c r="CI140" i="1"/>
  <c r="BF145" i="1"/>
  <c r="CH148" i="1"/>
  <c r="BB152" i="1"/>
  <c r="BN155" i="1"/>
  <c r="BZ158" i="1"/>
  <c r="BT118" i="1"/>
  <c r="CD120" i="1"/>
  <c r="BN126" i="1"/>
  <c r="AZ132" i="1"/>
  <c r="BO137" i="1"/>
  <c r="BK142" i="1"/>
  <c r="BQ146" i="1"/>
  <c r="CI149" i="1"/>
  <c r="CJ120" i="1"/>
  <c r="CJ161" i="1" s="1"/>
  <c r="BX127" i="1"/>
  <c r="BR134" i="1"/>
  <c r="BU140" i="1"/>
  <c r="CC145" i="1"/>
  <c r="CM149" i="1"/>
  <c r="BY153" i="1"/>
  <c r="BF157" i="1"/>
  <c r="CE160" i="1"/>
  <c r="CE123" i="1"/>
  <c r="BU130" i="1"/>
  <c r="AX137" i="1"/>
  <c r="CL142" i="1"/>
  <c r="BZ147" i="1"/>
  <c r="BW151" i="1"/>
  <c r="BD636" i="1"/>
  <c r="AW634" i="1"/>
  <c r="AY574" i="1"/>
  <c r="BC581" i="1"/>
  <c r="BY124" i="1"/>
  <c r="BI132" i="1"/>
  <c r="BN118" i="1"/>
  <c r="AX126" i="1"/>
  <c r="BN133" i="1"/>
  <c r="BU125" i="1"/>
  <c r="BZ134" i="1"/>
  <c r="CD142" i="1"/>
  <c r="CM123" i="1"/>
  <c r="BC131" i="1"/>
  <c r="BN137" i="1"/>
  <c r="CF142" i="1"/>
  <c r="BS124" i="1"/>
  <c r="BE133" i="1"/>
  <c r="BN140" i="1"/>
  <c r="BT145" i="1"/>
  <c r="BP119" i="1"/>
  <c r="BD124" i="1"/>
  <c r="CJ128" i="1"/>
  <c r="BV133" i="1"/>
  <c r="CK137" i="1"/>
  <c r="AY142" i="1"/>
  <c r="BU145" i="1"/>
  <c r="BS119" i="1"/>
  <c r="BA125" i="1"/>
  <c r="CC130" i="1"/>
  <c r="BH136" i="1"/>
  <c r="BH141" i="1"/>
  <c r="BV145" i="1"/>
  <c r="BB149" i="1"/>
  <c r="BN152" i="1"/>
  <c r="BZ155" i="1"/>
  <c r="CL158" i="1"/>
  <c r="CN118" i="1"/>
  <c r="CN161" i="1" s="1"/>
  <c r="BF121" i="1"/>
  <c r="CF126" i="1"/>
  <c r="BT132" i="1"/>
  <c r="CG137" i="1"/>
  <c r="CC142" i="1"/>
  <c r="CE146" i="1"/>
  <c r="BC150" i="1"/>
  <c r="BR121" i="1"/>
  <c r="BH128" i="1"/>
  <c r="CL134" i="1"/>
  <c r="AW141" i="1"/>
  <c r="BD146" i="1"/>
  <c r="BI150" i="1"/>
  <c r="CL153" i="1"/>
  <c r="BS157" i="1"/>
  <c r="BF117" i="1"/>
  <c r="BK124" i="1"/>
  <c r="AY131" i="1"/>
  <c r="BW137" i="1"/>
  <c r="BP143" i="1"/>
  <c r="AW148" i="1"/>
  <c r="CJ151" i="1"/>
  <c r="BQ155" i="1"/>
  <c r="BF123" i="1"/>
  <c r="CN129" i="1"/>
  <c r="BW136" i="1"/>
  <c r="BU142" i="1"/>
  <c r="BM147" i="1"/>
  <c r="BK151" i="1"/>
  <c r="CJ154" i="1"/>
  <c r="BQ158" i="1"/>
  <c r="BD119" i="1"/>
  <c r="BC126" i="1"/>
  <c r="CK132" i="1"/>
  <c r="BF139" i="1"/>
  <c r="BZ144" i="1"/>
  <c r="AX149" i="1"/>
  <c r="CG152" i="1"/>
  <c r="CB118" i="1"/>
  <c r="BQ121" i="1"/>
  <c r="CJ131" i="1"/>
  <c r="BI141" i="1"/>
  <c r="BQ148" i="1"/>
  <c r="BA154" i="1"/>
  <c r="CA158" i="1"/>
  <c r="BD142" i="1"/>
  <c r="BC159" i="1"/>
  <c r="BU149" i="1"/>
  <c r="BZ123" i="1"/>
  <c r="BD149" i="1"/>
  <c r="BU119" i="1"/>
  <c r="BH130" i="1"/>
  <c r="CI139" i="1"/>
  <c r="BT147" i="1"/>
  <c r="BG153" i="1"/>
  <c r="AW158" i="1"/>
  <c r="BL135" i="1"/>
  <c r="BU155" i="1"/>
  <c r="BL130" i="1"/>
  <c r="BJ153" i="1"/>
  <c r="CE134" i="1"/>
  <c r="BW155" i="1"/>
  <c r="BR123" i="1"/>
  <c r="CB133" i="1"/>
  <c r="CE142" i="1"/>
  <c r="BS149" i="1"/>
  <c r="AX155" i="1"/>
  <c r="BQ159" i="1"/>
  <c r="BF126" i="1"/>
  <c r="BP146" i="1"/>
  <c r="CI119" i="1"/>
  <c r="BA144" i="1"/>
  <c r="BX160" i="1"/>
  <c r="CJ142" i="1"/>
  <c r="BU159" i="1"/>
  <c r="BP127" i="1"/>
  <c r="BJ137" i="1"/>
  <c r="BX145" i="1"/>
  <c r="CC151" i="1"/>
  <c r="CG156" i="1"/>
  <c r="AZ656" i="1"/>
  <c r="BG631" i="1"/>
  <c r="BE588" i="1"/>
  <c r="AY564" i="1"/>
  <c r="BE125" i="1"/>
  <c r="BU132" i="1"/>
  <c r="BZ118" i="1"/>
  <c r="BZ127" i="1"/>
  <c r="CA117" i="1"/>
  <c r="CA161" i="1" s="1"/>
  <c r="CI125" i="1"/>
  <c r="BH135" i="1"/>
  <c r="AX143" i="1"/>
  <c r="BI124" i="1"/>
  <c r="BS131" i="1"/>
  <c r="BJ138" i="1"/>
  <c r="BQ117" i="1"/>
  <c r="CJ124" i="1"/>
  <c r="BU133" i="1"/>
  <c r="CB140" i="1"/>
  <c r="CF145" i="1"/>
  <c r="CH119" i="1"/>
  <c r="BT124" i="1"/>
  <c r="BH129" i="1"/>
  <c r="CN133" i="1"/>
  <c r="BK138" i="1"/>
  <c r="BM142" i="1"/>
  <c r="CG145" i="1"/>
  <c r="CK119" i="1"/>
  <c r="BV125" i="1"/>
  <c r="BI131" i="1"/>
  <c r="BZ136" i="1"/>
  <c r="BX141" i="1"/>
  <c r="CJ145" i="1"/>
  <c r="BN149" i="1"/>
  <c r="BZ152" i="1"/>
  <c r="CL155" i="1"/>
  <c r="BF159" i="1"/>
  <c r="BT119" i="1"/>
  <c r="BT161" i="1" s="1"/>
  <c r="CB121" i="1"/>
  <c r="BL127" i="1"/>
  <c r="CN132" i="1"/>
  <c r="BF138" i="1"/>
  <c r="BC143" i="1"/>
  <c r="BA147" i="1"/>
  <c r="BO150" i="1"/>
  <c r="AX122" i="1"/>
  <c r="CE128" i="1"/>
  <c r="BR135" i="1"/>
  <c r="BS141" i="1"/>
  <c r="BU146" i="1"/>
  <c r="BW150" i="1"/>
  <c r="BG154" i="1"/>
  <c r="CF157" i="1"/>
  <c r="CE117" i="1"/>
  <c r="CE161" i="1" s="1"/>
  <c r="CG124" i="1"/>
  <c r="BZ131" i="1"/>
  <c r="BA138" i="1"/>
  <c r="CF143" i="1"/>
  <c r="BL148" i="1"/>
  <c r="BE152" i="1"/>
  <c r="CD155" i="1"/>
  <c r="CF123" i="1"/>
  <c r="BV130" i="1"/>
  <c r="BB137" i="1"/>
  <c r="CM142" i="1"/>
  <c r="CB147" i="1"/>
  <c r="BX151" i="1"/>
  <c r="BE155" i="1"/>
  <c r="CD158" i="1"/>
  <c r="CE119" i="1"/>
  <c r="CA126" i="1"/>
  <c r="BP133" i="1"/>
  <c r="CD139" i="1"/>
  <c r="AZ145" i="1"/>
  <c r="BM149" i="1"/>
  <c r="BB153" i="1"/>
  <c r="BH119" i="1"/>
  <c r="BO122" i="1"/>
  <c r="BZ132" i="1"/>
  <c r="CI141" i="1"/>
  <c r="CK148" i="1"/>
  <c r="BR154" i="1"/>
  <c r="AZ159" i="1"/>
  <c r="AZ144" i="1"/>
  <c r="BF160" i="1"/>
  <c r="BA151" i="1"/>
  <c r="BK126" i="1"/>
  <c r="BV150" i="1"/>
  <c r="BZ120" i="1"/>
  <c r="AW131" i="1"/>
  <c r="BT140" i="1"/>
  <c r="CL147" i="1"/>
  <c r="BX153" i="1"/>
  <c r="BL158" i="1"/>
  <c r="CJ136" i="1"/>
  <c r="BY156" i="1"/>
  <c r="AW133" i="1"/>
  <c r="CA154" i="1"/>
  <c r="CM136" i="1"/>
  <c r="CB156" i="1"/>
  <c r="BP124" i="1"/>
  <c r="BW134" i="1"/>
  <c r="BT143" i="1"/>
  <c r="AY150" i="1"/>
  <c r="BT155" i="1"/>
  <c r="CG159" i="1"/>
  <c r="CN126" i="1"/>
  <c r="BB148" i="1"/>
  <c r="CH121" i="1"/>
  <c r="CM145" i="1"/>
  <c r="CN119" i="1"/>
  <c r="CF144" i="1"/>
  <c r="BY160" i="1"/>
  <c r="BD128" i="1"/>
  <c r="AY138" i="1"/>
  <c r="BB146" i="1"/>
  <c r="BC152" i="1"/>
  <c r="BA656" i="1"/>
  <c r="AW635" i="1"/>
  <c r="BE575" i="1"/>
  <c r="BG596" i="1"/>
  <c r="CG117" i="1"/>
  <c r="BI126" i="1"/>
  <c r="AW135" i="1"/>
  <c r="BF119" i="1"/>
  <c r="BR128" i="1"/>
  <c r="AW119" i="1"/>
  <c r="AW161" i="1" s="1"/>
  <c r="BC128" i="1"/>
  <c r="BD136" i="1"/>
  <c r="AY118" i="1"/>
  <c r="CK125" i="1"/>
  <c r="BC132" i="1"/>
  <c r="CJ138" i="1"/>
  <c r="AX119" i="1"/>
  <c r="CJ126" i="1"/>
  <c r="BK134" i="1"/>
  <c r="AX142" i="1"/>
  <c r="BL146" i="1"/>
  <c r="BX120" i="1"/>
  <c r="BL125" i="1"/>
  <c r="AX130" i="1"/>
  <c r="CD134" i="1"/>
  <c r="AW139" i="1"/>
  <c r="AW143" i="1"/>
  <c r="BM146" i="1"/>
  <c r="CI120" i="1"/>
  <c r="BT126" i="1"/>
  <c r="BE132" i="1"/>
  <c r="BS137" i="1"/>
  <c r="BP142" i="1"/>
  <c r="BT146" i="1"/>
  <c r="CL149" i="1"/>
  <c r="BF153" i="1"/>
  <c r="BR156" i="1"/>
  <c r="CD159" i="1"/>
  <c r="BP120" i="1"/>
  <c r="BZ122" i="1"/>
  <c r="BJ128" i="1"/>
  <c r="CJ133" i="1"/>
  <c r="BB139" i="1"/>
  <c r="CG143" i="1"/>
  <c r="CA147" i="1"/>
  <c r="CM150" i="1"/>
  <c r="BC123" i="1"/>
  <c r="CL129" i="1"/>
  <c r="BP136" i="1"/>
  <c r="BQ142" i="1"/>
  <c r="BK147" i="1"/>
  <c r="BH151" i="1"/>
  <c r="CG154" i="1"/>
  <c r="BO158" i="1"/>
  <c r="BB119" i="1"/>
  <c r="BB161" i="1" s="1"/>
  <c r="CN125" i="1"/>
  <c r="CI132" i="1"/>
  <c r="AZ139" i="1"/>
  <c r="BX144" i="1"/>
  <c r="CN148" i="1"/>
  <c r="CE152" i="1"/>
  <c r="CF117" i="1"/>
  <c r="CH124" i="1"/>
  <c r="CB131" i="1"/>
  <c r="BB138" i="1"/>
  <c r="CH143" i="1"/>
  <c r="BM148" i="1"/>
  <c r="BF152" i="1"/>
  <c r="CE155" i="1"/>
  <c r="BL159" i="1"/>
  <c r="AY121" i="1"/>
  <c r="CE127" i="1"/>
  <c r="BV134" i="1"/>
  <c r="BZ140" i="1"/>
  <c r="CI145" i="1"/>
  <c r="AX150" i="1"/>
  <c r="CB153" i="1"/>
  <c r="BS120" i="1"/>
  <c r="BF124" i="1"/>
  <c r="BJ134" i="1"/>
  <c r="BI143" i="1"/>
  <c r="CJ149" i="1"/>
  <c r="BM155" i="1"/>
  <c r="CE159" i="1"/>
  <c r="BV147" i="1"/>
  <c r="CN127" i="1"/>
  <c r="CF153" i="1"/>
  <c r="BR130" i="1"/>
  <c r="BK153" i="1"/>
  <c r="BE661" i="1"/>
  <c r="CL118" i="1"/>
  <c r="CL161" i="1" s="1"/>
  <c r="BE126" i="1"/>
  <c r="BW125" i="1"/>
  <c r="CI117" i="1"/>
  <c r="CA141" i="1"/>
  <c r="CN124" i="1"/>
  <c r="BZ138" i="1"/>
  <c r="BO120" i="1"/>
  <c r="AZ137" i="1"/>
  <c r="BZ149" i="1"/>
  <c r="BR159" i="1"/>
  <c r="CF127" i="1"/>
  <c r="BS143" i="1"/>
  <c r="BT122" i="1"/>
  <c r="CM141" i="1"/>
  <c r="BT154" i="1"/>
  <c r="BO125" i="1"/>
  <c r="BG144" i="1"/>
  <c r="CI154" i="1"/>
  <c r="CL128" i="1"/>
  <c r="BV141" i="1"/>
  <c r="BY150" i="1"/>
  <c r="CI157" i="1"/>
  <c r="AW125" i="1"/>
  <c r="BC138" i="1"/>
  <c r="BN148" i="1"/>
  <c r="BL117" i="1"/>
  <c r="BG130" i="1"/>
  <c r="BS147" i="1"/>
  <c r="CN157" i="1"/>
  <c r="AW157" i="1"/>
  <c r="CF118" i="1"/>
  <c r="BN117" i="1"/>
  <c r="BN134" i="1"/>
  <c r="CL148" i="1"/>
  <c r="BZ157" i="1"/>
  <c r="AZ147" i="1"/>
  <c r="BJ139" i="1"/>
  <c r="BN139" i="1"/>
  <c r="CC121" i="1"/>
  <c r="CB137" i="1"/>
  <c r="AY151" i="1"/>
  <c r="BB159" i="1"/>
  <c r="CD133" i="1"/>
  <c r="AX127" i="1"/>
  <c r="CF120" i="1"/>
  <c r="CF161" i="1" s="1"/>
  <c r="BO157" i="1"/>
  <c r="BU131" i="1"/>
  <c r="BJ147" i="1"/>
  <c r="BQ156" i="1"/>
  <c r="BE118" i="1"/>
  <c r="BB129" i="1"/>
  <c r="CK138" i="1"/>
  <c r="CF146" i="1"/>
  <c r="BY152" i="1"/>
  <c r="BW157" i="1"/>
  <c r="BR120" i="1"/>
  <c r="BR161" i="1" s="1"/>
  <c r="CM130" i="1"/>
  <c r="BQ140" i="1"/>
  <c r="CC143" i="1"/>
  <c r="AW160" i="1"/>
  <c r="CJ148" i="1"/>
  <c r="CC146" i="1"/>
  <c r="CI118" i="1"/>
  <c r="CI161" i="1" s="1"/>
  <c r="BA156" i="1"/>
  <c r="CE141" i="1"/>
  <c r="BK160" i="1"/>
  <c r="BL160" i="1"/>
  <c r="BO126" i="1"/>
  <c r="BV153" i="1"/>
  <c r="BF148" i="1"/>
  <c r="CE149" i="1"/>
  <c r="BA143" i="1"/>
  <c r="BV159" i="1"/>
  <c r="BW152" i="1"/>
  <c r="CH149" i="1"/>
  <c r="BA128" i="1"/>
  <c r="BL154" i="1"/>
  <c r="CM140" i="1"/>
  <c r="CJ158" i="1"/>
  <c r="AW639" i="1"/>
  <c r="BA118" i="1"/>
  <c r="BB121" i="1"/>
  <c r="BS128" i="1"/>
  <c r="CK126" i="1"/>
  <c r="BO119" i="1"/>
  <c r="BL142" i="1"/>
  <c r="CB125" i="1"/>
  <c r="BL139" i="1"/>
  <c r="BJ121" i="1"/>
  <c r="CM137" i="1"/>
  <c r="BF150" i="1"/>
  <c r="AX160" i="1"/>
  <c r="CB128" i="1"/>
  <c r="BC144" i="1"/>
  <c r="CB123" i="1"/>
  <c r="CK142" i="1"/>
  <c r="BC155" i="1"/>
  <c r="BY126" i="1"/>
  <c r="AX145" i="1"/>
  <c r="BD155" i="1"/>
  <c r="BP129" i="1"/>
  <c r="BA142" i="1"/>
  <c r="CN150" i="1"/>
  <c r="BD158" i="1"/>
  <c r="BT125" i="1"/>
  <c r="CA138" i="1"/>
  <c r="CB148" i="1"/>
  <c r="CN117" i="1"/>
  <c r="CN130" i="1"/>
  <c r="CK147" i="1"/>
  <c r="BK158" i="1"/>
  <c r="AY158" i="1"/>
  <c r="CI121" i="1"/>
  <c r="BJ118" i="1"/>
  <c r="BF135" i="1"/>
  <c r="BR149" i="1"/>
  <c r="CC158" i="1"/>
  <c r="CI152" i="1"/>
  <c r="BQ141" i="1"/>
  <c r="BR141" i="1"/>
  <c r="BS122" i="1"/>
  <c r="BO138" i="1"/>
  <c r="BQ151" i="1"/>
  <c r="BD160" i="1"/>
  <c r="CG142" i="1"/>
  <c r="BX129" i="1"/>
  <c r="CI122" i="1"/>
  <c r="BS158" i="1"/>
  <c r="BS132" i="1"/>
  <c r="CH147" i="1"/>
  <c r="BD157" i="1"/>
  <c r="BI119" i="1"/>
  <c r="AZ130" i="1"/>
  <c r="CF139" i="1"/>
  <c r="BP147" i="1"/>
  <c r="BC153" i="1"/>
  <c r="CL157" i="1"/>
  <c r="BL121" i="1"/>
  <c r="CI131" i="1"/>
  <c r="BG141" i="1"/>
  <c r="BW145" i="1"/>
  <c r="CM117" i="1"/>
  <c r="CM161" i="1" s="1"/>
  <c r="BN150" i="1"/>
  <c r="BI155" i="1"/>
  <c r="BM126" i="1"/>
  <c r="BG158" i="1"/>
  <c r="BK144" i="1"/>
  <c r="CJ122" i="1"/>
  <c r="AY123" i="1"/>
  <c r="CJ129" i="1"/>
  <c r="CM154" i="1"/>
  <c r="BD151" i="1"/>
  <c r="BE151" i="1"/>
  <c r="CH144" i="1"/>
  <c r="BZ160" i="1"/>
  <c r="AZ121" i="1"/>
  <c r="BN151" i="1"/>
  <c r="BP131" i="1"/>
  <c r="BX155" i="1"/>
  <c r="CB143" i="1"/>
  <c r="CN159" i="1"/>
  <c r="BB644" i="1"/>
  <c r="BQ119" i="1"/>
  <c r="BZ121" i="1"/>
  <c r="CE129" i="1"/>
  <c r="BG127" i="1"/>
  <c r="CG119" i="1"/>
  <c r="BZ142" i="1"/>
  <c r="BB126" i="1"/>
  <c r="CB139" i="1"/>
  <c r="CG121" i="1"/>
  <c r="BN138" i="1"/>
  <c r="BR150" i="1"/>
  <c r="BJ160" i="1"/>
  <c r="BF129" i="1"/>
  <c r="BS144" i="1"/>
  <c r="BJ124" i="1"/>
  <c r="BO143" i="1"/>
  <c r="BP155" i="1"/>
  <c r="BC127" i="1"/>
  <c r="BN145" i="1"/>
  <c r="BG117" i="1"/>
  <c r="BG161" i="1" s="1"/>
  <c r="BB131" i="1"/>
  <c r="BQ143" i="1"/>
  <c r="CK151" i="1"/>
  <c r="AY159" i="1"/>
  <c r="BF127" i="1"/>
  <c r="BF140" i="1"/>
  <c r="CB149" i="1"/>
  <c r="CJ119" i="1"/>
  <c r="BX133" i="1"/>
  <c r="BQ149" i="1"/>
  <c r="BO159" i="1"/>
  <c r="BY117" i="1"/>
  <c r="AW128" i="1"/>
  <c r="BV121" i="1"/>
  <c r="BV161" i="1" s="1"/>
  <c r="BM138" i="1"/>
  <c r="CK149" i="1"/>
  <c r="BA159" i="1"/>
  <c r="BD154" i="1"/>
  <c r="BW143" i="1"/>
  <c r="BZ143" i="1"/>
  <c r="BD125" i="1"/>
  <c r="BK141" i="1"/>
  <c r="CM151" i="1"/>
  <c r="BU160" i="1"/>
  <c r="CD144" i="1"/>
  <c r="BL131" i="1"/>
  <c r="BX124" i="1"/>
  <c r="BD118" i="1"/>
  <c r="BD161" i="1" s="1"/>
  <c r="CC135" i="1"/>
  <c r="BI148" i="1"/>
  <c r="BT157" i="1"/>
  <c r="BD120" i="1"/>
  <c r="CJ130" i="1"/>
  <c r="BP140" i="1"/>
  <c r="CI147" i="1"/>
  <c r="BU153" i="1"/>
  <c r="BI158" i="1"/>
  <c r="BN122" i="1"/>
  <c r="BN161" i="1" s="1"/>
  <c r="BX132" i="1"/>
  <c r="CH141" i="1"/>
  <c r="BI147" i="1"/>
  <c r="CN121" i="1"/>
  <c r="CE151" i="1"/>
  <c r="CB160" i="1"/>
  <c r="CD129" i="1"/>
  <c r="BM160" i="1"/>
  <c r="AW146" i="1"/>
  <c r="BL126" i="1"/>
  <c r="AY146" i="1"/>
  <c r="BH133" i="1"/>
  <c r="BD156" i="1"/>
  <c r="BV152" i="1"/>
  <c r="CJ153" i="1"/>
  <c r="CA146" i="1"/>
  <c r="CL123" i="1"/>
  <c r="CB124" i="1"/>
  <c r="CA152" i="1"/>
  <c r="CG134" i="1"/>
  <c r="CC156" i="1"/>
  <c r="BS145" i="1"/>
  <c r="AX639" i="1"/>
  <c r="BD566" i="1"/>
  <c r="CC119" i="1"/>
  <c r="BR122" i="1"/>
  <c r="BC130" i="1"/>
  <c r="BU127" i="1"/>
  <c r="BE120" i="1"/>
  <c r="CN142" i="1"/>
  <c r="BR126" i="1"/>
  <c r="BA140" i="1"/>
  <c r="BJ122" i="1"/>
  <c r="CE138" i="1"/>
  <c r="CD150" i="1"/>
  <c r="BV160" i="1"/>
  <c r="CB129" i="1"/>
  <c r="CG144" i="1"/>
  <c r="CF124" i="1"/>
  <c r="CE143" i="1"/>
  <c r="CC155" i="1"/>
  <c r="CC127" i="1"/>
  <c r="CD145" i="1"/>
  <c r="BR118" i="1"/>
  <c r="BH132" i="1"/>
  <c r="BI144" i="1"/>
  <c r="BS152" i="1"/>
  <c r="BY159" i="1"/>
  <c r="BL128" i="1"/>
  <c r="BC141" i="1"/>
  <c r="BL150" i="1"/>
  <c r="BC121" i="1"/>
  <c r="BE135" i="1"/>
  <c r="BP150" i="1"/>
  <c r="BB160" i="1"/>
  <c r="BB132" i="1"/>
  <c r="AX133" i="1"/>
  <c r="BP122" i="1"/>
  <c r="AX139" i="1"/>
  <c r="BQ150" i="1"/>
  <c r="BP159" i="1"/>
  <c r="CB157" i="1"/>
  <c r="BU150" i="1"/>
  <c r="BL145" i="1"/>
  <c r="BD126" i="1"/>
  <c r="BC142" i="1"/>
  <c r="BL152" i="1"/>
  <c r="CK160" i="1"/>
  <c r="BT149" i="1"/>
  <c r="CN139" i="1"/>
  <c r="AY127" i="1"/>
  <c r="BG119" i="1"/>
  <c r="BO136" i="1"/>
  <c r="CG148" i="1"/>
  <c r="CK157" i="1"/>
  <c r="BH121" i="1"/>
  <c r="CH131" i="1"/>
  <c r="BF141" i="1"/>
  <c r="BO148" i="1"/>
  <c r="AY154" i="1"/>
  <c r="BX158" i="1"/>
  <c r="BO123" i="1"/>
  <c r="BT133" i="1"/>
  <c r="BX142" i="1"/>
  <c r="CF148" i="1"/>
  <c r="BY125" i="1"/>
  <c r="BD153" i="1"/>
  <c r="CG118" i="1"/>
  <c r="BG133" i="1"/>
  <c r="BO127" i="1"/>
  <c r="CE147" i="1"/>
  <c r="CC129" i="1"/>
  <c r="CE150" i="1"/>
  <c r="BN136" i="1"/>
  <c r="BG157" i="1"/>
  <c r="BH155" i="1"/>
  <c r="BV158" i="1"/>
  <c r="BE148" i="1"/>
  <c r="BK127" i="1"/>
  <c r="AX128" i="1"/>
  <c r="AZ154" i="1"/>
  <c r="CI137" i="1"/>
  <c r="CE157" i="1"/>
  <c r="BH147" i="1"/>
  <c r="AX634" i="1"/>
  <c r="BE567" i="1"/>
  <c r="AW126" i="1"/>
  <c r="BF128" i="1"/>
  <c r="CI135" i="1"/>
  <c r="CG131" i="1"/>
  <c r="BK125" i="1"/>
  <c r="AZ146" i="1"/>
  <c r="BZ129" i="1"/>
  <c r="CA142" i="1"/>
  <c r="AY126" i="1"/>
  <c r="AZ142" i="1"/>
  <c r="CL152" i="1"/>
  <c r="CL119" i="1"/>
  <c r="BR133" i="1"/>
  <c r="BO147" i="1"/>
  <c r="BN129" i="1"/>
  <c r="CM146" i="1"/>
  <c r="BA158" i="1"/>
  <c r="BG132" i="1"/>
  <c r="BZ148" i="1"/>
  <c r="BC119" i="1"/>
  <c r="CJ132" i="1"/>
  <c r="BY144" i="1"/>
  <c r="CF152" i="1"/>
  <c r="CL159" i="1"/>
  <c r="CM128" i="1"/>
  <c r="BW141" i="1"/>
  <c r="BZ150" i="1"/>
  <c r="BX121" i="1"/>
  <c r="CL135" i="1"/>
  <c r="CI150" i="1"/>
  <c r="BQ160" i="1"/>
  <c r="BN135" i="1"/>
  <c r="BQ135" i="1"/>
  <c r="BQ123" i="1"/>
  <c r="BJ141" i="1"/>
  <c r="BK152" i="1"/>
  <c r="CF159" i="1"/>
  <c r="CF158" i="1"/>
  <c r="AW152" i="1"/>
  <c r="BC147" i="1"/>
  <c r="CM126" i="1"/>
  <c r="AY144" i="1"/>
  <c r="BC154" i="1"/>
  <c r="BT117" i="1"/>
  <c r="AZ151" i="1"/>
  <c r="BE142" i="1"/>
  <c r="CA128" i="1"/>
  <c r="BC120" i="1"/>
  <c r="BC161" i="1" s="1"/>
  <c r="CI138" i="1"/>
  <c r="CF150" i="1"/>
  <c r="BH158" i="1"/>
  <c r="BM122" i="1"/>
  <c r="BW132" i="1"/>
  <c r="CG141" i="1"/>
  <c r="CI148" i="1"/>
  <c r="BP154" i="1"/>
  <c r="CN158" i="1"/>
  <c r="AZ124" i="1"/>
  <c r="BI134" i="1"/>
  <c r="CB117" i="1"/>
  <c r="BG150" i="1"/>
  <c r="AY129" i="1"/>
  <c r="BQ154" i="1"/>
  <c r="BD133" i="1"/>
  <c r="BL136" i="1"/>
  <c r="BP156" i="1"/>
  <c r="BE149" i="1"/>
  <c r="BK136" i="1"/>
  <c r="CE154" i="1"/>
  <c r="BS139" i="1"/>
  <c r="BJ158" i="1"/>
  <c r="BO156" i="1"/>
  <c r="BZ159" i="1"/>
  <c r="CC149" i="1"/>
  <c r="BC134" i="1"/>
  <c r="BN131" i="1"/>
  <c r="BL155" i="1"/>
  <c r="CL140" i="1"/>
  <c r="CI158" i="1"/>
  <c r="CD148" i="1"/>
  <c r="BE630" i="1"/>
  <c r="AZ570" i="1"/>
  <c r="BU126" i="1"/>
  <c r="CD128" i="1"/>
  <c r="CD136" i="1"/>
  <c r="BQ133" i="1"/>
  <c r="BI127" i="1"/>
  <c r="CJ146" i="1"/>
  <c r="BP130" i="1"/>
  <c r="BM143" i="1"/>
  <c r="AW127" i="1"/>
  <c r="CH142" i="1"/>
  <c r="BR153" i="1"/>
  <c r="BP117" i="1"/>
  <c r="BP134" i="1"/>
  <c r="CM147" i="1"/>
  <c r="BT130" i="1"/>
  <c r="BY147" i="1"/>
  <c r="CB158" i="1"/>
  <c r="BK133" i="1"/>
  <c r="BJ149" i="1"/>
  <c r="CB119" i="1"/>
  <c r="BL133" i="1"/>
  <c r="AY145" i="1"/>
  <c r="BA153" i="1"/>
  <c r="BG160" i="1"/>
  <c r="BR129" i="1"/>
  <c r="BB142" i="1"/>
  <c r="AW151" i="1"/>
  <c r="BH122" i="1"/>
  <c r="CC136" i="1"/>
  <c r="BO151" i="1"/>
  <c r="CI160" i="1"/>
  <c r="BQ138" i="1"/>
  <c r="CF137" i="1"/>
  <c r="BH124" i="1"/>
  <c r="CJ141" i="1"/>
  <c r="CC152" i="1"/>
  <c r="BC160" i="1"/>
  <c r="CH159" i="1"/>
  <c r="CM155" i="1"/>
  <c r="CK152" i="1"/>
  <c r="CH127" i="1"/>
  <c r="CA144" i="1"/>
  <c r="BY154" i="1"/>
  <c r="CC120" i="1"/>
  <c r="BM152" i="1"/>
  <c r="BW147" i="1"/>
  <c r="BR138" i="1"/>
  <c r="BG121" i="1"/>
  <c r="BT139" i="1"/>
  <c r="BF151" i="1"/>
  <c r="BW158" i="1"/>
  <c r="BL123" i="1"/>
  <c r="BS133" i="1"/>
  <c r="BW142" i="1"/>
  <c r="BO149" i="1"/>
  <c r="CL154" i="1"/>
  <c r="BM159" i="1"/>
  <c r="AZ125" i="1"/>
  <c r="BD135" i="1"/>
  <c r="CJ121" i="1"/>
  <c r="CB151" i="1"/>
  <c r="BP132" i="1"/>
  <c r="CG155" i="1"/>
  <c r="BI142" i="1"/>
  <c r="BQ139" i="1"/>
  <c r="BC118" i="1"/>
  <c r="AY152" i="1"/>
  <c r="BO139" i="1"/>
  <c r="BC157" i="1"/>
  <c r="BN142" i="1"/>
  <c r="BN159" i="1"/>
  <c r="BU158" i="1"/>
  <c r="AZ120" i="1"/>
  <c r="BC151" i="1"/>
  <c r="BH140" i="1"/>
  <c r="CF134" i="1"/>
  <c r="BT156" i="1"/>
  <c r="CA143" i="1"/>
  <c r="CM159" i="1"/>
  <c r="BE150" i="1"/>
  <c r="BG632" i="1"/>
  <c r="AZ569" i="1"/>
  <c r="BY127" i="1"/>
  <c r="AX129" i="1"/>
  <c r="CL137" i="1"/>
  <c r="CE133" i="1"/>
  <c r="BO128" i="1"/>
  <c r="BD147" i="1"/>
  <c r="CH130" i="1"/>
  <c r="BY143" i="1"/>
  <c r="BQ127" i="1"/>
  <c r="BF143" i="1"/>
  <c r="CD153" i="1"/>
  <c r="CL117" i="1"/>
  <c r="CH134" i="1"/>
  <c r="BG148" i="1"/>
  <c r="AX131" i="1"/>
  <c r="CN147" i="1"/>
  <c r="AW159" i="1"/>
  <c r="CI133" i="1"/>
  <c r="BY149" i="1"/>
  <c r="AZ122" i="1"/>
  <c r="BT135" i="1"/>
  <c r="BW146" i="1"/>
  <c r="BI154" i="1"/>
  <c r="CK117" i="1"/>
  <c r="CF131" i="1"/>
  <c r="CI143" i="1"/>
  <c r="BG152" i="1"/>
  <c r="BN119" i="1"/>
  <c r="CH139" i="1"/>
  <c r="BE153" i="1"/>
  <c r="CD137" i="1"/>
  <c r="BR146" i="1"/>
  <c r="CN145" i="1"/>
  <c r="BC125" i="1"/>
  <c r="CB142" i="1"/>
  <c r="BB154" i="1"/>
  <c r="BY128" i="1"/>
  <c r="CL160" i="1"/>
  <c r="CA156" i="1"/>
  <c r="BF154" i="1"/>
  <c r="BX128" i="1"/>
  <c r="BG145" i="1"/>
  <c r="CJ155" i="1"/>
  <c r="BQ124" i="1"/>
  <c r="CE153" i="1"/>
  <c r="BC149" i="1"/>
  <c r="CG140" i="1"/>
  <c r="BL122" i="1"/>
  <c r="BK140" i="1"/>
  <c r="BX152" i="1"/>
  <c r="CM158" i="1"/>
  <c r="AY124" i="1"/>
  <c r="BH134" i="1"/>
  <c r="BG143" i="1"/>
  <c r="CG149" i="1"/>
  <c r="BK155" i="1"/>
  <c r="CB159" i="1"/>
  <c r="CG125" i="1"/>
  <c r="CJ135" i="1"/>
  <c r="BX125" i="1"/>
  <c r="AW153" i="1"/>
  <c r="BZ135" i="1"/>
  <c r="CI156" i="1"/>
  <c r="AX146" i="1"/>
  <c r="BJ142" i="1"/>
  <c r="BG122" i="1"/>
  <c r="BP153" i="1"/>
  <c r="BL144" i="1"/>
  <c r="BI159" i="1"/>
  <c r="BR144" i="1"/>
  <c r="BP160" i="1"/>
  <c r="BX159" i="1"/>
  <c r="CJ123" i="1"/>
  <c r="BU152" i="1"/>
  <c r="CB146" i="1"/>
  <c r="CH137" i="1"/>
  <c r="BX157" i="1"/>
  <c r="BR145" i="1"/>
  <c r="BE121" i="1"/>
  <c r="CA151" i="1"/>
  <c r="AW590" i="1"/>
  <c r="CK127" i="1"/>
  <c r="BZ130" i="1"/>
  <c r="BG138" i="1"/>
  <c r="CB134" i="1"/>
  <c r="CB161" i="1" s="1"/>
  <c r="CH128" i="1"/>
  <c r="BB117" i="1"/>
  <c r="BH131" i="1"/>
  <c r="CK143" i="1"/>
  <c r="CM127" i="1"/>
  <c r="BV143" i="1"/>
  <c r="AX154" i="1"/>
  <c r="BP118" i="1"/>
  <c r="BG135" i="1"/>
  <c r="BS148" i="1"/>
  <c r="BY131" i="1"/>
  <c r="BK148" i="1"/>
  <c r="BJ159" i="1"/>
  <c r="BS134" i="1"/>
  <c r="CN149" i="1"/>
  <c r="CA122" i="1"/>
  <c r="AX136" i="1"/>
  <c r="AW147" i="1"/>
  <c r="BW154" i="1"/>
  <c r="BU118" i="1"/>
  <c r="BK132" i="1"/>
  <c r="BJ144" i="1"/>
  <c r="BT152" i="1"/>
  <c r="BT120" i="1"/>
  <c r="BS140" i="1"/>
  <c r="BW153" i="1"/>
  <c r="CL139" i="1"/>
  <c r="BC148" i="1"/>
  <c r="BX147" i="1"/>
  <c r="BW128" i="1"/>
  <c r="BN143" i="1"/>
  <c r="BS154" i="1"/>
  <c r="CM132" i="1"/>
  <c r="CE118" i="1"/>
  <c r="CC157" i="1"/>
  <c r="CD157" i="1"/>
  <c r="CL131" i="1"/>
  <c r="CK145" i="1"/>
  <c r="BH156" i="1"/>
  <c r="BH125" i="1"/>
  <c r="AY155" i="1"/>
  <c r="BA150" i="1"/>
  <c r="BS146" i="1"/>
  <c r="CE125" i="1"/>
  <c r="CN140" i="1"/>
  <c r="AX153" i="1"/>
  <c r="BK159" i="1"/>
  <c r="AY125" i="1"/>
  <c r="BC135" i="1"/>
  <c r="CM143" i="1"/>
  <c r="BM150" i="1"/>
  <c r="CF155" i="1"/>
  <c r="AZ160" i="1"/>
  <c r="CC126" i="1"/>
  <c r="CB136" i="1"/>
  <c r="CN128" i="1"/>
  <c r="BN154" i="1"/>
  <c r="CD138" i="1"/>
  <c r="CM157" i="1"/>
  <c r="BF149" i="1"/>
  <c r="BM144" i="1"/>
  <c r="BZ125" i="1"/>
  <c r="CC154" i="1"/>
  <c r="CF147" i="1"/>
  <c r="CD130" i="1"/>
  <c r="BJ146" i="1"/>
  <c r="BA120" i="1"/>
  <c r="BB120" i="1"/>
  <c r="BH127" i="1"/>
  <c r="CH153" i="1"/>
  <c r="CD149" i="1"/>
  <c r="CK140" i="1"/>
  <c r="BY158" i="1"/>
  <c r="BG147" i="1"/>
  <c r="CD124" i="1"/>
  <c r="CN152" i="1"/>
  <c r="AZ564" i="1"/>
  <c r="BQ134" i="1"/>
  <c r="AW118" i="1"/>
  <c r="CC117" i="1"/>
  <c r="BW138" i="1"/>
  <c r="CM133" i="1"/>
  <c r="BF120" i="1"/>
  <c r="BL134" i="1"/>
  <c r="BA146" i="1"/>
  <c r="CA131" i="1"/>
  <c r="BF146" i="1"/>
  <c r="BF156" i="1"/>
  <c r="BB122" i="1"/>
  <c r="CB138" i="1"/>
  <c r="CA150" i="1"/>
  <c r="CN135" i="1"/>
  <c r="CK150" i="1"/>
  <c r="BQ118" i="1"/>
  <c r="BQ161" i="1" s="1"/>
  <c r="BV138" i="1"/>
  <c r="BR152" i="1"/>
  <c r="BL124" i="1"/>
  <c r="BX137" i="1"/>
  <c r="AY148" i="1"/>
  <c r="BR155" i="1"/>
  <c r="BQ120" i="1"/>
  <c r="AX134" i="1"/>
  <c r="BP145" i="1"/>
  <c r="BO153" i="1"/>
  <c r="BP123" i="1"/>
  <c r="BP161" i="1" s="1"/>
  <c r="BY142" i="1"/>
  <c r="CN154" i="1"/>
  <c r="CL145" i="1"/>
  <c r="BO152" i="1"/>
  <c r="AX152" i="1"/>
  <c r="BL129" i="1"/>
  <c r="AX144" i="1"/>
  <c r="AW155" i="1"/>
  <c r="BI139" i="1"/>
  <c r="BH126" i="1"/>
  <c r="CG158" i="1"/>
  <c r="CH158" i="1"/>
  <c r="CL132" i="1"/>
  <c r="BO146" i="1"/>
  <c r="BW156" i="1"/>
  <c r="CJ127" i="1"/>
  <c r="BS159" i="1"/>
  <c r="BS151" i="1"/>
  <c r="BD148" i="1"/>
  <c r="BP126" i="1"/>
  <c r="CF141" i="1"/>
  <c r="BT153" i="1"/>
  <c r="CA159" i="1"/>
  <c r="CF125" i="1"/>
  <c r="CH135" i="1"/>
  <c r="CH161" i="1" s="1"/>
  <c r="BO144" i="1"/>
  <c r="CG150" i="1"/>
  <c r="BC156" i="1"/>
  <c r="BO160" i="1"/>
  <c r="BT127" i="1"/>
  <c r="BM137" i="1"/>
  <c r="BL132" i="1"/>
  <c r="CA155" i="1"/>
  <c r="CD141" i="1"/>
  <c r="AX159" i="1"/>
  <c r="AZ152" i="1"/>
  <c r="CG147" i="1"/>
  <c r="AZ129" i="1"/>
  <c r="AW156" i="1"/>
  <c r="CC150" i="1"/>
  <c r="BR157" i="1"/>
  <c r="CJ147" i="1"/>
  <c r="CB130" i="1"/>
  <c r="BI140" i="1"/>
  <c r="CA130" i="1"/>
  <c r="BG155" i="1"/>
  <c r="CI153" i="1"/>
  <c r="BH143" i="1"/>
  <c r="CC159" i="1"/>
  <c r="CC148" i="1"/>
  <c r="BB128" i="1"/>
  <c r="BM154" i="1"/>
  <c r="BE139" i="1"/>
  <c r="BY146" i="1"/>
  <c r="BB123" i="1"/>
  <c r="BU151" i="1"/>
  <c r="BS125" i="1"/>
  <c r="BU121" i="1"/>
  <c r="BB125" i="1"/>
  <c r="AZ155" i="1"/>
  <c r="BO155" i="1"/>
  <c r="CK159" i="1"/>
  <c r="BW129" i="1"/>
  <c r="BA129" i="1"/>
  <c r="CB126" i="1"/>
  <c r="BS156" i="1"/>
  <c r="BY135" i="1"/>
  <c r="CD154" i="1"/>
  <c r="BQ153" i="1"/>
  <c r="BD143" i="1"/>
  <c r="BB145" i="1"/>
  <c r="BY155" i="1"/>
  <c r="BR139" i="1"/>
  <c r="CK146" i="1"/>
  <c r="BT123" i="1"/>
  <c r="CI151" i="1"/>
  <c r="AZ126" i="1"/>
  <c r="BA122" i="1"/>
  <c r="CH125" i="1"/>
  <c r="BJ156" i="1"/>
  <c r="CI155" i="1"/>
  <c r="CN160" i="1"/>
  <c r="BK131" i="1"/>
  <c r="CK129" i="1"/>
  <c r="CK161" i="1" s="1"/>
  <c r="BR127" i="1"/>
  <c r="CH156" i="1"/>
  <c r="CC138" i="1"/>
  <c r="BB157" i="1"/>
  <c r="AY156" i="1"/>
  <c r="CK144" i="1"/>
  <c r="CG146" i="1"/>
  <c r="CE156" i="1"/>
  <c r="BX140" i="1"/>
  <c r="BE147" i="1"/>
  <c r="AX124" i="1"/>
  <c r="BD152" i="1"/>
  <c r="BZ126" i="1"/>
  <c r="CB122" i="1"/>
  <c r="CD126" i="1"/>
  <c r="BN157" i="1"/>
  <c r="BK157" i="1"/>
  <c r="BS117" i="1"/>
  <c r="AY132" i="1"/>
  <c r="CI130" i="1"/>
  <c r="BN128" i="1"/>
  <c r="BE157" i="1"/>
  <c r="BY141" i="1"/>
  <c r="BH159" i="1"/>
  <c r="BF158" i="1"/>
  <c r="BH148" i="1"/>
  <c r="BP148" i="1"/>
  <c r="CG157" i="1"/>
  <c r="CG135" i="1"/>
  <c r="CA134" i="1"/>
  <c r="BY132" i="1"/>
  <c r="BU139" i="1"/>
  <c r="BZ119" i="1"/>
  <c r="BX138" i="1"/>
  <c r="BB135" i="1"/>
  <c r="AW144" i="1"/>
  <c r="CB154" i="1"/>
  <c r="BO141" i="1"/>
  <c r="BJ135" i="1"/>
  <c r="BW160" i="1"/>
  <c r="BN144" i="1"/>
  <c r="CA136" i="1"/>
  <c r="CD160" i="1"/>
  <c r="CF156" i="1"/>
  <c r="BG149" i="1"/>
  <c r="BI137" i="1"/>
  <c r="BB134" i="1"/>
  <c r="CF160" i="1"/>
  <c r="BA136" i="1"/>
  <c r="BB136" i="1"/>
  <c r="AZ133" i="1"/>
  <c r="CM139" i="1"/>
  <c r="BL120" i="1"/>
  <c r="BD139" i="1"/>
  <c r="BW135" i="1"/>
  <c r="BT144" i="1"/>
  <c r="CN155" i="1"/>
  <c r="BU143" i="1"/>
  <c r="BE136" i="1"/>
  <c r="BX123" i="1"/>
  <c r="CL144" i="1"/>
  <c r="BK137" i="1"/>
  <c r="BF118" i="1"/>
  <c r="BF161" i="1" s="1"/>
  <c r="CJ157" i="1"/>
  <c r="BA152" i="1"/>
  <c r="CJ118" i="1"/>
  <c r="BD137" i="1"/>
  <c r="BD121" i="1"/>
  <c r="BM136" i="1"/>
  <c r="BR136" i="1"/>
  <c r="BW133" i="1"/>
  <c r="BM140" i="1"/>
  <c r="CK120" i="1"/>
  <c r="BZ139" i="1"/>
  <c r="AY136" i="1"/>
  <c r="BD145" i="1"/>
  <c r="AZ157" i="1"/>
  <c r="BJ145" i="1"/>
  <c r="CG136" i="1"/>
  <c r="BJ125" i="1"/>
  <c r="CD146" i="1"/>
  <c r="BD138" i="1"/>
  <c r="BL119" i="1"/>
  <c r="CK158" i="1"/>
  <c r="BS153" i="1"/>
  <c r="AZ123" i="1"/>
  <c r="BG140" i="1"/>
  <c r="CC124" i="1"/>
  <c r="BF595" i="1"/>
  <c r="BY119" i="1"/>
  <c r="AX121" i="1"/>
  <c r="CH146" i="1"/>
  <c r="BG151" i="1"/>
  <c r="BW139" i="1"/>
  <c r="CA148" i="1"/>
  <c r="BH146" i="1"/>
  <c r="CH155" i="1"/>
  <c r="CK131" i="1"/>
  <c r="BZ128" i="1"/>
  <c r="BT148" i="1"/>
  <c r="CJ152" i="1"/>
  <c r="CK153" i="1"/>
  <c r="BA145" i="1"/>
  <c r="BT128" i="1"/>
  <c r="CN143" i="1"/>
  <c r="BR132" i="1"/>
  <c r="BP149" i="1"/>
  <c r="BN156" i="1"/>
  <c r="BD150" i="1"/>
  <c r="AZ575" i="1"/>
  <c r="BK120" i="1"/>
  <c r="BK161" i="1" s="1"/>
  <c r="BP121" i="1"/>
  <c r="BF147" i="1"/>
  <c r="BE117" i="1"/>
  <c r="BD140" i="1"/>
  <c r="AW149" i="1"/>
  <c r="BZ146" i="1"/>
  <c r="BE156" i="1"/>
  <c r="CA132" i="1"/>
  <c r="BY134" i="1"/>
  <c r="AZ149" i="1"/>
  <c r="AZ158" i="1"/>
  <c r="BO154" i="1"/>
  <c r="BY145" i="1"/>
  <c r="BD129" i="1"/>
  <c r="BZ145" i="1"/>
  <c r="CB135" i="1"/>
  <c r="CH150" i="1"/>
  <c r="BP157" i="1"/>
  <c r="BZ151" i="1"/>
  <c r="BM119" i="1"/>
  <c r="BM161" i="1" s="1"/>
  <c r="CE135" i="1"/>
  <c r="BJ157" i="1"/>
  <c r="AZ138" i="1"/>
  <c r="BZ153" i="1"/>
  <c r="BZ156" i="1"/>
  <c r="BX154" i="1"/>
  <c r="CN151" i="1"/>
  <c r="BR148" i="1"/>
  <c r="BD132" i="1"/>
  <c r="CE158" i="1"/>
  <c r="BP152" i="1"/>
  <c r="CC160" i="1"/>
  <c r="BH152" i="1"/>
  <c r="CG139" i="1"/>
  <c r="BD134" i="1"/>
  <c r="BG159" i="1"/>
  <c r="CI144" i="1"/>
  <c r="CN123" i="1"/>
  <c r="AX138" i="1"/>
  <c r="BT137" i="1"/>
  <c r="BT150" i="1"/>
  <c r="BB151" i="1"/>
  <c r="CB150" i="1"/>
  <c r="CI134" i="1"/>
  <c r="BL149" i="1"/>
  <c r="BI152" i="1"/>
  <c r="BQ147" i="1"/>
  <c r="AW137" i="1"/>
  <c r="BY120" i="1"/>
  <c r="BW140" i="1"/>
  <c r="CA133" i="1"/>
  <c r="BB156" i="1"/>
  <c r="CF138" i="1"/>
  <c r="CF121" i="1"/>
  <c r="CL136" i="1"/>
  <c r="BI146" i="1"/>
  <c r="BU156" i="1"/>
  <c r="BA160" i="1"/>
  <c r="BO118" i="1"/>
  <c r="BO161" i="1" s="1"/>
  <c r="AZ153" i="1"/>
  <c r="BN146" i="1"/>
  <c r="AY160" i="1"/>
  <c r="BA157" i="1"/>
  <c r="CC118" i="1"/>
  <c r="CC161" i="1" s="1"/>
  <c r="BM153" i="1"/>
  <c r="CL146" i="1"/>
  <c r="BN160" i="1"/>
  <c r="BE158" i="1"/>
  <c r="BA135" i="1"/>
  <c r="AZ156" i="1"/>
  <c r="CI159" i="1"/>
  <c r="BM151" i="1"/>
  <c r="BH137" i="1"/>
  <c r="AX147" i="1"/>
  <c r="BD130" i="1"/>
  <c r="BT159" i="1"/>
  <c r="BV149" i="1"/>
  <c r="BP135" i="1"/>
  <c r="BM156" i="1"/>
  <c r="CA129" i="1"/>
  <c r="CD151" i="1"/>
  <c r="BB143" i="1"/>
  <c r="BR147" i="1"/>
  <c r="BS150" i="1"/>
  <c r="BT158" i="1"/>
  <c r="CD117" i="1"/>
  <c r="CM152" i="1"/>
  <c r="BT131" i="1"/>
  <c r="CD156" i="1"/>
  <c r="AW154" i="1"/>
  <c r="CN156" i="1"/>
  <c r="BE138" i="1"/>
  <c r="BQ157" i="1"/>
  <c r="BA149" i="1"/>
  <c r="AX157" i="1"/>
  <c r="BK154" i="1"/>
  <c r="BL157" i="1"/>
  <c r="CL138" i="1"/>
  <c r="CA160" i="1"/>
  <c r="AW166" i="1" l="1" a="1"/>
  <c r="CO161" i="1"/>
  <c r="CL166" i="1" l="1"/>
  <c r="BQ166" i="1"/>
  <c r="BZ166" i="1"/>
  <c r="CO166" i="1"/>
  <c r="CC166" i="1"/>
  <c r="BR166" i="1"/>
  <c r="BX166" i="1"/>
  <c r="CH166" i="1"/>
  <c r="CD166" i="1"/>
  <c r="BS166" i="1"/>
  <c r="BP166" i="1"/>
  <c r="CN166" i="1"/>
  <c r="BO166" i="1"/>
  <c r="CE166" i="1"/>
  <c r="AW166" i="1"/>
  <c r="CK166" i="1"/>
  <c r="BB166" i="1"/>
  <c r="BW166" i="1"/>
  <c r="BH166" i="1"/>
  <c r="BJ166" i="1"/>
  <c r="AY166" i="1"/>
  <c r="AZ166" i="1"/>
  <c r="BY166" i="1"/>
  <c r="BM166" i="1"/>
  <c r="CJ166" i="1"/>
  <c r="BT166" i="1"/>
  <c r="BU166" i="1"/>
  <c r="BC166" i="1"/>
  <c r="BD166" i="1"/>
  <c r="CM166" i="1"/>
  <c r="CI166" i="1"/>
  <c r="BL166" i="1"/>
  <c r="BA166" i="1"/>
  <c r="BG166" i="1"/>
  <c r="BI166" i="1"/>
  <c r="BN166" i="1"/>
  <c r="BE166" i="1"/>
  <c r="CA166" i="1"/>
  <c r="BK166" i="1"/>
  <c r="CB166" i="1"/>
  <c r="BV166" i="1"/>
  <c r="CF166" i="1"/>
  <c r="CG166" i="1"/>
  <c r="AX166" i="1"/>
  <c r="BF166" i="1"/>
</calcChain>
</file>

<file path=xl/sharedStrings.xml><?xml version="1.0" encoding="utf-8"?>
<sst xmlns="http://schemas.openxmlformats.org/spreadsheetml/2006/main" count="1036" uniqueCount="213">
  <si>
    <t>ID</t>
  </si>
  <si>
    <t>1.Delay in delivering material to construction site</t>
  </si>
  <si>
    <t>2.Monopoly of material by some suppliers</t>
  </si>
  <si>
    <t>3.Prices fluctuation</t>
  </si>
  <si>
    <t>4.Types of material availability at local market</t>
  </si>
  <si>
    <t>5.Lack of consultant’s knowledge of available materials</t>
  </si>
  <si>
    <t>6.Low productivity</t>
  </si>
  <si>
    <t>7.Poor work execution</t>
  </si>
  <si>
    <t>8.Shortage of laborers</t>
  </si>
  <si>
    <t>9.Mistakes happens during construction phase</t>
  </si>
  <si>
    <t>10.Unavailability of equipment</t>
  </si>
  <si>
    <t>11.Lack of engineering experience</t>
  </si>
  <si>
    <t>12.Construction cost underestimation</t>
  </si>
  <si>
    <t>13.Poor site management</t>
  </si>
  <si>
    <t>14.Delayed payment for completed work</t>
  </si>
  <si>
    <t>15.Cash flow problem during construction</t>
  </si>
  <si>
    <t>16.High rate of interest</t>
  </si>
  <si>
    <t>17.Contractor’s financial difficulties</t>
  </si>
  <si>
    <t>18.Increase in salaries of skilled laborers</t>
  </si>
  <si>
    <t>19.Change design</t>
  </si>
  <si>
    <t>20.Errors and omission in design</t>
  </si>
  <si>
    <t>21.Incomplete design drawings and specifications at tendering stage</t>
  </si>
  <si>
    <t>22.Delay in preparation and approval of drawing</t>
  </si>
  <si>
    <t>23.Inaccurate quantity take-off</t>
  </si>
  <si>
    <t>24.Long period from planning of project to construction</t>
  </si>
  <si>
    <t>25.Delays in issuing information to the contractor during construction stage</t>
  </si>
  <si>
    <t>26.No practical use of earned value management system</t>
  </si>
  <si>
    <t>27.Lack of cost planning/monitoring during pre and post contract stage</t>
  </si>
  <si>
    <t>28.Poor communication between client, consultant and contractor</t>
  </si>
  <si>
    <t>29.Insufficient coordination between local authority who is responsible about road projects and service authorities</t>
  </si>
  <si>
    <t>30.Delays in decisions making by the approval authorities</t>
  </si>
  <si>
    <t>31.Change schedule</t>
  </si>
  <si>
    <t>32.Stoppages because of work being rejected by consultant</t>
  </si>
  <si>
    <t>33.Lowest bid price</t>
  </si>
  <si>
    <t>34.Insufficient time for preparation of contract documents</t>
  </si>
  <si>
    <t>35.Discrepancies in contract documents</t>
  </si>
  <si>
    <t>36.Underestimation of time for completion of project</t>
  </si>
  <si>
    <t>37.Extension of time with cost claims</t>
  </si>
  <si>
    <t>38.Scope and specification changes</t>
  </si>
  <si>
    <t>39.Changes in client requirements</t>
  </si>
  <si>
    <t>40.Frequency of variation orders and additional works</t>
  </si>
  <si>
    <t>41.Rework due to error in execution</t>
  </si>
  <si>
    <t>42.Weather conditions</t>
  </si>
  <si>
    <t>43.Accidents during construction</t>
  </si>
  <si>
    <t>44.Delay in getting NOCs from different government authorities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</si>
  <si>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</si>
  <si>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</si>
  <si>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</si>
  <si>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</si>
  <si>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</si>
  <si>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</si>
  <si>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</si>
  <si>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</si>
  <si>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</si>
  <si>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</si>
  <si>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</si>
  <si>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</si>
  <si>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</si>
  <si>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</si>
  <si>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</si>
  <si>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</si>
  <si>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</si>
  <si>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</si>
  <si>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</si>
  <si>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</si>
  <si>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</si>
  <si>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</si>
  <si>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</si>
  <si>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</si>
  <si>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</si>
  <si>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</si>
  <si>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</si>
  <si>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</si>
  <si>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</si>
  <si>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</si>
  <si>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</si>
  <si>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</si>
  <si>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</si>
  <si>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</si>
  <si>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</si>
  <si>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</si>
  <si>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</si>
  <si>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</si>
  <si>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</si>
  <si>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</si>
  <si>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</si>
  <si>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</si>
  <si>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</si>
  <si>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</si>
  <si>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</si>
  <si>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</si>
  <si>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</si>
  <si>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</si>
  <si>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</si>
  <si>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</si>
  <si>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</si>
  <si>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</si>
  <si>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</si>
  <si>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</si>
  <si>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</si>
  <si>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</si>
  <si>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</si>
  <si>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</si>
  <si>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</si>
  <si>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</si>
  <si>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</si>
  <si>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</si>
  <si>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</si>
  <si>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</si>
  <si>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</si>
  <si>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</si>
  <si>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</si>
  <si>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</si>
  <si>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</si>
  <si>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</si>
  <si>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</si>
  <si>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</si>
  <si>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</si>
  <si>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</si>
  <si>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</si>
  <si>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</si>
  <si>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</si>
  <si>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</si>
  <si>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</si>
  <si>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</si>
  <si>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</si>
  <si>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</si>
  <si>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</si>
  <si>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</si>
  <si>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</si>
  <si>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</si>
  <si>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</si>
  <si>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</si>
  <si>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</si>
  <si>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</si>
  <si>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</si>
  <si>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</si>
  <si>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</si>
  <si>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</si>
  <si>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</si>
  <si>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</si>
  <si>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</si>
  <si>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</si>
  <si>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</si>
  <si>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</si>
  <si>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</si>
  <si>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</si>
  <si>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</si>
  <si>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</si>
  <si>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</si>
  <si>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</si>
  <si>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</si>
  <si>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</si>
  <si>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</si>
  <si>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</si>
  <si>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</si>
  <si>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</si>
  <si>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</si>
  <si>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</si>
  <si>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</si>
  <si>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</si>
  <si>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</si>
  <si>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</si>
  <si>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</si>
  <si>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</si>
  <si>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</si>
  <si>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</si>
  <si>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</si>
  <si>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</si>
  <si>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</si>
  <si>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</si>
  <si>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</si>
  <si>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</si>
  <si>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</si>
  <si>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</si>
  <si>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</si>
  <si>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</si>
  <si>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</si>
  <si>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</si>
  <si>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</si>
  <si>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</si>
  <si>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</si>
  <si>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</si>
  <si>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</si>
  <si>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</si>
  <si>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</si>
  <si>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</si>
  <si>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</si>
  <si>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Factor Analysis - Principal Component Extraction</t>
  </si>
  <si>
    <t>Mean</t>
  </si>
  <si>
    <t>Std dev</t>
  </si>
  <si>
    <t>Skewness</t>
  </si>
  <si>
    <t>Kurtosis</t>
  </si>
  <si>
    <t>Correlation Matrix</t>
  </si>
  <si>
    <t>Inverse of Correlation Matrix</t>
  </si>
  <si>
    <t>sqrt(diag)</t>
  </si>
  <si>
    <t>Partial Correlation Matrix</t>
  </si>
  <si>
    <t>KMO</t>
  </si>
  <si>
    <t>Eigenvalues and eigenvectors</t>
  </si>
  <si>
    <t>Full Load Matrix</t>
  </si>
  <si>
    <t>Commun</t>
  </si>
  <si>
    <t>Scree Plot</t>
  </si>
  <si>
    <t>eValue</t>
  </si>
  <si>
    <t>%</t>
  </si>
  <si>
    <t>Cum %</t>
  </si>
  <si>
    <t>Factor Matrix (unrotated)</t>
  </si>
  <si>
    <t>Specific</t>
  </si>
  <si>
    <t>Factor Matrix (rotated Varimax)</t>
  </si>
  <si>
    <t>Reproduced Correlation Matrix</t>
  </si>
  <si>
    <t>Error Matrix</t>
  </si>
  <si>
    <t>Factor Scores Matrix - Regression Method</t>
  </si>
  <si>
    <t>Factor Scores Matrix - Bartlett's Method</t>
  </si>
  <si>
    <t>Factor Scores Matrix - Anderson-Rubin's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</si>
</sst>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i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0" xfId="0" applyFont="1" applyBorder="1" applyAlignment="1"/>
    <xf numFmtId="0" fontId="0" fillId="0" borderId="8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2" fillId="0" borderId="7" xfId="0" applyFont="1" applyBorder="1" applyAlignment="1"/>
    <xf numFmtId="0" fontId="2" fillId="0" borderId="0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0" xfId="0" applyFont="1" applyAlignment="1">
      <alignment horizontal="center"/>
    </xf>
    <xf numFmtId="10" fontId="2" fillId="0" borderId="5" xfId="0" applyNumberFormat="1" applyFont="1" applyBorder="1" applyAlignment="1"/>
    <xf numFmtId="10" fontId="2" fillId="0" borderId="6" xfId="0" applyNumberFormat="1" applyFont="1" applyBorder="1" applyAlignment="1"/>
    <xf numFmtId="10" fontId="2" fillId="0" borderId="0" xfId="0" applyNumberFormat="1" applyFont="1" applyBorder="1" applyAlignment="1"/>
    <xf numFmtId="10" fontId="2" fillId="0" borderId="8" xfId="0" applyNumberFormat="1" applyFont="1" applyBorder="1" applyAlignment="1"/>
    <xf numFmtId="10" fontId="2" fillId="0" borderId="10" xfId="0" applyNumberFormat="1" applyFont="1" applyBorder="1" applyAlignment="1"/>
    <xf numFmtId="10" fontId="2" fillId="0" borderId="1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415135608049"/>
          <c:y val="0.12309018664333625"/>
          <c:w val="0.82889282589676294"/>
          <c:h val="0.70179753572470105"/>
        </c:manualLayout>
      </c:layout>
      <c:lineChart>
        <c:grouping val="standard"/>
        <c:varyColors val="0"/>
        <c:ser>
          <c:idx val="0"/>
          <c:order val="0"/>
          <c:tx>
            <c:v>Scree Plot</c:v>
          </c:tx>
          <c:val>
            <c:numRef>
              <c:f>Dataset!$AX$267:$AX$310</c:f>
              <c:numCache>
                <c:formatCode>0.00%</c:formatCode>
                <c:ptCount val="44"/>
                <c:pt idx="0">
                  <c:v>0.30415985817941649</c:v>
                </c:pt>
                <c:pt idx="1">
                  <c:v>9.3379392671896891E-2</c:v>
                </c:pt>
                <c:pt idx="2">
                  <c:v>6.5391497487204298E-2</c:v>
                </c:pt>
                <c:pt idx="3">
                  <c:v>5.7380774739506514E-2</c:v>
                </c:pt>
                <c:pt idx="4">
                  <c:v>4.3856840931977385E-2</c:v>
                </c:pt>
                <c:pt idx="5">
                  <c:v>3.7005041431032781E-2</c:v>
                </c:pt>
                <c:pt idx="6">
                  <c:v>3.3541741517892493E-2</c:v>
                </c:pt>
                <c:pt idx="7">
                  <c:v>3.1992995527078155E-2</c:v>
                </c:pt>
                <c:pt idx="8">
                  <c:v>3.0015681727671082E-2</c:v>
                </c:pt>
                <c:pt idx="9">
                  <c:v>2.7250691410619202E-2</c:v>
                </c:pt>
                <c:pt idx="10">
                  <c:v>2.6231017890887973E-2</c:v>
                </c:pt>
                <c:pt idx="11">
                  <c:v>2.2487517213069897E-2</c:v>
                </c:pt>
                <c:pt idx="12">
                  <c:v>2.1814912177258977E-2</c:v>
                </c:pt>
                <c:pt idx="13">
                  <c:v>1.943400134767764E-2</c:v>
                </c:pt>
                <c:pt idx="14">
                  <c:v>1.7532875202420039E-2</c:v>
                </c:pt>
                <c:pt idx="15">
                  <c:v>1.6268957292740117E-2</c:v>
                </c:pt>
                <c:pt idx="16">
                  <c:v>1.4674208252439669E-2</c:v>
                </c:pt>
                <c:pt idx="17">
                  <c:v>1.363102247600863E-2</c:v>
                </c:pt>
                <c:pt idx="18">
                  <c:v>1.2131679539201938E-2</c:v>
                </c:pt>
                <c:pt idx="19">
                  <c:v>1.1145106763561102E-2</c:v>
                </c:pt>
                <c:pt idx="20">
                  <c:v>1.0558021915258325E-2</c:v>
                </c:pt>
                <c:pt idx="21">
                  <c:v>9.4960818089295101E-3</c:v>
                </c:pt>
                <c:pt idx="22">
                  <c:v>7.7346635124327899E-3</c:v>
                </c:pt>
                <c:pt idx="23">
                  <c:v>7.0173656727052468E-3</c:v>
                </c:pt>
                <c:pt idx="24">
                  <c:v>6.654688747341167E-3</c:v>
                </c:pt>
                <c:pt idx="25">
                  <c:v>6.3021660524304225E-3</c:v>
                </c:pt>
                <c:pt idx="26">
                  <c:v>6.025738274957209E-3</c:v>
                </c:pt>
                <c:pt idx="27">
                  <c:v>5.1901207404470295E-3</c:v>
                </c:pt>
                <c:pt idx="28">
                  <c:v>5.0246586530945216E-3</c:v>
                </c:pt>
                <c:pt idx="29">
                  <c:v>4.1375380856447227E-3</c:v>
                </c:pt>
                <c:pt idx="30">
                  <c:v>4.1092391396359606E-3</c:v>
                </c:pt>
                <c:pt idx="31">
                  <c:v>3.886529647105012E-3</c:v>
                </c:pt>
                <c:pt idx="32">
                  <c:v>3.4841619003552465E-3</c:v>
                </c:pt>
                <c:pt idx="33">
                  <c:v>3.248097987815579E-3</c:v>
                </c:pt>
                <c:pt idx="34">
                  <c:v>2.9510465399200368E-3</c:v>
                </c:pt>
                <c:pt idx="35">
                  <c:v>2.407317900045323E-3</c:v>
                </c:pt>
                <c:pt idx="36">
                  <c:v>2.2296832191202429E-3</c:v>
                </c:pt>
                <c:pt idx="37">
                  <c:v>1.9975387655802369E-3</c:v>
                </c:pt>
                <c:pt idx="38">
                  <c:v>1.9108121513988152E-3</c:v>
                </c:pt>
                <c:pt idx="39">
                  <c:v>1.7990088011086832E-3</c:v>
                </c:pt>
                <c:pt idx="40">
                  <c:v>1.4315118757979889E-3</c:v>
                </c:pt>
                <c:pt idx="41">
                  <c:v>1.3670678289119883E-3</c:v>
                </c:pt>
                <c:pt idx="42">
                  <c:v>9.4806084234021204E-4</c:v>
                </c:pt>
                <c:pt idx="43">
                  <c:v>7.6306615806274005E-4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4-4D60-902B-9BE1CD79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898800"/>
        <c:axId val="1275905456"/>
      </c:lineChart>
      <c:catAx>
        <c:axId val="127589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5905456"/>
        <c:crosses val="autoZero"/>
        <c:auto val="1"/>
        <c:lblAlgn val="ctr"/>
        <c:lblOffset val="100"/>
        <c:noMultiLvlLbl val="0"/>
      </c:catAx>
      <c:valAx>
        <c:axId val="12759054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75898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762000</xdr:colOff>
      <xdr:row>0</xdr:row>
      <xdr:rowOff>52387</xdr:rowOff>
    </xdr:from>
    <xdr:to>
      <xdr:col>56</xdr:col>
      <xdr:colOff>57150</xdr:colOff>
      <xdr:row>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XRealStatsX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  <sheetName val="Roy"/>
      <sheetName val="Pillai"/>
      <sheetName val="Wilk"/>
      <sheetName val="Hotel"/>
    </sheetNames>
    <definedNames>
      <definedName name="CORR"/>
      <definedName name="DIAG"/>
      <definedName name="DIAGONAL"/>
      <definedName name="eVECTORS"/>
      <definedName name="Identity"/>
      <definedName name="MSQRT"/>
      <definedName name="VARIMAX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5"/>
  <sheetViews>
    <sheetView topLeftCell="A34" workbookViewId="0">
      <selection activeCell="D51" sqref="D51"/>
    </sheetView>
  </sheetViews>
  <sheetFormatPr defaultRowHeight="12.75" x14ac:dyDescent="0.2"/>
  <sheetData>
    <row r="1" spans="1:45" x14ac:dyDescent="0.2">
      <c r="A1" s="6"/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  <c r="Q1" s="6">
        <v>1</v>
      </c>
      <c r="R1" s="6">
        <v>1</v>
      </c>
      <c r="S1" s="6">
        <v>1</v>
      </c>
      <c r="T1" s="6">
        <v>3</v>
      </c>
      <c r="U1" s="6">
        <v>3</v>
      </c>
      <c r="V1" s="6">
        <v>3</v>
      </c>
      <c r="W1" s="6">
        <v>4</v>
      </c>
      <c r="X1" s="6">
        <v>4</v>
      </c>
      <c r="Y1" s="6">
        <v>3</v>
      </c>
      <c r="Z1" s="6">
        <v>3</v>
      </c>
      <c r="AA1" s="6">
        <v>2</v>
      </c>
      <c r="AB1" s="6">
        <v>1</v>
      </c>
      <c r="AC1" s="6">
        <v>2</v>
      </c>
      <c r="AD1" s="6">
        <v>4</v>
      </c>
      <c r="AE1" s="6">
        <v>4</v>
      </c>
      <c r="AF1" s="6">
        <v>1</v>
      </c>
      <c r="AG1" s="6">
        <v>1</v>
      </c>
      <c r="AH1" s="6">
        <v>2</v>
      </c>
      <c r="AI1" s="6">
        <v>2</v>
      </c>
      <c r="AJ1" s="6">
        <v>2</v>
      </c>
      <c r="AK1" s="6">
        <v>2</v>
      </c>
      <c r="AL1" s="6">
        <v>2</v>
      </c>
      <c r="AM1" s="6">
        <v>3</v>
      </c>
      <c r="AN1" s="6">
        <v>3</v>
      </c>
      <c r="AO1" s="6">
        <v>3</v>
      </c>
      <c r="AP1" s="6">
        <v>1</v>
      </c>
      <c r="AQ1" s="6">
        <v>2</v>
      </c>
      <c r="AR1" s="6">
        <v>2</v>
      </c>
      <c r="AS1" s="6">
        <v>3</v>
      </c>
    </row>
    <row r="2" spans="1:45" x14ac:dyDescent="0.2">
      <c r="A2" s="4">
        <v>1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x14ac:dyDescent="0.2">
      <c r="A3" s="4">
        <v>1</v>
      </c>
      <c r="B3" s="4">
        <v>0.61235369472285439</v>
      </c>
      <c r="C3" s="4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2">
      <c r="A4" s="4">
        <v>1</v>
      </c>
      <c r="B4" s="4">
        <v>0.19934370968857959</v>
      </c>
      <c r="C4" s="4">
        <v>0.32272759308169535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2">
      <c r="A5" s="4">
        <v>1</v>
      </c>
      <c r="B5" s="4">
        <v>0.66766001240448558</v>
      </c>
      <c r="C5" s="4">
        <v>0.55466868020404925</v>
      </c>
      <c r="D5" s="4">
        <v>0.50155611497314856</v>
      </c>
      <c r="E5" s="4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x14ac:dyDescent="0.2">
      <c r="A6" s="4">
        <v>1</v>
      </c>
      <c r="B6" s="4">
        <v>0.36624834440165699</v>
      </c>
      <c r="C6" s="4">
        <v>0.42308374788652775</v>
      </c>
      <c r="D6" s="4">
        <v>0.38535230960819045</v>
      </c>
      <c r="E6" s="4">
        <v>0.55352940001638018</v>
      </c>
      <c r="F6" s="4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2">
      <c r="A7" s="4">
        <v>1</v>
      </c>
      <c r="B7" s="4">
        <v>0.47205952104202115</v>
      </c>
      <c r="C7" s="4">
        <v>0.32983964855700904</v>
      </c>
      <c r="D7" s="4">
        <v>0.32889258664716109</v>
      </c>
      <c r="E7" s="4">
        <v>0.51301536925416658</v>
      </c>
      <c r="F7" s="4">
        <v>0.41286037685341054</v>
      </c>
      <c r="G7" s="4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4">
        <v>1</v>
      </c>
      <c r="B8" s="4">
        <v>0.51841412647253937</v>
      </c>
      <c r="C8" s="4">
        <v>0.3694975376119034</v>
      </c>
      <c r="D8" s="4">
        <v>0.38068366744607718</v>
      </c>
      <c r="E8" s="4">
        <v>0.60022964292310399</v>
      </c>
      <c r="F8" s="4">
        <v>0.49201193466554682</v>
      </c>
      <c r="G8" s="4">
        <v>0.80752845332486967</v>
      </c>
      <c r="H8" s="4">
        <v>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x14ac:dyDescent="0.2">
      <c r="A9" s="4">
        <v>1</v>
      </c>
      <c r="B9" s="4">
        <v>0.53716124972861978</v>
      </c>
      <c r="C9" s="4">
        <v>0.38120099245257316</v>
      </c>
      <c r="D9" s="4">
        <v>0.25964406234492593</v>
      </c>
      <c r="E9" s="4">
        <v>0.51738347995415379</v>
      </c>
      <c r="F9" s="4">
        <v>0.40870048464354641</v>
      </c>
      <c r="G9" s="4">
        <v>0.71680122724558948</v>
      </c>
      <c r="H9" s="4">
        <v>0.59204322147469746</v>
      </c>
      <c r="I9" s="4"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x14ac:dyDescent="0.2">
      <c r="A10" s="4">
        <v>1</v>
      </c>
      <c r="B10" s="4">
        <v>0.38500658325735915</v>
      </c>
      <c r="C10" s="4">
        <v>0.29714242625338066</v>
      </c>
      <c r="D10" s="4">
        <v>0.37330549893261111</v>
      </c>
      <c r="E10" s="4">
        <v>0.36945404631389728</v>
      </c>
      <c r="F10" s="4">
        <v>0.52852166573498693</v>
      </c>
      <c r="G10" s="4">
        <v>0.69274667437895499</v>
      </c>
      <c r="H10" s="4">
        <v>0.68524337397890334</v>
      </c>
      <c r="I10" s="4">
        <v>0.62623797728850239</v>
      </c>
      <c r="J10" s="4">
        <v>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x14ac:dyDescent="0.2">
      <c r="A11" s="4">
        <v>1</v>
      </c>
      <c r="B11" s="4">
        <v>0.46076719422111484</v>
      </c>
      <c r="C11" s="4">
        <v>0.35761293503135044</v>
      </c>
      <c r="D11" s="4">
        <v>0.21091196075360347</v>
      </c>
      <c r="E11" s="4">
        <v>0.45167021667872648</v>
      </c>
      <c r="F11" s="4">
        <v>0.38504302596055889</v>
      </c>
      <c r="G11" s="4">
        <v>0.53357541160888144</v>
      </c>
      <c r="H11" s="4">
        <v>0.53611736396946419</v>
      </c>
      <c r="I11" s="4">
        <v>0.68392407910840292</v>
      </c>
      <c r="J11" s="4">
        <v>0.59163648164923321</v>
      </c>
      <c r="K11" s="4"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x14ac:dyDescent="0.2">
      <c r="A12" s="4">
        <v>1</v>
      </c>
      <c r="B12" s="4">
        <v>0.4229019235470291</v>
      </c>
      <c r="C12" s="4">
        <v>0.41444152460315475</v>
      </c>
      <c r="D12" s="4">
        <v>0.36394281538096446</v>
      </c>
      <c r="E12" s="4">
        <v>0.50047482806361354</v>
      </c>
      <c r="F12" s="4">
        <v>0.48483536295018453</v>
      </c>
      <c r="G12" s="4">
        <v>0.64248208839266596</v>
      </c>
      <c r="H12" s="4">
        <v>0.6612932324462254</v>
      </c>
      <c r="I12" s="4">
        <v>0.59932300460521226</v>
      </c>
      <c r="J12" s="4">
        <v>0.63111735016833104</v>
      </c>
      <c r="K12" s="4">
        <v>0.52196257039654637</v>
      </c>
      <c r="L12" s="4">
        <v>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x14ac:dyDescent="0.2">
      <c r="A13" s="4">
        <v>1</v>
      </c>
      <c r="B13" s="4">
        <v>0.28865354263123222</v>
      </c>
      <c r="C13" s="4">
        <v>0.17656210124482288</v>
      </c>
      <c r="D13" s="4">
        <v>0.33564207584264349</v>
      </c>
      <c r="E13" s="4">
        <v>0.33714095101361774</v>
      </c>
      <c r="F13" s="4">
        <v>0.47298894760362409</v>
      </c>
      <c r="G13" s="4">
        <v>0.64926592353779189</v>
      </c>
      <c r="H13" s="4">
        <v>0.58436409943494727</v>
      </c>
      <c r="I13" s="4">
        <v>0.64982857092912449</v>
      </c>
      <c r="J13" s="4">
        <v>0.71169939934906545</v>
      </c>
      <c r="K13" s="4">
        <v>0.57817891713815173</v>
      </c>
      <c r="L13" s="4">
        <v>0.66423790616093514</v>
      </c>
      <c r="M13" s="4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x14ac:dyDescent="0.2">
      <c r="A14" s="4">
        <v>1</v>
      </c>
      <c r="B14" s="4">
        <v>0.2575792040022466</v>
      </c>
      <c r="C14" s="4">
        <v>0.28070231563823522</v>
      </c>
      <c r="D14" s="4">
        <v>0.34813384398981612</v>
      </c>
      <c r="E14" s="4">
        <v>0.43233456016061611</v>
      </c>
      <c r="F14" s="4">
        <v>0.5442220644748289</v>
      </c>
      <c r="G14" s="4">
        <v>0.6586844960845043</v>
      </c>
      <c r="H14" s="4">
        <v>0.65447861795697648</v>
      </c>
      <c r="I14" s="4">
        <v>0.5239413642644869</v>
      </c>
      <c r="J14" s="4">
        <v>0.54886989715852641</v>
      </c>
      <c r="K14" s="4">
        <v>0.36755457434751326</v>
      </c>
      <c r="L14" s="4">
        <v>0.72859036887560646</v>
      </c>
      <c r="M14" s="4">
        <v>0.6889189573749207</v>
      </c>
      <c r="N14" s="4"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x14ac:dyDescent="0.2">
      <c r="A15" s="4">
        <v>1</v>
      </c>
      <c r="B15" s="4">
        <v>0.10385256717890375</v>
      </c>
      <c r="C15" s="4">
        <v>8.9899881865319747E-2</v>
      </c>
      <c r="D15" s="4">
        <v>-8.5710433558917415E-2</v>
      </c>
      <c r="E15" s="4">
        <v>7.8337527259229545E-2</v>
      </c>
      <c r="F15" s="4">
        <v>0.15043663151253628</v>
      </c>
      <c r="G15" s="4">
        <v>4.0716416403196072E-2</v>
      </c>
      <c r="H15" s="4">
        <v>0.15574756723884745</v>
      </c>
      <c r="I15" s="4">
        <v>0.20821849451133018</v>
      </c>
      <c r="J15" s="4">
        <v>-0.10794278242239894</v>
      </c>
      <c r="K15" s="4">
        <v>0.21520003141941998</v>
      </c>
      <c r="L15" s="4">
        <v>0.1189471545563085</v>
      </c>
      <c r="M15" s="4">
        <v>-4.3592317103894634E-2</v>
      </c>
      <c r="N15" s="4">
        <v>0.15664992408880277</v>
      </c>
      <c r="O15" s="4">
        <v>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x14ac:dyDescent="0.2">
      <c r="A16" s="4">
        <v>1</v>
      </c>
      <c r="B16" s="4">
        <v>0.16659629029848108</v>
      </c>
      <c r="C16" s="4">
        <v>0.18993849235141519</v>
      </c>
      <c r="D16" s="4">
        <v>-1.917132818855271E-2</v>
      </c>
      <c r="E16" s="4">
        <v>0.15571801676694569</v>
      </c>
      <c r="F16" s="4">
        <v>0.16539453812770238</v>
      </c>
      <c r="G16" s="4">
        <v>6.3108633651469057E-2</v>
      </c>
      <c r="H16" s="4">
        <v>0.14973556481227407</v>
      </c>
      <c r="I16" s="4">
        <v>0.12900479228026088</v>
      </c>
      <c r="J16" s="4">
        <v>1.7430828099538553E-2</v>
      </c>
      <c r="K16" s="4">
        <v>0.34260576011313104</v>
      </c>
      <c r="L16" s="4">
        <v>0.20043985466326514</v>
      </c>
      <c r="M16" s="4">
        <v>8.0835136955074681E-3</v>
      </c>
      <c r="N16" s="4">
        <v>0.15709828020270425</v>
      </c>
      <c r="O16" s="4">
        <v>0.64890033965639649</v>
      </c>
      <c r="P16" s="4">
        <v>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x14ac:dyDescent="0.2">
      <c r="A17" s="4">
        <v>1</v>
      </c>
      <c r="B17" s="4">
        <v>4.4652950520483486E-2</v>
      </c>
      <c r="C17" s="4">
        <v>0.14377463350995273</v>
      </c>
      <c r="D17" s="4">
        <v>4.9255691994379382E-2</v>
      </c>
      <c r="E17" s="4">
        <v>0.13775024275096406</v>
      </c>
      <c r="F17" s="4">
        <v>0.42835572431976854</v>
      </c>
      <c r="G17" s="4">
        <v>0.20407199682708271</v>
      </c>
      <c r="H17" s="4">
        <v>0.22129614417642635</v>
      </c>
      <c r="I17" s="4">
        <v>0.22763469455558683</v>
      </c>
      <c r="J17" s="4">
        <v>0.26273891498433471</v>
      </c>
      <c r="K17" s="4">
        <v>0.32011958482014202</v>
      </c>
      <c r="L17" s="4">
        <v>0.36612859003352921</v>
      </c>
      <c r="M17" s="4">
        <v>0.33391918817324029</v>
      </c>
      <c r="N17" s="4">
        <v>0.31241764306983405</v>
      </c>
      <c r="O17" s="4">
        <v>0.36359272978432378</v>
      </c>
      <c r="P17" s="4">
        <v>0.50101183690387141</v>
      </c>
      <c r="Q17" s="4">
        <v>1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x14ac:dyDescent="0.2">
      <c r="A18" s="4">
        <v>1</v>
      </c>
      <c r="B18" s="4">
        <v>6.0134612729685052E-2</v>
      </c>
      <c r="C18" s="4">
        <v>0.12728673922554243</v>
      </c>
      <c r="D18" s="4">
        <v>-1.1375448626551618E-2</v>
      </c>
      <c r="E18" s="4">
        <v>0.11167488926049202</v>
      </c>
      <c r="F18" s="4">
        <v>3.5380894201195952E-2</v>
      </c>
      <c r="G18" s="4">
        <v>-6.3402434622563683E-3</v>
      </c>
      <c r="H18" s="4">
        <v>5.4096202119902854E-2</v>
      </c>
      <c r="I18" s="4">
        <v>2.8530028266142222E-2</v>
      </c>
      <c r="J18" s="4">
        <v>-0.17701741959733244</v>
      </c>
      <c r="K18" s="4">
        <v>0.29270213292092445</v>
      </c>
      <c r="L18" s="4">
        <v>0.12242358913850566</v>
      </c>
      <c r="M18" s="4">
        <v>-5.1265602395167746E-2</v>
      </c>
      <c r="N18" s="4">
        <v>8.1963481203472285E-2</v>
      </c>
      <c r="O18" s="4">
        <v>0.39835012237706491</v>
      </c>
      <c r="P18" s="4">
        <v>0.65836239229535642</v>
      </c>
      <c r="Q18" s="4">
        <v>0.36199530000068264</v>
      </c>
      <c r="R18" s="4">
        <v>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x14ac:dyDescent="0.2">
      <c r="A19" s="4">
        <v>1</v>
      </c>
      <c r="B19" s="4">
        <v>0.22330742967807662</v>
      </c>
      <c r="C19" s="4">
        <v>6.972624090993608E-2</v>
      </c>
      <c r="D19" s="4">
        <v>0.25680405888484042</v>
      </c>
      <c r="E19" s="4">
        <v>0.24612770013844418</v>
      </c>
      <c r="F19" s="4">
        <v>0.34294087241769172</v>
      </c>
      <c r="G19" s="4">
        <v>0.17279027606856112</v>
      </c>
      <c r="H19" s="4">
        <v>0.15011358128911415</v>
      </c>
      <c r="I19" s="4">
        <v>0.33106422119257017</v>
      </c>
      <c r="J19" s="4">
        <v>0.17612167354145736</v>
      </c>
      <c r="K19" s="4">
        <v>0.29475634302779802</v>
      </c>
      <c r="L19" s="4">
        <v>0.18680397673478419</v>
      </c>
      <c r="M19" s="4">
        <v>0.25679028796601405</v>
      </c>
      <c r="N19" s="4">
        <v>0.20058067122384882</v>
      </c>
      <c r="O19" s="4">
        <v>0.21890368845123442</v>
      </c>
      <c r="P19" s="4">
        <v>5.5228870435978197E-2</v>
      </c>
      <c r="Q19" s="4">
        <v>0.31553894510449615</v>
      </c>
      <c r="R19" s="4">
        <v>0.1685986103361104</v>
      </c>
      <c r="S19" s="4">
        <v>1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x14ac:dyDescent="0.2">
      <c r="A20" s="4">
        <v>3</v>
      </c>
      <c r="B20" s="4">
        <v>0.15058832474500605</v>
      </c>
      <c r="C20" s="4">
        <v>0.30729026976302043</v>
      </c>
      <c r="D20" s="4">
        <v>0.25962681507821961</v>
      </c>
      <c r="E20" s="4">
        <v>0.21172193310591736</v>
      </c>
      <c r="F20" s="4">
        <v>0.46739343637721065</v>
      </c>
      <c r="G20" s="4">
        <v>0.37000032547070005</v>
      </c>
      <c r="H20" s="4">
        <v>0.42637741453747408</v>
      </c>
      <c r="I20" s="4">
        <v>0.34021903184378816</v>
      </c>
      <c r="J20" s="4">
        <v>0.46178879870216416</v>
      </c>
      <c r="K20" s="4">
        <v>0.20201581550450712</v>
      </c>
      <c r="L20" s="4">
        <v>0.3634923865270418</v>
      </c>
      <c r="M20" s="4">
        <v>0.43495923425739025</v>
      </c>
      <c r="N20" s="4">
        <v>0.39436817587298589</v>
      </c>
      <c r="O20" s="4">
        <v>0.19151562465847663</v>
      </c>
      <c r="P20" s="4">
        <v>0.21069954103282118</v>
      </c>
      <c r="Q20" s="4">
        <v>0.4315846388717256</v>
      </c>
      <c r="R20" s="4">
        <v>4.1350163002122256E-2</v>
      </c>
      <c r="S20" s="4">
        <v>0.12712453817371891</v>
      </c>
      <c r="T20" s="4">
        <v>1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x14ac:dyDescent="0.2">
      <c r="A21" s="4">
        <v>3</v>
      </c>
      <c r="B21" s="4">
        <v>7.3311051419732043E-2</v>
      </c>
      <c r="C21" s="4">
        <v>0.21656207929852292</v>
      </c>
      <c r="D21" s="4">
        <v>7.5163448050923815E-2</v>
      </c>
      <c r="E21" s="4">
        <v>0.14567966517920716</v>
      </c>
      <c r="F21" s="4">
        <v>0.42220476468439122</v>
      </c>
      <c r="G21" s="4">
        <v>0.19183701729814592</v>
      </c>
      <c r="H21" s="4">
        <v>0.26916357366303945</v>
      </c>
      <c r="I21" s="4">
        <v>0.21190308754562812</v>
      </c>
      <c r="J21" s="4">
        <v>0.38169322226200292</v>
      </c>
      <c r="K21" s="4">
        <v>0.23909410679235524</v>
      </c>
      <c r="L21" s="4">
        <v>0.30055024168892436</v>
      </c>
      <c r="M21" s="4">
        <v>0.26492309462001767</v>
      </c>
      <c r="N21" s="4">
        <v>0.22209328221285715</v>
      </c>
      <c r="O21" s="4">
        <v>0.14003600089732665</v>
      </c>
      <c r="P21" s="4">
        <v>0.31096193164186248</v>
      </c>
      <c r="Q21" s="4">
        <v>0.40990766958051689</v>
      </c>
      <c r="R21" s="4">
        <v>0.117868068451421</v>
      </c>
      <c r="S21" s="4">
        <v>8.9163748039834245E-3</v>
      </c>
      <c r="T21" s="4">
        <v>0.69172560435801211</v>
      </c>
      <c r="U21" s="4">
        <v>1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x14ac:dyDescent="0.2">
      <c r="A22" s="4">
        <v>3</v>
      </c>
      <c r="B22" s="4">
        <v>2.7444192200026637E-2</v>
      </c>
      <c r="C22" s="4">
        <v>4.2031019541286886E-2</v>
      </c>
      <c r="D22" s="4">
        <v>0.11396664067571653</v>
      </c>
      <c r="E22" s="4">
        <v>0.10175657236541681</v>
      </c>
      <c r="F22" s="4">
        <v>0.39217674761381255</v>
      </c>
      <c r="G22" s="4">
        <v>0.10454868786642256</v>
      </c>
      <c r="H22" s="4">
        <v>0.19794791154628652</v>
      </c>
      <c r="I22" s="4">
        <v>0.10019197746346731</v>
      </c>
      <c r="J22" s="4">
        <v>0.21715059308607776</v>
      </c>
      <c r="K22" s="4">
        <v>0.20310639578599282</v>
      </c>
      <c r="L22" s="4">
        <v>0.28223059659138633</v>
      </c>
      <c r="M22" s="4">
        <v>0.31735883902805057</v>
      </c>
      <c r="N22" s="4">
        <v>0.25012494356870202</v>
      </c>
      <c r="O22" s="4">
        <v>0.24817518472724798</v>
      </c>
      <c r="P22" s="4">
        <v>0.41140287683181337</v>
      </c>
      <c r="Q22" s="4">
        <v>0.40259868623933776</v>
      </c>
      <c r="R22" s="4">
        <v>0.2219154302420577</v>
      </c>
      <c r="S22" s="4">
        <v>7.2393188687158031E-3</v>
      </c>
      <c r="T22" s="4">
        <v>0.59934173642551769</v>
      </c>
      <c r="U22" s="4">
        <v>0.65540834495734501</v>
      </c>
      <c r="V22" s="4">
        <v>1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x14ac:dyDescent="0.2">
      <c r="A23" s="4">
        <v>4</v>
      </c>
      <c r="B23" s="4">
        <v>9.6335103642244443E-2</v>
      </c>
      <c r="C23" s="4">
        <v>-3.5523331652336988E-2</v>
      </c>
      <c r="D23" s="4">
        <v>2.3663050909036618E-2</v>
      </c>
      <c r="E23" s="4">
        <v>4.2109707175873069E-2</v>
      </c>
      <c r="F23" s="4">
        <v>0.28867809047965193</v>
      </c>
      <c r="G23" s="4">
        <v>0.11579024325130596</v>
      </c>
      <c r="H23" s="4">
        <v>0.21616396758242384</v>
      </c>
      <c r="I23" s="4">
        <v>0.13493771160659099</v>
      </c>
      <c r="J23" s="4">
        <v>0.2003408953808832</v>
      </c>
      <c r="K23" s="4">
        <v>0.21301534234842892</v>
      </c>
      <c r="L23" s="4">
        <v>-2.9311071623090161E-3</v>
      </c>
      <c r="M23" s="4">
        <v>0.24520078132852763</v>
      </c>
      <c r="N23" s="4">
        <v>0.15778160971189148</v>
      </c>
      <c r="O23" s="4">
        <v>0.26297544070120588</v>
      </c>
      <c r="P23" s="4">
        <v>0.27722497908430682</v>
      </c>
      <c r="Q23" s="4">
        <v>0.29788974673657009</v>
      </c>
      <c r="R23" s="4">
        <v>0.24407797151576885</v>
      </c>
      <c r="S23" s="4">
        <v>0.32370693906008591</v>
      </c>
      <c r="T23" s="4">
        <v>0.35799843477509385</v>
      </c>
      <c r="U23" s="4">
        <v>0.33880968188893429</v>
      </c>
      <c r="V23" s="4">
        <v>0.4910780917126546</v>
      </c>
      <c r="W23" s="4">
        <v>1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2">
      <c r="A24" s="4">
        <v>4</v>
      </c>
      <c r="B24" s="4">
        <v>-0.1314288471665378</v>
      </c>
      <c r="C24" s="4">
        <v>2.3305871042552863E-2</v>
      </c>
      <c r="D24" s="4">
        <v>4.5817082963895653E-2</v>
      </c>
      <c r="E24" s="4">
        <v>6.9873647964895508E-2</v>
      </c>
      <c r="F24" s="4">
        <v>0.35128367444826225</v>
      </c>
      <c r="G24" s="4">
        <v>8.9189018593783573E-2</v>
      </c>
      <c r="H24" s="4">
        <v>0.1179531816743722</v>
      </c>
      <c r="I24" s="4">
        <v>-3.8867847343890059E-2</v>
      </c>
      <c r="J24" s="4">
        <v>0.28406168053100916</v>
      </c>
      <c r="K24" s="4">
        <v>0.15138288921024501</v>
      </c>
      <c r="L24" s="4">
        <v>0.12459660435199676</v>
      </c>
      <c r="M24" s="4">
        <v>0.21623669484720279</v>
      </c>
      <c r="N24" s="4">
        <v>0.18304569522144085</v>
      </c>
      <c r="O24" s="4">
        <v>-3.9468120178218588E-2</v>
      </c>
      <c r="P24" s="4">
        <v>0.20329100406014422</v>
      </c>
      <c r="Q24" s="4">
        <v>0.39898654559681884</v>
      </c>
      <c r="R24" s="4">
        <v>0.2662601488014798</v>
      </c>
      <c r="S24" s="4">
        <v>9.0607873284677912E-2</v>
      </c>
      <c r="T24" s="4">
        <v>0.30858935836917223</v>
      </c>
      <c r="U24" s="4">
        <v>0.55387194932272721</v>
      </c>
      <c r="V24" s="4">
        <v>0.45525008490360119</v>
      </c>
      <c r="W24" s="4">
        <v>0.42953898562396009</v>
      </c>
      <c r="X24" s="4">
        <v>1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2">
      <c r="A25" s="4">
        <v>3</v>
      </c>
      <c r="B25" s="4">
        <v>-7.5175750806048353E-2</v>
      </c>
      <c r="C25" s="4">
        <v>-6.1197981415068048E-2</v>
      </c>
      <c r="D25" s="4">
        <v>8.9180834862758906E-2</v>
      </c>
      <c r="E25" s="4">
        <v>-3.468324380942471E-2</v>
      </c>
      <c r="F25" s="4">
        <v>2.6549507067136335E-2</v>
      </c>
      <c r="G25" s="4">
        <v>-4.9701238447102239E-2</v>
      </c>
      <c r="H25" s="4">
        <v>7.2813191125270418E-2</v>
      </c>
      <c r="I25" s="4">
        <v>-7.8228860063737998E-2</v>
      </c>
      <c r="J25" s="4">
        <v>7.8008220160622921E-2</v>
      </c>
      <c r="K25" s="4">
        <v>-9.2525399472718692E-2</v>
      </c>
      <c r="L25" s="4">
        <v>0.13708092366667329</v>
      </c>
      <c r="M25" s="4">
        <v>0.1083005472356046</v>
      </c>
      <c r="N25" s="4">
        <v>0.12122771181951222</v>
      </c>
      <c r="O25" s="4">
        <v>4.9194133557442649E-2</v>
      </c>
      <c r="P25" s="4">
        <v>0.1043466446398708</v>
      </c>
      <c r="Q25" s="4">
        <v>7.7687492759817636E-2</v>
      </c>
      <c r="R25" s="4">
        <v>0.17685123144259829</v>
      </c>
      <c r="S25" s="4">
        <v>-6.476567904707714E-2</v>
      </c>
      <c r="T25" s="4">
        <v>0.18241271337521037</v>
      </c>
      <c r="U25" s="4">
        <v>0.29913137008350199</v>
      </c>
      <c r="V25" s="4">
        <v>0.24360585760208139</v>
      </c>
      <c r="W25" s="4">
        <v>0.12985065536047741</v>
      </c>
      <c r="X25" s="4">
        <v>0.36304760304732375</v>
      </c>
      <c r="Y25" s="4">
        <v>1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x14ac:dyDescent="0.2">
      <c r="A26" s="4">
        <v>3</v>
      </c>
      <c r="B26" s="4">
        <v>0.26611682865281566</v>
      </c>
      <c r="C26" s="4">
        <v>0.23559780959577151</v>
      </c>
      <c r="D26" s="4">
        <v>3.6952489540110087E-2</v>
      </c>
      <c r="E26" s="4">
        <v>0.31024713851416913</v>
      </c>
      <c r="F26" s="4">
        <v>0.4283635047584104</v>
      </c>
      <c r="G26" s="4">
        <v>0.40957587294924197</v>
      </c>
      <c r="H26" s="4">
        <v>0.4295421822310892</v>
      </c>
      <c r="I26" s="4">
        <v>0.36117495813147688</v>
      </c>
      <c r="J26" s="4">
        <v>0.34234375454429039</v>
      </c>
      <c r="K26" s="4">
        <v>0.28579125150127893</v>
      </c>
      <c r="L26" s="4">
        <v>0.37225655097752436</v>
      </c>
      <c r="M26" s="4">
        <v>0.3062157887593715</v>
      </c>
      <c r="N26" s="4">
        <v>0.4517978838060086</v>
      </c>
      <c r="O26" s="4">
        <v>0.25507990272146147</v>
      </c>
      <c r="P26" s="4">
        <v>0.37128319846828545</v>
      </c>
      <c r="Q26" s="4">
        <v>0.39865433756015184</v>
      </c>
      <c r="R26" s="4">
        <v>0.22198091865429803</v>
      </c>
      <c r="S26" s="4">
        <v>7.9424391567730193E-2</v>
      </c>
      <c r="T26" s="4">
        <v>0.42151383170283352</v>
      </c>
      <c r="U26" s="4">
        <v>0.51264649912997762</v>
      </c>
      <c r="V26" s="4">
        <v>0.37848475726952141</v>
      </c>
      <c r="W26" s="4">
        <v>0.41289419730290616</v>
      </c>
      <c r="X26" s="4">
        <v>0.44914039877129047</v>
      </c>
      <c r="Y26" s="4">
        <v>0.33882521395421278</v>
      </c>
      <c r="Z26" s="4">
        <v>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x14ac:dyDescent="0.2">
      <c r="A27" s="4">
        <v>2</v>
      </c>
      <c r="B27" s="4">
        <v>0.13897630761710417</v>
      </c>
      <c r="C27" s="4">
        <v>-5.4600432808052282E-2</v>
      </c>
      <c r="D27" s="4">
        <v>0.24778630086829764</v>
      </c>
      <c r="E27" s="4">
        <v>0.25854968817806218</v>
      </c>
      <c r="F27" s="4">
        <v>0.44612919586577177</v>
      </c>
      <c r="G27" s="4">
        <v>0.24617021535506242</v>
      </c>
      <c r="H27" s="4">
        <v>0.30677152461771379</v>
      </c>
      <c r="I27" s="4">
        <v>0.32243005095662503</v>
      </c>
      <c r="J27" s="4">
        <v>0.3667319695617447</v>
      </c>
      <c r="K27" s="4">
        <v>0.34301583159973059</v>
      </c>
      <c r="L27" s="4">
        <v>0.2985759144525385</v>
      </c>
      <c r="M27" s="4">
        <v>0.37559897353622596</v>
      </c>
      <c r="N27" s="4">
        <v>0.29336758693905501</v>
      </c>
      <c r="O27" s="4">
        <v>0.10651055669995728</v>
      </c>
      <c r="P27" s="4">
        <v>0.22280074886243612</v>
      </c>
      <c r="Q27" s="4">
        <v>0.38679744242633185</v>
      </c>
      <c r="R27" s="4">
        <v>0.24231452134698689</v>
      </c>
      <c r="S27" s="4">
        <v>0.39771406439022311</v>
      </c>
      <c r="T27" s="4">
        <v>0.30994873992985267</v>
      </c>
      <c r="U27" s="4">
        <v>0.35686053859450384</v>
      </c>
      <c r="V27" s="4">
        <v>0.43737080944342405</v>
      </c>
      <c r="W27" s="4">
        <v>0.49603532766524094</v>
      </c>
      <c r="X27" s="4">
        <v>0.44922079244406915</v>
      </c>
      <c r="Y27" s="4">
        <v>0.17006499313791007</v>
      </c>
      <c r="Z27" s="4">
        <v>0.41054924015281458</v>
      </c>
      <c r="AA27" s="4">
        <v>1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x14ac:dyDescent="0.2">
      <c r="A28" s="4">
        <v>1</v>
      </c>
      <c r="B28" s="4">
        <v>0.25244538683056639</v>
      </c>
      <c r="C28" s="4">
        <v>0.19229272288243968</v>
      </c>
      <c r="D28" s="4">
        <v>0.1648132118046905</v>
      </c>
      <c r="E28" s="4">
        <v>0.37233411698028201</v>
      </c>
      <c r="F28" s="4">
        <v>0.44110143436062937</v>
      </c>
      <c r="G28" s="4">
        <v>0.41200394611823887</v>
      </c>
      <c r="H28" s="4">
        <v>0.48226066915829974</v>
      </c>
      <c r="I28" s="4">
        <v>0.2843993551934057</v>
      </c>
      <c r="J28" s="4">
        <v>0.42993432588039793</v>
      </c>
      <c r="K28" s="4">
        <v>0.50076951745017284</v>
      </c>
      <c r="L28" s="4">
        <v>0.42622318145870192</v>
      </c>
      <c r="M28" s="4">
        <v>0.39947301660754103</v>
      </c>
      <c r="N28" s="4">
        <v>0.47034616905791016</v>
      </c>
      <c r="O28" s="4">
        <v>0.17043351755026934</v>
      </c>
      <c r="P28" s="4">
        <v>0.41467395647031247</v>
      </c>
      <c r="Q28" s="4">
        <v>0.3436187459741698</v>
      </c>
      <c r="R28" s="4">
        <v>0.36270289742774436</v>
      </c>
      <c r="S28" s="4">
        <v>8.0198990860203198E-2</v>
      </c>
      <c r="T28" s="4">
        <v>0.37468145806731951</v>
      </c>
      <c r="U28" s="4">
        <v>0.41260790457937174</v>
      </c>
      <c r="V28" s="4">
        <v>0.46452394184571061</v>
      </c>
      <c r="W28" s="4">
        <v>0.39342263945498823</v>
      </c>
      <c r="X28" s="4">
        <v>0.42125974553034051</v>
      </c>
      <c r="Y28" s="4">
        <v>0.17704448234824502</v>
      </c>
      <c r="Z28" s="4">
        <v>0.61166963694303778</v>
      </c>
      <c r="AA28" s="4">
        <v>0.57710745831194987</v>
      </c>
      <c r="AB28" s="4">
        <v>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x14ac:dyDescent="0.2">
      <c r="A29" s="4">
        <v>2</v>
      </c>
      <c r="B29" s="4">
        <v>0.31425460118061005</v>
      </c>
      <c r="C29" s="4">
        <v>0.16695625945832185</v>
      </c>
      <c r="D29" s="4">
        <v>0.16811419140286593</v>
      </c>
      <c r="E29" s="4">
        <v>0.36251954361667554</v>
      </c>
      <c r="F29" s="4">
        <v>0.42330582372187969</v>
      </c>
      <c r="G29" s="4">
        <v>0.3614989144375948</v>
      </c>
      <c r="H29" s="4">
        <v>0.44469036747089585</v>
      </c>
      <c r="I29" s="4">
        <v>0.42839248871562752</v>
      </c>
      <c r="J29" s="4">
        <v>0.47820038131097359</v>
      </c>
      <c r="K29" s="4">
        <v>0.63186074960008842</v>
      </c>
      <c r="L29" s="4">
        <v>0.50318268727018345</v>
      </c>
      <c r="M29" s="4">
        <v>0.44043937931231042</v>
      </c>
      <c r="N29" s="4">
        <v>0.38158007046084225</v>
      </c>
      <c r="O29" s="4">
        <v>0.29833608134561612</v>
      </c>
      <c r="P29" s="4">
        <v>0.35569241310921923</v>
      </c>
      <c r="Q29" s="4">
        <v>0.3315501821951175</v>
      </c>
      <c r="R29" s="4">
        <v>0.30895154189627821</v>
      </c>
      <c r="S29" s="4">
        <v>0.36299964290832731</v>
      </c>
      <c r="T29" s="4">
        <v>0.17842217622726136</v>
      </c>
      <c r="U29" s="4">
        <v>0.30434606874274134</v>
      </c>
      <c r="V29" s="4">
        <v>0.36508473177343403</v>
      </c>
      <c r="W29" s="4">
        <v>0.32810195495898214</v>
      </c>
      <c r="X29" s="4">
        <v>0.23648556567154635</v>
      </c>
      <c r="Y29" s="4">
        <v>3.5295379861324284E-2</v>
      </c>
      <c r="Z29" s="4">
        <v>0.36839749886098305</v>
      </c>
      <c r="AA29" s="4">
        <v>0.51341174020150859</v>
      </c>
      <c r="AB29" s="4">
        <v>0.5898067480048298</v>
      </c>
      <c r="AC29" s="4">
        <v>1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x14ac:dyDescent="0.2">
      <c r="A30" s="4">
        <v>4</v>
      </c>
      <c r="B30" s="4">
        <v>0.19009551002374192</v>
      </c>
      <c r="C30" s="4">
        <v>7.2154256017562785E-2</v>
      </c>
      <c r="D30" s="4">
        <v>7.7401959088986019E-2</v>
      </c>
      <c r="E30" s="4">
        <v>0.14801610132504001</v>
      </c>
      <c r="F30" s="4">
        <v>0.22762347994093704</v>
      </c>
      <c r="G30" s="4">
        <v>0.39842074224053625</v>
      </c>
      <c r="H30" s="4">
        <v>0.38166373018725441</v>
      </c>
      <c r="I30" s="4">
        <v>0.32230888457983486</v>
      </c>
      <c r="J30" s="4">
        <v>0.37907457941804923</v>
      </c>
      <c r="K30" s="4">
        <v>0.42615022516665912</v>
      </c>
      <c r="L30" s="4">
        <v>0.34912282354197899</v>
      </c>
      <c r="M30" s="4">
        <v>0.3506926668031779</v>
      </c>
      <c r="N30" s="4">
        <v>0.32153413093104494</v>
      </c>
      <c r="O30" s="4">
        <v>0.20973399244447008</v>
      </c>
      <c r="P30" s="4">
        <v>0.28857111590463541</v>
      </c>
      <c r="Q30" s="4">
        <v>0.1246795716822463</v>
      </c>
      <c r="R30" s="4">
        <v>0.18418930307728185</v>
      </c>
      <c r="S30" s="4">
        <v>0.23678456765728309</v>
      </c>
      <c r="T30" s="4">
        <v>0.10393449277205884</v>
      </c>
      <c r="U30" s="4">
        <v>0.15424881032068966</v>
      </c>
      <c r="V30" s="4">
        <v>0.1963389208621282</v>
      </c>
      <c r="W30" s="4">
        <v>0.26861501052051057</v>
      </c>
      <c r="X30" s="4">
        <v>0.14723405409752688</v>
      </c>
      <c r="Y30" s="4">
        <v>0.16939357993068382</v>
      </c>
      <c r="Z30" s="4">
        <v>0.42186960285414549</v>
      </c>
      <c r="AA30" s="4">
        <v>0.26375234644260248</v>
      </c>
      <c r="AB30" s="4">
        <v>0.4923334326352678</v>
      </c>
      <c r="AC30" s="4">
        <v>0.65731574920158764</v>
      </c>
      <c r="AD30" s="4">
        <v>1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x14ac:dyDescent="0.2">
      <c r="A31" s="4">
        <v>4</v>
      </c>
      <c r="B31" s="4">
        <v>0.1063756241145683</v>
      </c>
      <c r="C31" s="4">
        <v>-0.10834029960315099</v>
      </c>
      <c r="D31" s="4">
        <v>-0.11575912401773246</v>
      </c>
      <c r="E31" s="4">
        <v>0.16064043620152144</v>
      </c>
      <c r="F31" s="4">
        <v>8.8436415884730529E-2</v>
      </c>
      <c r="G31" s="4">
        <v>0.113251786070152</v>
      </c>
      <c r="H31" s="4">
        <v>0.26241396751520579</v>
      </c>
      <c r="I31" s="4">
        <v>0.15343800196497051</v>
      </c>
      <c r="J31" s="4">
        <v>4.1836177464637712E-2</v>
      </c>
      <c r="K31" s="4">
        <v>6.7020801611075112E-2</v>
      </c>
      <c r="L31" s="4">
        <v>0.16162486673761758</v>
      </c>
      <c r="M31" s="4">
        <v>8.7889496291788105E-2</v>
      </c>
      <c r="N31" s="4">
        <v>0.27602750753423649</v>
      </c>
      <c r="O31" s="4">
        <v>0.43195895056282257</v>
      </c>
      <c r="P31" s="4">
        <v>0.33124262137615507</v>
      </c>
      <c r="Q31" s="4">
        <v>0.17557141802207119</v>
      </c>
      <c r="R31" s="4">
        <v>0.22789624974250117</v>
      </c>
      <c r="S31" s="4">
        <v>0.14536466097743234</v>
      </c>
      <c r="T31" s="4">
        <v>0.13524258374331674</v>
      </c>
      <c r="U31" s="4">
        <v>0.13271389793229602</v>
      </c>
      <c r="V31" s="4">
        <v>0.18915342812615812</v>
      </c>
      <c r="W31" s="4">
        <v>0.30827321416164838</v>
      </c>
      <c r="X31" s="4">
        <v>7.9190403360588094E-2</v>
      </c>
      <c r="Y31" s="4">
        <v>0.21192518072839961</v>
      </c>
      <c r="Z31" s="4">
        <v>0.36564842521270113</v>
      </c>
      <c r="AA31" s="4">
        <v>0.22880623882083403</v>
      </c>
      <c r="AB31" s="4">
        <v>0.3481320211681056</v>
      </c>
      <c r="AC31" s="4">
        <v>0.34079104047405401</v>
      </c>
      <c r="AD31" s="4">
        <v>0.45869506778231545</v>
      </c>
      <c r="AE31" s="4">
        <v>1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x14ac:dyDescent="0.2">
      <c r="A32" s="4">
        <v>1</v>
      </c>
      <c r="B32" s="4">
        <v>8.6217780262473522E-4</v>
      </c>
      <c r="C32" s="4">
        <v>-9.0844661297941498E-2</v>
      </c>
      <c r="D32" s="4">
        <v>2.7315750474868505E-2</v>
      </c>
      <c r="E32" s="4">
        <v>0.13273474072889624</v>
      </c>
      <c r="F32" s="4">
        <v>0.22046162562008123</v>
      </c>
      <c r="G32" s="4">
        <v>6.6027323469849339E-2</v>
      </c>
      <c r="H32" s="4">
        <v>9.4507748579258907E-2</v>
      </c>
      <c r="I32" s="4">
        <v>0.24270229494404666</v>
      </c>
      <c r="J32" s="4">
        <v>0.14870958065326875</v>
      </c>
      <c r="K32" s="4">
        <v>0.24518358030072751</v>
      </c>
      <c r="L32" s="4">
        <v>4.6830734938609744E-2</v>
      </c>
      <c r="M32" s="4">
        <v>0.18257085633629952</v>
      </c>
      <c r="N32" s="4">
        <v>0.16768471004884372</v>
      </c>
      <c r="O32" s="4">
        <v>0.30644690823840842</v>
      </c>
      <c r="P32" s="4">
        <v>0.20697410664903262</v>
      </c>
      <c r="Q32" s="4">
        <v>0.36274588991926898</v>
      </c>
      <c r="R32" s="4">
        <v>0.16924843801524803</v>
      </c>
      <c r="S32" s="4">
        <v>0.29319469073585602</v>
      </c>
      <c r="T32" s="4">
        <v>0.1823237651747123</v>
      </c>
      <c r="U32" s="4">
        <v>0.29329700740029141</v>
      </c>
      <c r="V32" s="4">
        <v>0.29895000476958739</v>
      </c>
      <c r="W32" s="4">
        <v>0.35772630096992253</v>
      </c>
      <c r="X32" s="4">
        <v>0.34471645356341618</v>
      </c>
      <c r="Y32" s="4">
        <v>0.10864436577178845</v>
      </c>
      <c r="Z32" s="4">
        <v>0.38114746887988687</v>
      </c>
      <c r="AA32" s="4">
        <v>0.51329297836631527</v>
      </c>
      <c r="AB32" s="4">
        <v>0.31971531694483724</v>
      </c>
      <c r="AC32" s="4">
        <v>0.37323148122222694</v>
      </c>
      <c r="AD32" s="4">
        <v>0.13853602035519519</v>
      </c>
      <c r="AE32" s="4">
        <v>0.26670275352309808</v>
      </c>
      <c r="AF32" s="4">
        <v>1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x14ac:dyDescent="0.2">
      <c r="A33" s="4">
        <v>1</v>
      </c>
      <c r="B33" s="4">
        <v>0.35565618739574834</v>
      </c>
      <c r="C33" s="4">
        <v>0.29858684854107692</v>
      </c>
      <c r="D33" s="4">
        <v>0.13004920293323069</v>
      </c>
      <c r="E33" s="4">
        <v>0.39246908693783789</v>
      </c>
      <c r="F33" s="4">
        <v>0.49310500516801381</v>
      </c>
      <c r="G33" s="4">
        <v>0.30865165233502295</v>
      </c>
      <c r="H33" s="4">
        <v>0.40807607280745822</v>
      </c>
      <c r="I33" s="4">
        <v>0.2714331023220527</v>
      </c>
      <c r="J33" s="4">
        <v>0.37091646020784202</v>
      </c>
      <c r="K33" s="4">
        <v>0.31292215282234481</v>
      </c>
      <c r="L33" s="4">
        <v>0.24066489712384029</v>
      </c>
      <c r="M33" s="4">
        <v>0.28186840865570723</v>
      </c>
      <c r="N33" s="4">
        <v>0.25266188616722118</v>
      </c>
      <c r="O33" s="4">
        <v>0.11630052135181816</v>
      </c>
      <c r="P33" s="4">
        <v>0.20032031410314899</v>
      </c>
      <c r="Q33" s="4">
        <v>0.38995795863563554</v>
      </c>
      <c r="R33" s="4">
        <v>0.15216472619071769</v>
      </c>
      <c r="S33" s="4">
        <v>0.18516969188638283</v>
      </c>
      <c r="T33" s="4">
        <v>0.43448567915162106</v>
      </c>
      <c r="U33" s="4">
        <v>0.50574830741888932</v>
      </c>
      <c r="V33" s="4">
        <v>0.35196072858926364</v>
      </c>
      <c r="W33" s="4">
        <v>0.32415403034371976</v>
      </c>
      <c r="X33" s="4">
        <v>0.38605637756177813</v>
      </c>
      <c r="Y33" s="4">
        <v>3.0837508805765714E-2</v>
      </c>
      <c r="Z33" s="4">
        <v>0.41594084036359347</v>
      </c>
      <c r="AA33" s="4">
        <v>0.30427000571212409</v>
      </c>
      <c r="AB33" s="4">
        <v>0.39357822134523518</v>
      </c>
      <c r="AC33" s="4">
        <v>0.3077758135435773</v>
      </c>
      <c r="AD33" s="4">
        <v>9.6182474522032699E-2</v>
      </c>
      <c r="AE33" s="4">
        <v>3.1435531060561676E-2</v>
      </c>
      <c r="AF33" s="4">
        <v>0.43598289088923742</v>
      </c>
      <c r="AG33" s="4">
        <v>1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x14ac:dyDescent="0.2">
      <c r="A34" s="4">
        <v>2</v>
      </c>
      <c r="B34" s="4">
        <v>0.39317144482970456</v>
      </c>
      <c r="C34" s="4">
        <v>0.29290190116210568</v>
      </c>
      <c r="D34" s="4">
        <v>0.16331296897716269</v>
      </c>
      <c r="E34" s="4">
        <v>0.40774458963536098</v>
      </c>
      <c r="F34" s="4">
        <v>0.34884160170120476</v>
      </c>
      <c r="G34" s="4">
        <v>0.15058720337688358</v>
      </c>
      <c r="H34" s="4">
        <v>0.31807749796219792</v>
      </c>
      <c r="I34" s="4">
        <v>0.30653581534641772</v>
      </c>
      <c r="J34" s="4">
        <v>0.20962082136121069</v>
      </c>
      <c r="K34" s="4">
        <v>0.32187031566006652</v>
      </c>
      <c r="L34" s="4">
        <v>0.17748234215573308</v>
      </c>
      <c r="M34" s="4">
        <v>0.22053256227498416</v>
      </c>
      <c r="N34" s="4">
        <v>0.15375121709276429</v>
      </c>
      <c r="O34" s="4">
        <v>0.1973593910941297</v>
      </c>
      <c r="P34" s="4">
        <v>0.11560201238169958</v>
      </c>
      <c r="Q34" s="4">
        <v>5.7936536177628548E-2</v>
      </c>
      <c r="R34" s="4">
        <v>2.913432332543057E-3</v>
      </c>
      <c r="S34" s="4">
        <v>0.16894946531635974</v>
      </c>
      <c r="T34" s="4">
        <v>0.16564398568786526</v>
      </c>
      <c r="U34" s="4">
        <v>8.0357436766961374E-2</v>
      </c>
      <c r="V34" s="4">
        <v>-1.228595884063023E-3</v>
      </c>
      <c r="W34" s="4">
        <v>0.11543926131330214</v>
      </c>
      <c r="X34" s="4">
        <v>-0.12168251685588367</v>
      </c>
      <c r="Y34" s="4">
        <v>4.0364154868449166E-2</v>
      </c>
      <c r="Z34" s="4">
        <v>0.1429036890683999</v>
      </c>
      <c r="AA34" s="4">
        <v>7.9241151220547187E-2</v>
      </c>
      <c r="AB34" s="4">
        <v>0.19179244244508001</v>
      </c>
      <c r="AC34" s="4">
        <v>0.17594906083801479</v>
      </c>
      <c r="AD34" s="4">
        <v>0.10689954846395541</v>
      </c>
      <c r="AE34" s="4">
        <v>0.16674998230846172</v>
      </c>
      <c r="AF34" s="4">
        <v>0.21289304896885658</v>
      </c>
      <c r="AG34" s="4">
        <v>0.30765594957502834</v>
      </c>
      <c r="AH34" s="4">
        <v>1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x14ac:dyDescent="0.2">
      <c r="A35" s="4">
        <v>2</v>
      </c>
      <c r="B35" s="4">
        <v>0.23534756744863514</v>
      </c>
      <c r="C35" s="4">
        <v>0.17670977771561439</v>
      </c>
      <c r="D35" s="4">
        <v>9.3014774146539761E-2</v>
      </c>
      <c r="E35" s="4">
        <v>0.29531264060891443</v>
      </c>
      <c r="F35" s="4">
        <v>0.40310690833626617</v>
      </c>
      <c r="G35" s="4">
        <v>0.35921372283152603</v>
      </c>
      <c r="H35" s="4">
        <v>0.4126614734115911</v>
      </c>
      <c r="I35" s="4">
        <v>0.42674834120976246</v>
      </c>
      <c r="J35" s="4">
        <v>0.40299672480906834</v>
      </c>
      <c r="K35" s="4">
        <v>0.4035357211957209</v>
      </c>
      <c r="L35" s="4">
        <v>0.44106746899010496</v>
      </c>
      <c r="M35" s="4">
        <v>0.46206785754113239</v>
      </c>
      <c r="N35" s="4">
        <v>0.37571084600524912</v>
      </c>
      <c r="O35" s="4">
        <v>0.17940105167766365</v>
      </c>
      <c r="P35" s="4">
        <v>0.37355551502973205</v>
      </c>
      <c r="Q35" s="4">
        <v>0.54580770964800895</v>
      </c>
      <c r="R35" s="4">
        <v>0.23157001931275717</v>
      </c>
      <c r="S35" s="4">
        <v>0.18400193110613347</v>
      </c>
      <c r="T35" s="4">
        <v>0.38025573059189888</v>
      </c>
      <c r="U35" s="4">
        <v>0.41305610425170197</v>
      </c>
      <c r="V35" s="4">
        <v>0.36878750773362456</v>
      </c>
      <c r="W35" s="4">
        <v>0.31390986609949267</v>
      </c>
      <c r="X35" s="4">
        <v>0.24155311200281937</v>
      </c>
      <c r="Y35" s="4">
        <v>0.10466313895354364</v>
      </c>
      <c r="Z35" s="4">
        <v>0.43597336796583586</v>
      </c>
      <c r="AA35" s="4">
        <v>0.44379305054491958</v>
      </c>
      <c r="AB35" s="4">
        <v>0.44124410690556637</v>
      </c>
      <c r="AC35" s="4">
        <v>0.37714669800666151</v>
      </c>
      <c r="AD35" s="4">
        <v>0.21116294673317135</v>
      </c>
      <c r="AE35" s="4">
        <v>0.18710769355237458</v>
      </c>
      <c r="AF35" s="4">
        <v>0.42183218101437481</v>
      </c>
      <c r="AG35" s="4">
        <v>0.34682367161364902</v>
      </c>
      <c r="AH35" s="4">
        <v>0.38975974032383365</v>
      </c>
      <c r="AI35" s="4">
        <v>1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x14ac:dyDescent="0.2">
      <c r="A36" s="4">
        <v>2</v>
      </c>
      <c r="B36" s="4">
        <v>0.27787370426634039</v>
      </c>
      <c r="C36" s="4">
        <v>0.14176229029533011</v>
      </c>
      <c r="D36" s="4">
        <v>4.2049735358072729E-2</v>
      </c>
      <c r="E36" s="4">
        <v>0.26452760888835603</v>
      </c>
      <c r="F36" s="4">
        <v>0.38644893874619535</v>
      </c>
      <c r="G36" s="4">
        <v>0.36374701817546762</v>
      </c>
      <c r="H36" s="4">
        <v>0.48159768506802825</v>
      </c>
      <c r="I36" s="4">
        <v>0.32747157059722731</v>
      </c>
      <c r="J36" s="4">
        <v>0.45468700784722615</v>
      </c>
      <c r="K36" s="4">
        <v>0.35574428192635804</v>
      </c>
      <c r="L36" s="4">
        <v>0.48393942751560726</v>
      </c>
      <c r="M36" s="4">
        <v>0.43655649325895729</v>
      </c>
      <c r="N36" s="4">
        <v>0.41108373864560421</v>
      </c>
      <c r="O36" s="4">
        <v>-1.0799852650885979E-2</v>
      </c>
      <c r="P36" s="4">
        <v>0.20135402201686387</v>
      </c>
      <c r="Q36" s="4">
        <v>0.37195983297673779</v>
      </c>
      <c r="R36" s="4">
        <v>0.20192768684885834</v>
      </c>
      <c r="S36" s="4">
        <v>6.5351829087668442E-2</v>
      </c>
      <c r="T36" s="4">
        <v>0.33408565828181652</v>
      </c>
      <c r="U36" s="4">
        <v>0.38284670944059612</v>
      </c>
      <c r="V36" s="4">
        <v>0.27319016058518253</v>
      </c>
      <c r="W36" s="4">
        <v>0.31780823487765542</v>
      </c>
      <c r="X36" s="4">
        <v>0.27956448711560539</v>
      </c>
      <c r="Y36" s="4">
        <v>0.20560021189085853</v>
      </c>
      <c r="Z36" s="4">
        <v>0.42715136485747546</v>
      </c>
      <c r="AA36" s="4">
        <v>0.49750889990656694</v>
      </c>
      <c r="AB36" s="4">
        <v>0.51336107726462854</v>
      </c>
      <c r="AC36" s="4">
        <v>0.43157079876162929</v>
      </c>
      <c r="AD36" s="4">
        <v>0.34098794262625348</v>
      </c>
      <c r="AE36" s="4">
        <v>0.21115551107282587</v>
      </c>
      <c r="AF36" s="4">
        <v>0.30486568526237529</v>
      </c>
      <c r="AG36" s="4">
        <v>0.33404550432241992</v>
      </c>
      <c r="AH36" s="4">
        <v>0.27405625515626703</v>
      </c>
      <c r="AI36" s="4">
        <v>0.76350563858233211</v>
      </c>
      <c r="AJ36" s="4">
        <v>1</v>
      </c>
      <c r="AK36" s="4"/>
      <c r="AL36" s="4"/>
      <c r="AM36" s="4"/>
      <c r="AN36" s="4"/>
      <c r="AO36" s="4"/>
      <c r="AP36" s="4"/>
      <c r="AQ36" s="4"/>
      <c r="AR36" s="4"/>
      <c r="AS36" s="4"/>
    </row>
    <row r="37" spans="1:45" x14ac:dyDescent="0.2">
      <c r="A37" s="4">
        <v>2</v>
      </c>
      <c r="B37" s="4">
        <v>0.29366933934009815</v>
      </c>
      <c r="C37" s="4">
        <v>0.29943537194559589</v>
      </c>
      <c r="D37" s="4">
        <v>0.23711520550571366</v>
      </c>
      <c r="E37" s="4">
        <v>0.32046707664935903</v>
      </c>
      <c r="F37" s="4">
        <v>0.2695342981383958</v>
      </c>
      <c r="G37" s="4">
        <v>0.43232163091114389</v>
      </c>
      <c r="H37" s="4">
        <v>0.43569834327239204</v>
      </c>
      <c r="I37" s="4">
        <v>0.21860264445059072</v>
      </c>
      <c r="J37" s="4">
        <v>0.47384805794811813</v>
      </c>
      <c r="K37" s="4">
        <v>0.22420965140661095</v>
      </c>
      <c r="L37" s="4">
        <v>0.40309925637520189</v>
      </c>
      <c r="M37" s="4">
        <v>0.38404525727300265</v>
      </c>
      <c r="N37" s="4">
        <v>0.33681828648973122</v>
      </c>
      <c r="O37" s="4">
        <v>-0.11964239083192318</v>
      </c>
      <c r="P37" s="4">
        <v>-6.6328807039181148E-2</v>
      </c>
      <c r="Q37" s="4">
        <v>0.10877050068910088</v>
      </c>
      <c r="R37" s="4">
        <v>3.4651457920890347E-2</v>
      </c>
      <c r="S37" s="4">
        <v>1.5250385353606285E-2</v>
      </c>
      <c r="T37" s="4">
        <v>0.21274741359549726</v>
      </c>
      <c r="U37" s="4">
        <v>0.20513858350147568</v>
      </c>
      <c r="V37" s="4">
        <v>-6.6993159862632615E-2</v>
      </c>
      <c r="W37" s="4">
        <v>-3.9724411777437227E-2</v>
      </c>
      <c r="X37" s="4">
        <v>0.2384993167471065</v>
      </c>
      <c r="Y37" s="4">
        <v>0.15331666677883249</v>
      </c>
      <c r="Z37" s="4">
        <v>0.21756523396866559</v>
      </c>
      <c r="AA37" s="4">
        <v>0.21142670279686832</v>
      </c>
      <c r="AB37" s="4">
        <v>0.35303112154149152</v>
      </c>
      <c r="AC37" s="4">
        <v>0.25150995641425283</v>
      </c>
      <c r="AD37" s="4">
        <v>0.17448964564147462</v>
      </c>
      <c r="AE37" s="4">
        <v>7.1327278575503389E-2</v>
      </c>
      <c r="AF37" s="4">
        <v>3.2600617883397562E-2</v>
      </c>
      <c r="AG37" s="4">
        <v>0.31399956739692858</v>
      </c>
      <c r="AH37" s="4">
        <v>0.1188320888933075</v>
      </c>
      <c r="AI37" s="4">
        <v>0.3133248948991767</v>
      </c>
      <c r="AJ37" s="4">
        <v>0.37841414824924569</v>
      </c>
      <c r="AK37" s="4">
        <v>1</v>
      </c>
      <c r="AL37" s="4"/>
      <c r="AM37" s="4"/>
      <c r="AN37" s="4"/>
      <c r="AO37" s="4"/>
      <c r="AP37" s="4"/>
      <c r="AQ37" s="4"/>
      <c r="AR37" s="4"/>
      <c r="AS37" s="4"/>
    </row>
    <row r="38" spans="1:45" x14ac:dyDescent="0.2">
      <c r="A38" s="4">
        <v>2</v>
      </c>
      <c r="B38" s="4">
        <v>0.29971571385242235</v>
      </c>
      <c r="C38" s="4">
        <v>0.29877585173592436</v>
      </c>
      <c r="D38" s="4">
        <v>7.8511056394784562E-2</v>
      </c>
      <c r="E38" s="4">
        <v>0.22984210776323818</v>
      </c>
      <c r="F38" s="4">
        <v>0.26135863058675768</v>
      </c>
      <c r="G38" s="4">
        <v>0.12428988942732981</v>
      </c>
      <c r="H38" s="4">
        <v>0.11200691220625099</v>
      </c>
      <c r="I38" s="4">
        <v>0.1583593826101391</v>
      </c>
      <c r="J38" s="4">
        <v>3.3341107004972316E-2</v>
      </c>
      <c r="K38" s="4">
        <v>0.20427860205034173</v>
      </c>
      <c r="L38" s="4">
        <v>0.14996689672291308</v>
      </c>
      <c r="M38" s="4">
        <v>1.134547893558673E-2</v>
      </c>
      <c r="N38" s="4">
        <v>6.4827071367823827E-2</v>
      </c>
      <c r="O38" s="4">
        <v>0.39183314871512526</v>
      </c>
      <c r="P38" s="4">
        <v>0.29911725535676331</v>
      </c>
      <c r="Q38" s="4">
        <v>0.22256450224888008</v>
      </c>
      <c r="R38" s="4">
        <v>0.26061082712562844</v>
      </c>
      <c r="S38" s="4">
        <v>0.10435693948082196</v>
      </c>
      <c r="T38" s="4">
        <v>0.12030354815729315</v>
      </c>
      <c r="U38" s="4">
        <v>5.4110973810409038E-2</v>
      </c>
      <c r="V38" s="4">
        <v>0.11338333970362163</v>
      </c>
      <c r="W38" s="4">
        <v>7.7526333966301167E-2</v>
      </c>
      <c r="X38" s="4">
        <v>9.6317549116076165E-2</v>
      </c>
      <c r="Y38" s="4">
        <v>3.0971367728377216E-2</v>
      </c>
      <c r="Z38" s="4">
        <v>0.20646336896397194</v>
      </c>
      <c r="AA38" s="4">
        <v>0.18995014985588365</v>
      </c>
      <c r="AB38" s="4">
        <v>0.22454535548218529</v>
      </c>
      <c r="AC38" s="4">
        <v>0.19669157513613281</v>
      </c>
      <c r="AD38" s="4">
        <v>0.14779121695137704</v>
      </c>
      <c r="AE38" s="4">
        <v>0.21701379180696714</v>
      </c>
      <c r="AF38" s="4">
        <v>0.18497918627521856</v>
      </c>
      <c r="AG38" s="4">
        <v>6.4261468338874833E-2</v>
      </c>
      <c r="AH38" s="4">
        <v>0.1530046318011567</v>
      </c>
      <c r="AI38" s="4">
        <v>0.1641534306194331</v>
      </c>
      <c r="AJ38" s="4">
        <v>0.12656835672334169</v>
      </c>
      <c r="AK38" s="4">
        <v>0.37436063219799309</v>
      </c>
      <c r="AL38" s="4">
        <v>1</v>
      </c>
      <c r="AM38" s="4"/>
      <c r="AN38" s="4"/>
      <c r="AO38" s="4"/>
      <c r="AP38" s="4"/>
      <c r="AQ38" s="4"/>
      <c r="AR38" s="4"/>
      <c r="AS38" s="4"/>
    </row>
    <row r="39" spans="1:45" x14ac:dyDescent="0.2">
      <c r="A39" s="4">
        <v>3</v>
      </c>
      <c r="B39" s="4">
        <v>9.8078411924190742E-2</v>
      </c>
      <c r="C39" s="4">
        <v>-0.12991477929680731</v>
      </c>
      <c r="D39" s="4">
        <v>0.13631704689413518</v>
      </c>
      <c r="E39" s="4">
        <v>0.1162124841093643</v>
      </c>
      <c r="F39" s="4">
        <v>0.22583488578647709</v>
      </c>
      <c r="G39" s="4">
        <v>0.19217492310334705</v>
      </c>
      <c r="H39" s="4">
        <v>0.21957559508472455</v>
      </c>
      <c r="I39" s="4">
        <v>0.24991746355880118</v>
      </c>
      <c r="J39" s="4">
        <v>0.16039656178831213</v>
      </c>
      <c r="K39" s="4">
        <v>0.24498261945789698</v>
      </c>
      <c r="L39" s="4">
        <v>4.7064548770106669E-3</v>
      </c>
      <c r="M39" s="4">
        <v>0.35632102397434268</v>
      </c>
      <c r="N39" s="4">
        <v>0.20627680469166426</v>
      </c>
      <c r="O39" s="4">
        <v>0.20541804847098377</v>
      </c>
      <c r="P39" s="4">
        <v>0.17451465436328256</v>
      </c>
      <c r="Q39" s="4">
        <v>0.14385666684103607</v>
      </c>
      <c r="R39" s="4">
        <v>9.0293580267771734E-2</v>
      </c>
      <c r="S39" s="4">
        <v>0.21928380721696528</v>
      </c>
      <c r="T39" s="4">
        <v>0.23503774516922218</v>
      </c>
      <c r="U39" s="4">
        <v>7.0667478923295043E-2</v>
      </c>
      <c r="V39" s="4">
        <v>0.36268510575221213</v>
      </c>
      <c r="W39" s="4">
        <v>0.38226125197506072</v>
      </c>
      <c r="X39" s="4">
        <v>8.9961531572460646E-2</v>
      </c>
      <c r="Y39" s="4">
        <v>8.9521458920158017E-2</v>
      </c>
      <c r="Z39" s="4">
        <v>0.12239656292649491</v>
      </c>
      <c r="AA39" s="4">
        <v>0.33136565242685778</v>
      </c>
      <c r="AB39" s="4">
        <v>0.29019533417208471</v>
      </c>
      <c r="AC39" s="4">
        <v>0.18653264108842194</v>
      </c>
      <c r="AD39" s="4">
        <v>0.18971736691127081</v>
      </c>
      <c r="AE39" s="4">
        <v>0.16107483872065304</v>
      </c>
      <c r="AF39" s="4">
        <v>0.35659787716455948</v>
      </c>
      <c r="AG39" s="4">
        <v>0.1939732276146228</v>
      </c>
      <c r="AH39" s="4">
        <v>0.21629478052311699</v>
      </c>
      <c r="AI39" s="4">
        <v>0.22956244793842925</v>
      </c>
      <c r="AJ39" s="4">
        <v>0.16065065861317274</v>
      </c>
      <c r="AK39" s="4">
        <v>-1.0110468912648943E-2</v>
      </c>
      <c r="AL39" s="4">
        <v>0.1800845716563805</v>
      </c>
      <c r="AM39" s="4">
        <v>1</v>
      </c>
      <c r="AN39" s="4"/>
      <c r="AO39" s="4"/>
      <c r="AP39" s="4"/>
      <c r="AQ39" s="4"/>
      <c r="AR39" s="4"/>
      <c r="AS39" s="4"/>
    </row>
    <row r="40" spans="1:45" x14ac:dyDescent="0.2">
      <c r="A40" s="4">
        <v>3</v>
      </c>
      <c r="B40" s="4">
        <v>0.16603614453578677</v>
      </c>
      <c r="C40" s="4">
        <v>9.4736245462325008E-2</v>
      </c>
      <c r="D40" s="4">
        <v>0.19875842093025869</v>
      </c>
      <c r="E40" s="4">
        <v>0.21815117048494614</v>
      </c>
      <c r="F40" s="4">
        <v>0.32536490882869007</v>
      </c>
      <c r="G40" s="4">
        <v>0.21292409390027381</v>
      </c>
      <c r="H40" s="4">
        <v>0.28428833871291342</v>
      </c>
      <c r="I40" s="4">
        <v>0.24582354228279921</v>
      </c>
      <c r="J40" s="4">
        <v>0.22497251193138842</v>
      </c>
      <c r="K40" s="4">
        <v>0.3354604801624716</v>
      </c>
      <c r="L40" s="4">
        <v>0.18000515199038175</v>
      </c>
      <c r="M40" s="4">
        <v>0.38365389367923841</v>
      </c>
      <c r="N40" s="4">
        <v>0.34245414951903302</v>
      </c>
      <c r="O40" s="4">
        <v>0.23806818984515818</v>
      </c>
      <c r="P40" s="4">
        <v>0.22789745331389882</v>
      </c>
      <c r="Q40" s="4">
        <v>0.19533554975141484</v>
      </c>
      <c r="R40" s="4">
        <v>0.11924259814505553</v>
      </c>
      <c r="S40" s="4">
        <v>0.31110349955228728</v>
      </c>
      <c r="T40" s="4">
        <v>0.29860534059346011</v>
      </c>
      <c r="U40" s="4">
        <v>5.7157499632196684E-2</v>
      </c>
      <c r="V40" s="4">
        <v>0.27133387031089473</v>
      </c>
      <c r="W40" s="4">
        <v>0.24073533679617529</v>
      </c>
      <c r="X40" s="4">
        <v>2.9971431417068529E-2</v>
      </c>
      <c r="Y40" s="4">
        <v>3.4571832689409027E-2</v>
      </c>
      <c r="Z40" s="4">
        <v>8.2282013004633461E-2</v>
      </c>
      <c r="AA40" s="4">
        <v>0.22917804444344153</v>
      </c>
      <c r="AB40" s="4">
        <v>0.30850373814404131</v>
      </c>
      <c r="AC40" s="4">
        <v>0.29706065143064536</v>
      </c>
      <c r="AD40" s="4">
        <v>0.27155367775353612</v>
      </c>
      <c r="AE40" s="4">
        <v>0.2594463889296803</v>
      </c>
      <c r="AF40" s="4">
        <v>0.17385869692508416</v>
      </c>
      <c r="AG40" s="4">
        <v>-9.0029552337490635E-3</v>
      </c>
      <c r="AH40" s="4">
        <v>0.33480515152738949</v>
      </c>
      <c r="AI40" s="4">
        <v>0.22741751111110525</v>
      </c>
      <c r="AJ40" s="4">
        <v>0.13383903192643937</v>
      </c>
      <c r="AK40" s="4">
        <v>6.4606023138155041E-2</v>
      </c>
      <c r="AL40" s="4">
        <v>0.24623539516684978</v>
      </c>
      <c r="AM40" s="4">
        <v>0.66446435058956399</v>
      </c>
      <c r="AN40" s="4">
        <v>1</v>
      </c>
      <c r="AO40" s="4"/>
      <c r="AP40" s="4"/>
      <c r="AQ40" s="4"/>
      <c r="AR40" s="4"/>
      <c r="AS40" s="4"/>
    </row>
    <row r="41" spans="1:45" x14ac:dyDescent="0.2">
      <c r="A41" s="4">
        <v>3</v>
      </c>
      <c r="B41" s="4">
        <v>0.14960098353752035</v>
      </c>
      <c r="C41" s="4">
        <v>3.5650454996327026E-2</v>
      </c>
      <c r="D41" s="4">
        <v>-2.0708766872690122E-2</v>
      </c>
      <c r="E41" s="4">
        <v>2.340685478902222E-2</v>
      </c>
      <c r="F41" s="4">
        <v>0.1876265098795401</v>
      </c>
      <c r="G41" s="4">
        <v>0.14221686492931296</v>
      </c>
      <c r="H41" s="4">
        <v>0.10980709184008805</v>
      </c>
      <c r="I41" s="4">
        <v>0.17035954324395317</v>
      </c>
      <c r="J41" s="4">
        <v>0.18952271806379647</v>
      </c>
      <c r="K41" s="4">
        <v>0.24376125199387869</v>
      </c>
      <c r="L41" s="4">
        <v>9.5822181813043042E-2</v>
      </c>
      <c r="M41" s="4">
        <v>0.23476767983077512</v>
      </c>
      <c r="N41" s="4">
        <v>0.24919630030229517</v>
      </c>
      <c r="O41" s="4">
        <v>0.26050546313173273</v>
      </c>
      <c r="P41" s="4">
        <v>0.19557810701617348</v>
      </c>
      <c r="Q41" s="4">
        <v>0.19940076576168031</v>
      </c>
      <c r="R41" s="4">
        <v>8.2564770192097861E-2</v>
      </c>
      <c r="S41" s="4">
        <v>0.28740398785942628</v>
      </c>
      <c r="T41" s="4">
        <v>0.2881190565900078</v>
      </c>
      <c r="U41" s="4">
        <v>0.1063505234379036</v>
      </c>
      <c r="V41" s="4">
        <v>0.305577540638441</v>
      </c>
      <c r="W41" s="4">
        <v>0.39486341445938999</v>
      </c>
      <c r="X41" s="4">
        <v>4.365293616415207E-2</v>
      </c>
      <c r="Y41" s="4">
        <v>-0.11013816989713819</v>
      </c>
      <c r="Z41" s="4">
        <v>6.1775587575749691E-2</v>
      </c>
      <c r="AA41" s="4">
        <v>0.20390801677843498</v>
      </c>
      <c r="AB41" s="4">
        <v>0.1848497244786993</v>
      </c>
      <c r="AC41" s="4">
        <v>0.28327413341047242</v>
      </c>
      <c r="AD41" s="4">
        <v>0.16387266530790401</v>
      </c>
      <c r="AE41" s="4">
        <v>0.13571236396075911</v>
      </c>
      <c r="AF41" s="4">
        <v>0.22642963690787823</v>
      </c>
      <c r="AG41" s="4">
        <v>0.11045184385355841</v>
      </c>
      <c r="AH41" s="4">
        <v>0.16568156178424009</v>
      </c>
      <c r="AI41" s="4">
        <v>0.23374616228114026</v>
      </c>
      <c r="AJ41" s="4">
        <v>0.15893732396599364</v>
      </c>
      <c r="AK41" s="4">
        <v>-3.0694986571793186E-2</v>
      </c>
      <c r="AL41" s="4">
        <v>0.22798277395414226</v>
      </c>
      <c r="AM41" s="4">
        <v>0.5388653347886796</v>
      </c>
      <c r="AN41" s="4">
        <v>0.62013817769741009</v>
      </c>
      <c r="AO41" s="4">
        <v>1</v>
      </c>
      <c r="AP41" s="4"/>
      <c r="AQ41" s="4"/>
      <c r="AR41" s="4"/>
      <c r="AS41" s="4"/>
    </row>
    <row r="42" spans="1:45" x14ac:dyDescent="0.2">
      <c r="A42" s="4">
        <v>1</v>
      </c>
      <c r="B42" s="4">
        <v>0.23006262216245932</v>
      </c>
      <c r="C42" s="4">
        <v>0.14350801765732982</v>
      </c>
      <c r="D42" s="4">
        <v>0.18267225084679345</v>
      </c>
      <c r="E42" s="4">
        <v>0.27019200512484259</v>
      </c>
      <c r="F42" s="4">
        <v>0.27635095442209967</v>
      </c>
      <c r="G42" s="4">
        <v>0.35085816793575342</v>
      </c>
      <c r="H42" s="4">
        <v>0.48446492533480517</v>
      </c>
      <c r="I42" s="4">
        <v>0.17290299396463343</v>
      </c>
      <c r="J42" s="4">
        <v>0.36423764127685054</v>
      </c>
      <c r="K42" s="4">
        <v>0.22947926725355799</v>
      </c>
      <c r="L42" s="4">
        <v>0.44582948584003901</v>
      </c>
      <c r="M42" s="4">
        <v>0.37918573674124351</v>
      </c>
      <c r="N42" s="4">
        <v>0.41270760412285823</v>
      </c>
      <c r="O42" s="4">
        <v>-3.8594068217985951E-2</v>
      </c>
      <c r="P42" s="4">
        <v>0.18159173264062525</v>
      </c>
      <c r="Q42" s="4">
        <v>0.29106537527099224</v>
      </c>
      <c r="R42" s="4">
        <v>0.17502355549236348</v>
      </c>
      <c r="S42" s="4">
        <v>2.589453095253651E-2</v>
      </c>
      <c r="T42" s="4">
        <v>0.29186036730154458</v>
      </c>
      <c r="U42" s="4">
        <v>0.28692852912728711</v>
      </c>
      <c r="V42" s="4">
        <v>0.31177634729868459</v>
      </c>
      <c r="W42" s="4">
        <v>0.19706910667888025</v>
      </c>
      <c r="X42" s="4">
        <v>0.36187298518818622</v>
      </c>
      <c r="Y42" s="4">
        <v>0.1329865339572299</v>
      </c>
      <c r="Z42" s="4">
        <v>0.16610608294603371</v>
      </c>
      <c r="AA42" s="4">
        <v>0.28846821957578561</v>
      </c>
      <c r="AB42" s="4">
        <v>0.31742181391390134</v>
      </c>
      <c r="AC42" s="4">
        <v>0.21861934321311552</v>
      </c>
      <c r="AD42" s="4">
        <v>3.4805046847834289E-3</v>
      </c>
      <c r="AE42" s="4">
        <v>3.4796418334736103E-2</v>
      </c>
      <c r="AF42" s="4">
        <v>7.3549751191856916E-2</v>
      </c>
      <c r="AG42" s="4">
        <v>0.3462688990204878</v>
      </c>
      <c r="AH42" s="4">
        <v>6.6095858947601447E-3</v>
      </c>
      <c r="AI42" s="4">
        <v>0.38615200100647878</v>
      </c>
      <c r="AJ42" s="4">
        <v>0.47724278948008142</v>
      </c>
      <c r="AK42" s="4">
        <v>0.37070537613010096</v>
      </c>
      <c r="AL42" s="4">
        <v>4.0229545363954226E-2</v>
      </c>
      <c r="AM42" s="4">
        <v>0.20083726157726889</v>
      </c>
      <c r="AN42" s="4">
        <v>0.12144104540458636</v>
      </c>
      <c r="AO42" s="4">
        <v>0.13688799440912425</v>
      </c>
      <c r="AP42" s="4">
        <v>1</v>
      </c>
      <c r="AQ42" s="4"/>
      <c r="AR42" s="4"/>
      <c r="AS42" s="4"/>
    </row>
    <row r="43" spans="1:45" x14ac:dyDescent="0.2">
      <c r="A43" s="4">
        <v>2</v>
      </c>
      <c r="B43" s="4">
        <v>0.33823639614225504</v>
      </c>
      <c r="C43" s="4">
        <v>0.32398510914237433</v>
      </c>
      <c r="D43" s="4">
        <v>0.10066932924228794</v>
      </c>
      <c r="E43" s="4">
        <v>0.38019830274897504</v>
      </c>
      <c r="F43" s="4">
        <v>0.40113944079784059</v>
      </c>
      <c r="G43" s="4">
        <v>0.28135523672552215</v>
      </c>
      <c r="H43" s="4">
        <v>0.30765697817236964</v>
      </c>
      <c r="I43" s="4">
        <v>0.35951874369438752</v>
      </c>
      <c r="J43" s="4">
        <v>0.35005876327869795</v>
      </c>
      <c r="K43" s="4">
        <v>0.3893682298972253</v>
      </c>
      <c r="L43" s="4">
        <v>0.384445315669944</v>
      </c>
      <c r="M43" s="4">
        <v>0.40880863178035226</v>
      </c>
      <c r="N43" s="4">
        <v>0.30253518743045338</v>
      </c>
      <c r="O43" s="4">
        <v>4.3414877626808387E-2</v>
      </c>
      <c r="P43" s="4">
        <v>0.18468084357081108</v>
      </c>
      <c r="Q43" s="4">
        <v>0.47033029729025072</v>
      </c>
      <c r="R43" s="4">
        <v>0.21041811644441583</v>
      </c>
      <c r="S43" s="4">
        <v>0.21034054376475195</v>
      </c>
      <c r="T43" s="4">
        <v>0.25179725645074291</v>
      </c>
      <c r="U43" s="4">
        <v>0.43232680800978573</v>
      </c>
      <c r="V43" s="4">
        <v>0.30401966529167862</v>
      </c>
      <c r="W43" s="4">
        <v>0.28131588327554274</v>
      </c>
      <c r="X43" s="4">
        <v>0.39014036245791367</v>
      </c>
      <c r="Y43" s="4">
        <v>0.15118169140200655</v>
      </c>
      <c r="Z43" s="4">
        <v>0.46378917534776842</v>
      </c>
      <c r="AA43" s="4">
        <v>0.29103567407117048</v>
      </c>
      <c r="AB43" s="4">
        <v>0.42758630222290456</v>
      </c>
      <c r="AC43" s="4">
        <v>0.38353655398232683</v>
      </c>
      <c r="AD43" s="4">
        <v>0.22570258863741671</v>
      </c>
      <c r="AE43" s="4">
        <v>0.20595432876176875</v>
      </c>
      <c r="AF43" s="4">
        <v>0.35449421903197831</v>
      </c>
      <c r="AG43" s="4">
        <v>0.52928049144043943</v>
      </c>
      <c r="AH43" s="4">
        <v>5.4602310741883292E-2</v>
      </c>
      <c r="AI43" s="4">
        <v>0.4927292346423634</v>
      </c>
      <c r="AJ43" s="4">
        <v>0.4421871868922671</v>
      </c>
      <c r="AK43" s="4">
        <v>0.34000751898092524</v>
      </c>
      <c r="AL43" s="4">
        <v>0.22758696156593944</v>
      </c>
      <c r="AM43" s="4">
        <v>0.10273969914114955</v>
      </c>
      <c r="AN43" s="4">
        <v>-1.0277723563369411E-2</v>
      </c>
      <c r="AO43" s="4">
        <v>4.473153332709201E-2</v>
      </c>
      <c r="AP43" s="4">
        <v>0.28756202008583737</v>
      </c>
      <c r="AQ43" s="4">
        <v>1</v>
      </c>
      <c r="AR43" s="4"/>
      <c r="AS43" s="4"/>
    </row>
    <row r="44" spans="1:45" x14ac:dyDescent="0.2">
      <c r="A44" s="4">
        <v>2</v>
      </c>
      <c r="B44" s="4">
        <v>0.41280530932306025</v>
      </c>
      <c r="C44" s="4">
        <v>0.40584950955136379</v>
      </c>
      <c r="D44" s="4">
        <v>0.16661836155222032</v>
      </c>
      <c r="E44" s="4">
        <v>0.41710876563692589</v>
      </c>
      <c r="F44" s="4">
        <v>0.36721491846744375</v>
      </c>
      <c r="G44" s="4">
        <v>0.23116778189003201</v>
      </c>
      <c r="H44" s="4">
        <v>0.30317288109886065</v>
      </c>
      <c r="I44" s="4">
        <v>0.31669120981542048</v>
      </c>
      <c r="J44" s="4">
        <v>0.32623160236865173</v>
      </c>
      <c r="K44" s="4">
        <v>0.25558138134441694</v>
      </c>
      <c r="L44" s="4">
        <v>0.43548987711725978</v>
      </c>
      <c r="M44" s="4">
        <v>0.43796056280461371</v>
      </c>
      <c r="N44" s="4">
        <v>0.33346737850455493</v>
      </c>
      <c r="O44" s="4">
        <v>3.4231073368277423E-2</v>
      </c>
      <c r="P44" s="4">
        <v>7.4671002334986913E-2</v>
      </c>
      <c r="Q44" s="4">
        <v>0.30110114476419264</v>
      </c>
      <c r="R44" s="4">
        <v>1.7085171673374734E-2</v>
      </c>
      <c r="S44" s="4">
        <v>0.13906036423596949</v>
      </c>
      <c r="T44" s="4">
        <v>0.20148331411811377</v>
      </c>
      <c r="U44" s="4">
        <v>0.24427039505921141</v>
      </c>
      <c r="V44" s="4">
        <v>0.21412702836375386</v>
      </c>
      <c r="W44" s="4">
        <v>4.4165071331311888E-2</v>
      </c>
      <c r="X44" s="4">
        <v>0.20389414663569214</v>
      </c>
      <c r="Y44" s="4">
        <v>0.16476955246033215</v>
      </c>
      <c r="Z44" s="4">
        <v>0.22595600302042257</v>
      </c>
      <c r="AA44" s="4">
        <v>9.95087331894835E-2</v>
      </c>
      <c r="AB44" s="4">
        <v>0.20946764154245648</v>
      </c>
      <c r="AC44" s="4">
        <v>0.23713084537238005</v>
      </c>
      <c r="AD44" s="4">
        <v>5.7124844094093311E-2</v>
      </c>
      <c r="AE44" s="4">
        <v>0.12123373451921744</v>
      </c>
      <c r="AF44" s="4">
        <v>0.11331081029720601</v>
      </c>
      <c r="AG44" s="4">
        <v>0.40218822462109088</v>
      </c>
      <c r="AH44" s="4">
        <v>0.20517530665289233</v>
      </c>
      <c r="AI44" s="4">
        <v>0.2899869949359809</v>
      </c>
      <c r="AJ44" s="4">
        <v>0.27036913273470792</v>
      </c>
      <c r="AK44" s="4">
        <v>0.28137168375310823</v>
      </c>
      <c r="AL44" s="4">
        <v>0.15681419692968043</v>
      </c>
      <c r="AM44" s="4">
        <v>8.9610106291238154E-2</v>
      </c>
      <c r="AN44" s="4">
        <v>6.0662502389562285E-2</v>
      </c>
      <c r="AO44" s="4">
        <v>1.6814855382229373E-2</v>
      </c>
      <c r="AP44" s="4">
        <v>0.32021869366031297</v>
      </c>
      <c r="AQ44" s="4">
        <v>0.70834566252593933</v>
      </c>
      <c r="AR44" s="4">
        <v>1</v>
      </c>
      <c r="AS44" s="4"/>
    </row>
    <row r="45" spans="1:45" ht="13.5" thickBot="1" x14ac:dyDescent="0.25">
      <c r="A45" s="5">
        <v>3</v>
      </c>
      <c r="B45" s="5">
        <v>0.34000150520483918</v>
      </c>
      <c r="C45" s="5">
        <v>0.35492228976482643</v>
      </c>
      <c r="D45" s="5">
        <v>-3.3805636150813266E-3</v>
      </c>
      <c r="E45" s="5">
        <v>0.22485825807136095</v>
      </c>
      <c r="F45" s="5">
        <v>0.23509046449665802</v>
      </c>
      <c r="G45" s="5">
        <v>0.21017315859094224</v>
      </c>
      <c r="H45" s="5">
        <v>0.3160853245186474</v>
      </c>
      <c r="I45" s="5">
        <v>0.32657518829903853</v>
      </c>
      <c r="J45" s="5">
        <v>9.2502980280594144E-2</v>
      </c>
      <c r="K45" s="5">
        <v>0.36961441717689025</v>
      </c>
      <c r="L45" s="5">
        <v>0.23089135830446461</v>
      </c>
      <c r="M45" s="5">
        <v>0.17408557453344059</v>
      </c>
      <c r="N45" s="5">
        <v>0.24655085108358291</v>
      </c>
      <c r="O45" s="5">
        <v>0.51253341013651177</v>
      </c>
      <c r="P45" s="5">
        <v>0.29345734295531206</v>
      </c>
      <c r="Q45" s="5">
        <v>0.14575223880007074</v>
      </c>
      <c r="R45" s="5">
        <v>0.247066828152056</v>
      </c>
      <c r="S45" s="5">
        <v>0.2011955521559666</v>
      </c>
      <c r="T45" s="5">
        <v>0.15655654406182878</v>
      </c>
      <c r="U45" s="5">
        <v>0.11878028110192863</v>
      </c>
      <c r="V45" s="5">
        <v>7.4632822821140254E-2</v>
      </c>
      <c r="W45" s="5">
        <v>0.24010104669139209</v>
      </c>
      <c r="X45" s="5">
        <v>-3.3522637755866003E-2</v>
      </c>
      <c r="Y45" s="5">
        <v>1.8223047085293875E-2</v>
      </c>
      <c r="Z45" s="5">
        <v>0.32306889780665465</v>
      </c>
      <c r="AA45" s="5">
        <v>0.1371725381284444</v>
      </c>
      <c r="AB45" s="5">
        <v>0.339049132817695</v>
      </c>
      <c r="AC45" s="5">
        <v>0.39313645978242973</v>
      </c>
      <c r="AD45" s="5">
        <v>0.42393230039164964</v>
      </c>
      <c r="AE45" s="5">
        <v>0.40705759332409808</v>
      </c>
      <c r="AF45" s="5">
        <v>0.19560073451399601</v>
      </c>
      <c r="AG45" s="5">
        <v>0.21057323619490545</v>
      </c>
      <c r="AH45" s="5">
        <v>0.23870321542169501</v>
      </c>
      <c r="AI45" s="5">
        <v>0.24183334692354697</v>
      </c>
      <c r="AJ45" s="5">
        <v>0.259724179482337</v>
      </c>
      <c r="AK45" s="5">
        <v>0.2724805982415347</v>
      </c>
      <c r="AL45" s="5">
        <v>0.462702290995326</v>
      </c>
      <c r="AM45" s="5">
        <v>0.11899251208386648</v>
      </c>
      <c r="AN45" s="5">
        <v>0.152748231338936</v>
      </c>
      <c r="AO45" s="5">
        <v>0.14848204924002339</v>
      </c>
      <c r="AP45" s="5">
        <v>-5.4184224709709341E-3</v>
      </c>
      <c r="AQ45" s="5">
        <v>0.38833174611913296</v>
      </c>
      <c r="AR45" s="5">
        <v>0.31228333310359951</v>
      </c>
      <c r="AS4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AW661"/>
  <sheetViews>
    <sheetView tabSelected="1" zoomScale="90" zoomScaleNormal="90" workbookViewId="0">
      <selection activeCell="K161" sqref="K161"/>
    </sheetView>
  </sheetViews>
  <sheetFormatPr defaultRowHeight="12.75" x14ac:dyDescent="0.2"/>
  <cols>
    <col min="1" max="1" width="8.28515625" customWidth="1"/>
    <col min="2" max="2" width="5" customWidth="1"/>
    <col min="3" max="3" width="21.42578125" customWidth="1"/>
  </cols>
  <sheetData>
    <row r="7" spans="3:47" x14ac:dyDescent="0.2">
      <c r="C7" t="s">
        <v>188</v>
      </c>
    </row>
    <row r="11" spans="3:47" x14ac:dyDescent="0.2"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14</v>
      </c>
      <c r="R11" t="s">
        <v>15</v>
      </c>
      <c r="S11" t="s">
        <v>16</v>
      </c>
      <c r="T11" t="s">
        <v>17</v>
      </c>
      <c r="U11" t="s">
        <v>18</v>
      </c>
      <c r="V11" t="s">
        <v>19</v>
      </c>
      <c r="W11" t="s">
        <v>20</v>
      </c>
      <c r="X11" t="s">
        <v>21</v>
      </c>
      <c r="Y11" t="s">
        <v>22</v>
      </c>
      <c r="Z11" t="s">
        <v>23</v>
      </c>
      <c r="AA11" t="s">
        <v>24</v>
      </c>
      <c r="AB11" t="s">
        <v>25</v>
      </c>
      <c r="AC11" t="s">
        <v>26</v>
      </c>
      <c r="AD11" t="s">
        <v>27</v>
      </c>
      <c r="AE11" t="s">
        <v>28</v>
      </c>
      <c r="AF11" t="s">
        <v>29</v>
      </c>
      <c r="AG11" t="s">
        <v>30</v>
      </c>
      <c r="AH11" t="s">
        <v>31</v>
      </c>
      <c r="AI11" t="s">
        <v>32</v>
      </c>
      <c r="AJ11" t="s">
        <v>33</v>
      </c>
      <c r="AK11" t="s">
        <v>34</v>
      </c>
      <c r="AL11" t="s">
        <v>35</v>
      </c>
      <c r="AM11" t="s">
        <v>36</v>
      </c>
      <c r="AN11" t="s">
        <v>37</v>
      </c>
      <c r="AO11" t="s">
        <v>38</v>
      </c>
      <c r="AP11" t="s">
        <v>39</v>
      </c>
      <c r="AQ11" t="s">
        <v>40</v>
      </c>
      <c r="AR11" t="s">
        <v>41</v>
      </c>
      <c r="AS11" t="s">
        <v>42</v>
      </c>
      <c r="AT11" t="s">
        <v>43</v>
      </c>
      <c r="AU11" t="s">
        <v>44</v>
      </c>
    </row>
    <row r="12" spans="3:47" x14ac:dyDescent="0.2">
      <c r="C12" t="s">
        <v>189</v>
      </c>
      <c r="D12">
        <v>3.0769230769230771</v>
      </c>
      <c r="E12">
        <v>2.9930069930069929</v>
      </c>
      <c r="F12">
        <v>2.7412587412587412</v>
      </c>
      <c r="G12">
        <v>2.9160839160839163</v>
      </c>
      <c r="H12">
        <v>2.8321678321678321</v>
      </c>
      <c r="I12">
        <v>3.4545454545454546</v>
      </c>
      <c r="J12">
        <v>3.5314685314685317</v>
      </c>
      <c r="K12">
        <v>3.4055944055944054</v>
      </c>
      <c r="L12">
        <v>3.3286713286713288</v>
      </c>
      <c r="M12">
        <v>3.4195804195804196</v>
      </c>
      <c r="N12">
        <v>3.5104895104895104</v>
      </c>
      <c r="O12">
        <v>3.7902097902097904</v>
      </c>
      <c r="P12">
        <v>3.7692307692307692</v>
      </c>
      <c r="Q12">
        <v>3.6083916083916083</v>
      </c>
      <c r="R12">
        <v>3.6293706293706292</v>
      </c>
      <c r="S12">
        <v>3.1678321678321679</v>
      </c>
      <c r="T12">
        <v>3.5804195804195804</v>
      </c>
      <c r="U12">
        <v>2.7552447552447554</v>
      </c>
      <c r="V12">
        <v>3.8057553956834531</v>
      </c>
      <c r="W12">
        <v>3.4685314685314683</v>
      </c>
      <c r="X12">
        <v>3.5174825174825175</v>
      </c>
      <c r="Y12">
        <v>3.6223776223776225</v>
      </c>
      <c r="Z12">
        <v>3.6363636363636362</v>
      </c>
      <c r="AA12">
        <v>3.4825174825174825</v>
      </c>
      <c r="AB12">
        <v>3.2517482517482517</v>
      </c>
      <c r="AC12">
        <v>3.0559440559440558</v>
      </c>
      <c r="AD12">
        <v>3.4615384615384617</v>
      </c>
      <c r="AE12">
        <v>3.3216783216783217</v>
      </c>
      <c r="AF12">
        <v>3.5454545454545454</v>
      </c>
      <c r="AG12">
        <v>4.0279720279720284</v>
      </c>
      <c r="AH12">
        <v>3.2797202797202796</v>
      </c>
      <c r="AI12">
        <v>3.104895104895105</v>
      </c>
      <c r="AJ12">
        <v>3.2816901408450705</v>
      </c>
      <c r="AK12">
        <v>3.1818181818181817</v>
      </c>
      <c r="AL12">
        <v>3.1888111888111887</v>
      </c>
      <c r="AM12">
        <v>3.6643356643356642</v>
      </c>
      <c r="AN12">
        <v>3.6503496503496504</v>
      </c>
      <c r="AO12">
        <v>3.9440559440559442</v>
      </c>
      <c r="AP12">
        <v>4.06993006993007</v>
      </c>
      <c r="AQ12">
        <v>3.9090909090909092</v>
      </c>
      <c r="AR12">
        <v>3.5594405594405596</v>
      </c>
      <c r="AS12">
        <v>2.4895104895104896</v>
      </c>
      <c r="AT12">
        <v>2.6993006993006992</v>
      </c>
      <c r="AU12">
        <v>3.6643356643356642</v>
      </c>
    </row>
    <row r="13" spans="3:47" x14ac:dyDescent="0.2">
      <c r="C13" t="s">
        <v>190</v>
      </c>
      <c r="D13">
        <v>1.2619955306550348</v>
      </c>
      <c r="E13">
        <v>1.3347812158990515</v>
      </c>
      <c r="F13">
        <v>1.1178027158021859</v>
      </c>
      <c r="G13">
        <v>1.0581441599947687</v>
      </c>
      <c r="H13">
        <v>1.2558932289888003</v>
      </c>
      <c r="I13">
        <v>1.0924018809019909</v>
      </c>
      <c r="J13">
        <v>1.1915441266243139</v>
      </c>
      <c r="K13">
        <v>1.1148028451840506</v>
      </c>
      <c r="L13">
        <v>1.2089817842278274</v>
      </c>
      <c r="M13">
        <v>1.1713275687939408</v>
      </c>
      <c r="N13">
        <v>1.1800401811440779</v>
      </c>
      <c r="O13">
        <v>1.2035929009308268</v>
      </c>
      <c r="P13">
        <v>1.2200918211365628</v>
      </c>
      <c r="Q13">
        <v>0.99318072788337153</v>
      </c>
      <c r="R13">
        <v>1.1238660744126938</v>
      </c>
      <c r="S13">
        <v>1.2275362591013952</v>
      </c>
      <c r="T13">
        <v>1.1652998611406724</v>
      </c>
      <c r="U13">
        <v>1.0955530034347838</v>
      </c>
      <c r="V13">
        <v>1.0063400312894986</v>
      </c>
      <c r="W13">
        <v>1.1432853315576437</v>
      </c>
      <c r="X13">
        <v>1.0737137529545568</v>
      </c>
      <c r="Y13">
        <v>0.9915430839772118</v>
      </c>
      <c r="Z13">
        <v>0.99679383592818716</v>
      </c>
      <c r="AA13">
        <v>0.99896528759460412</v>
      </c>
      <c r="AB13">
        <v>1.0102888407828243</v>
      </c>
      <c r="AC13">
        <v>0.98421502128133975</v>
      </c>
      <c r="AD13">
        <v>0.97698321787906572</v>
      </c>
      <c r="AE13">
        <v>1.2367688399211796</v>
      </c>
      <c r="AF13">
        <v>1.0663038221957162</v>
      </c>
      <c r="AG13">
        <v>0.93405111860636469</v>
      </c>
      <c r="AH13">
        <v>1.0305584046675413</v>
      </c>
      <c r="AI13">
        <v>1.0987399102280675</v>
      </c>
      <c r="AJ13">
        <v>1.2225203427398443</v>
      </c>
      <c r="AK13">
        <v>1.1422510739785372</v>
      </c>
      <c r="AL13">
        <v>1.0478082352711771</v>
      </c>
      <c r="AM13">
        <v>0.99253591799381724</v>
      </c>
      <c r="AN13">
        <v>0.9947661715391255</v>
      </c>
      <c r="AO13">
        <v>0.90208072291288832</v>
      </c>
      <c r="AP13">
        <v>0.95423702764800644</v>
      </c>
      <c r="AQ13">
        <v>0.91088171886466407</v>
      </c>
      <c r="AR13">
        <v>1.0388399382082814</v>
      </c>
      <c r="AS13">
        <v>1.0268722705869813</v>
      </c>
      <c r="AT13">
        <v>1.1323350238009366</v>
      </c>
      <c r="AU13">
        <v>1.1002180062078086</v>
      </c>
    </row>
    <row r="14" spans="3:47" x14ac:dyDescent="0.2">
      <c r="C14" t="s">
        <v>191</v>
      </c>
      <c r="D14">
        <v>-0.35980665912505266</v>
      </c>
      <c r="E14">
        <v>1.2936986819454184E-2</v>
      </c>
      <c r="F14">
        <v>-0.17795708056651771</v>
      </c>
      <c r="G14">
        <v>-0.19223782827545371</v>
      </c>
      <c r="H14">
        <v>-8.8533492857035129E-2</v>
      </c>
      <c r="I14">
        <v>-0.72047789791445715</v>
      </c>
      <c r="J14">
        <v>-0.77222058855699838</v>
      </c>
      <c r="K14">
        <v>-0.60970971709091459</v>
      </c>
      <c r="L14">
        <v>-0.56069879897411123</v>
      </c>
      <c r="M14">
        <v>-0.55018004135216236</v>
      </c>
      <c r="N14">
        <v>-0.7686653341172901</v>
      </c>
      <c r="O14">
        <v>-0.8406147673726192</v>
      </c>
      <c r="P14">
        <v>-0.96302767687046742</v>
      </c>
      <c r="Q14">
        <v>-0.41448345809981668</v>
      </c>
      <c r="R14">
        <v>-0.7058742234512404</v>
      </c>
      <c r="S14">
        <v>-0.23325760014189145</v>
      </c>
      <c r="T14">
        <v>-0.72541374372310297</v>
      </c>
      <c r="U14">
        <v>0.17511615995901811</v>
      </c>
      <c r="V14">
        <v>-0.72531122704223916</v>
      </c>
      <c r="W14">
        <v>-0.56681628521143468</v>
      </c>
      <c r="X14">
        <v>-0.4613657693066035</v>
      </c>
      <c r="Y14">
        <v>-0.45527985807337312</v>
      </c>
      <c r="Z14">
        <v>-0.64329413629074694</v>
      </c>
      <c r="AA14">
        <v>-0.1876495395737782</v>
      </c>
      <c r="AB14">
        <v>-0.15060591917511743</v>
      </c>
      <c r="AC14">
        <v>-0.11319963273119814</v>
      </c>
      <c r="AD14">
        <v>-0.4421324149404281</v>
      </c>
      <c r="AE14">
        <v>-0.47709063257277823</v>
      </c>
      <c r="AF14">
        <v>-0.45598910454197994</v>
      </c>
      <c r="AG14">
        <v>-0.79228581631647887</v>
      </c>
      <c r="AH14">
        <v>-0.35031628043364649</v>
      </c>
      <c r="AI14">
        <v>-0.3075102628143781</v>
      </c>
      <c r="AJ14">
        <v>-0.20180499754319106</v>
      </c>
      <c r="AK14">
        <v>-4.7526926607162928E-2</v>
      </c>
      <c r="AL14">
        <v>-8.8599059678442074E-2</v>
      </c>
      <c r="AM14">
        <v>-0.7284436254948522</v>
      </c>
      <c r="AN14">
        <v>-0.55498012890671766</v>
      </c>
      <c r="AO14">
        <v>-0.82293964362849181</v>
      </c>
      <c r="AP14">
        <v>-0.73299756067951194</v>
      </c>
      <c r="AQ14">
        <v>-0.4985975388851509</v>
      </c>
      <c r="AR14">
        <v>-0.52386931430733819</v>
      </c>
      <c r="AS14">
        <v>0.28585051032908659</v>
      </c>
      <c r="AT14">
        <v>0.49750391035489527</v>
      </c>
      <c r="AU14">
        <v>-0.6837672043884262</v>
      </c>
    </row>
    <row r="15" spans="3:47" x14ac:dyDescent="0.2">
      <c r="C15" t="s">
        <v>192</v>
      </c>
      <c r="D15">
        <v>-1.0888639865101746</v>
      </c>
      <c r="E15">
        <v>-1.1457625152877116</v>
      </c>
      <c r="F15">
        <v>-0.71606817296901504</v>
      </c>
      <c r="G15">
        <v>-0.40073636526604783</v>
      </c>
      <c r="H15">
        <v>-1.028250651963698</v>
      </c>
      <c r="I15">
        <v>-0.1863092609008179</v>
      </c>
      <c r="J15">
        <v>-0.21540218228298835</v>
      </c>
      <c r="K15">
        <v>-0.10683465533730541</v>
      </c>
      <c r="L15">
        <v>-0.57079129272663343</v>
      </c>
      <c r="M15">
        <v>-0.34221239570503847</v>
      </c>
      <c r="N15">
        <v>-0.19562612107591182</v>
      </c>
      <c r="O15">
        <v>-0.13374185420405604</v>
      </c>
      <c r="P15">
        <v>2.8492857134163607E-2</v>
      </c>
      <c r="Q15">
        <v>-0.15997814964278767</v>
      </c>
      <c r="R15">
        <v>-0.2072603589941413</v>
      </c>
      <c r="S15">
        <v>-0.86994486061303045</v>
      </c>
      <c r="T15">
        <v>-0.32289535423589744</v>
      </c>
      <c r="U15">
        <v>-0.59223232431275763</v>
      </c>
      <c r="V15">
        <v>2.5995042978870231E-2</v>
      </c>
      <c r="W15">
        <v>-0.55377981027025891</v>
      </c>
      <c r="X15">
        <v>-0.55380118489242047</v>
      </c>
      <c r="Y15">
        <v>-0.48209394663077365</v>
      </c>
      <c r="Z15">
        <v>0.32728566001444515</v>
      </c>
      <c r="AA15">
        <v>-0.52799279211879524</v>
      </c>
      <c r="AB15">
        <v>-0.43981722377506305</v>
      </c>
      <c r="AC15">
        <v>-9.8857829622173377E-2</v>
      </c>
      <c r="AD15">
        <v>-0.28377309647655746</v>
      </c>
      <c r="AE15">
        <v>-0.70887317125769478</v>
      </c>
      <c r="AF15">
        <v>-0.47316807689147522</v>
      </c>
      <c r="AG15">
        <v>0.30896773698387259</v>
      </c>
      <c r="AH15">
        <v>-0.36555984380438966</v>
      </c>
      <c r="AI15">
        <v>-0.73754965504394088</v>
      </c>
      <c r="AJ15">
        <v>-0.92285918154953839</v>
      </c>
      <c r="AK15">
        <v>-0.8709070009733515</v>
      </c>
      <c r="AL15">
        <v>-0.75921120615117355</v>
      </c>
      <c r="AM15">
        <v>0.27924527744261018</v>
      </c>
      <c r="AN15">
        <v>-5.0062289279568795E-2</v>
      </c>
      <c r="AO15">
        <v>0.3846486067749213</v>
      </c>
      <c r="AP15">
        <v>-0.44941171811252545</v>
      </c>
      <c r="AQ15">
        <v>-0.26897236085574106</v>
      </c>
      <c r="AR15">
        <v>-0.1361763553428057</v>
      </c>
      <c r="AS15">
        <v>-0.47680154686628695</v>
      </c>
      <c r="AT15">
        <v>-0.48745971133021904</v>
      </c>
      <c r="AU15">
        <v>-0.14255660612447763</v>
      </c>
    </row>
    <row r="17" spans="3:47" x14ac:dyDescent="0.2">
      <c r="C17" t="s">
        <v>193</v>
      </c>
    </row>
    <row r="19" spans="3:47" x14ac:dyDescent="0.2">
      <c r="D19" t="s">
        <v>1</v>
      </c>
      <c r="E19" t="s">
        <v>2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13</v>
      </c>
      <c r="Q19" t="s">
        <v>14</v>
      </c>
      <c r="R19" t="s">
        <v>15</v>
      </c>
      <c r="S19" t="s">
        <v>16</v>
      </c>
      <c r="T19" t="s">
        <v>17</v>
      </c>
      <c r="U19" t="s">
        <v>18</v>
      </c>
      <c r="V19" t="s">
        <v>19</v>
      </c>
      <c r="W19" t="s">
        <v>20</v>
      </c>
      <c r="X19" t="s">
        <v>21</v>
      </c>
      <c r="Y19" t="s">
        <v>22</v>
      </c>
      <c r="Z19" t="s">
        <v>23</v>
      </c>
      <c r="AA19" t="s">
        <v>24</v>
      </c>
      <c r="AB19" t="s">
        <v>25</v>
      </c>
      <c r="AC19" t="s">
        <v>26</v>
      </c>
      <c r="AD19" t="s">
        <v>27</v>
      </c>
      <c r="AE19" t="s">
        <v>28</v>
      </c>
      <c r="AF19" t="s">
        <v>29</v>
      </c>
      <c r="AG19" t="s">
        <v>30</v>
      </c>
      <c r="AH19" t="s">
        <v>31</v>
      </c>
      <c r="AI19" t="s">
        <v>32</v>
      </c>
      <c r="AJ19" t="s">
        <v>33</v>
      </c>
      <c r="AK19" t="s">
        <v>34</v>
      </c>
      <c r="AL19" t="s">
        <v>35</v>
      </c>
      <c r="AM19" t="s">
        <v>36</v>
      </c>
      <c r="AN19" t="s">
        <v>37</v>
      </c>
      <c r="AO19" t="s">
        <v>38</v>
      </c>
      <c r="AP19" t="s">
        <v>39</v>
      </c>
      <c r="AQ19" t="s">
        <v>40</v>
      </c>
      <c r="AR19" t="s">
        <v>41</v>
      </c>
      <c r="AS19" t="s">
        <v>42</v>
      </c>
      <c r="AT19" t="s">
        <v>43</v>
      </c>
      <c r="AU19" t="s">
        <v>44</v>
      </c>
    </row>
    <row r="20" spans="3:47" x14ac:dyDescent="0.2">
      <c r="C20" t="s">
        <v>1</v>
      </c>
      <c r="D20">
        <v>1.0000000000000011</v>
      </c>
      <c r="E20">
        <v>0.61744658275545938</v>
      </c>
      <c r="F20">
        <v>0.21369529425255823</v>
      </c>
      <c r="G20">
        <v>0.67333159589537128</v>
      </c>
      <c r="H20">
        <v>0.37437818589038241</v>
      </c>
      <c r="I20">
        <v>0.48459105210931236</v>
      </c>
      <c r="J20">
        <v>0.53832865431433186</v>
      </c>
      <c r="K20">
        <v>0.54760181924578533</v>
      </c>
      <c r="L20">
        <v>0.40234073476324211</v>
      </c>
      <c r="M20">
        <v>0.47070098130014359</v>
      </c>
      <c r="N20">
        <v>0.43630918289939202</v>
      </c>
      <c r="O20">
        <v>0.30801153494756245</v>
      </c>
      <c r="P20">
        <v>0.27692648934035602</v>
      </c>
      <c r="Q20">
        <v>0.12576228594870653</v>
      </c>
      <c r="R20">
        <v>0.18492535099551768</v>
      </c>
      <c r="S20">
        <v>5.8698895023142857E-2</v>
      </c>
      <c r="T20">
        <v>8.655651736561111E-2</v>
      </c>
      <c r="U20">
        <v>0.24363399174815661</v>
      </c>
      <c r="V20">
        <v>0.15312010809324861</v>
      </c>
      <c r="W20">
        <v>7.4863106763196602E-2</v>
      </c>
      <c r="X20">
        <v>2.9097402389033987E-2</v>
      </c>
      <c r="Y20">
        <v>8.8645316204014613E-2</v>
      </c>
      <c r="Z20">
        <v>-0.13842421962883372</v>
      </c>
      <c r="AA20">
        <v>-7.1165920050872175E-2</v>
      </c>
      <c r="AB20">
        <v>0.26341374600936401</v>
      </c>
      <c r="AC20">
        <v>0.15009705411989113</v>
      </c>
      <c r="AD20">
        <v>0.27381285808775174</v>
      </c>
      <c r="AE20">
        <v>0.32438764574011802</v>
      </c>
      <c r="AF20">
        <v>0.18623612070034279</v>
      </c>
      <c r="AG20">
        <v>0.10601261696129205</v>
      </c>
      <c r="AH20">
        <v>2.2707660471473882E-2</v>
      </c>
      <c r="AI20">
        <v>0.36721848519846134</v>
      </c>
      <c r="AJ20">
        <v>0.40007340471544212</v>
      </c>
      <c r="AK20">
        <v>0.2406981176359386</v>
      </c>
      <c r="AL20">
        <v>0.28787408814297522</v>
      </c>
      <c r="AM20">
        <v>0.31311385082861104</v>
      </c>
      <c r="AN20">
        <v>0.32317929349626673</v>
      </c>
      <c r="AO20">
        <v>0.10372329875304917</v>
      </c>
      <c r="AP20">
        <v>0.18160818340575055</v>
      </c>
      <c r="AQ20">
        <v>0.15955290230309158</v>
      </c>
      <c r="AR20">
        <v>0.26149711311924556</v>
      </c>
      <c r="AS20">
        <v>0.34405767446271618</v>
      </c>
      <c r="AT20">
        <v>0.42142992592662581</v>
      </c>
      <c r="AU20">
        <v>0.34047181092546652</v>
      </c>
    </row>
    <row r="21" spans="3:47" x14ac:dyDescent="0.2">
      <c r="C21" t="s">
        <v>2</v>
      </c>
      <c r="D21">
        <v>0.61744658275545938</v>
      </c>
      <c r="E21">
        <v>1.0000000000000004</v>
      </c>
      <c r="F21">
        <v>0.33433590637049343</v>
      </c>
      <c r="G21">
        <v>0.55866756756993496</v>
      </c>
      <c r="H21">
        <v>0.42687294246207491</v>
      </c>
      <c r="I21">
        <v>0.34388232611359393</v>
      </c>
      <c r="J21">
        <v>0.38493084183894999</v>
      </c>
      <c r="K21">
        <v>0.39350563904841812</v>
      </c>
      <c r="L21">
        <v>0.31419938532574071</v>
      </c>
      <c r="M21">
        <v>0.36290421307657672</v>
      </c>
      <c r="N21">
        <v>0.42764110049829585</v>
      </c>
      <c r="O21">
        <v>0.19761675202758688</v>
      </c>
      <c r="P21">
        <v>0.29786141753675116</v>
      </c>
      <c r="Q21">
        <v>0.10142090872348966</v>
      </c>
      <c r="R21">
        <v>0.19933239753617352</v>
      </c>
      <c r="S21">
        <v>0.14686636683379084</v>
      </c>
      <c r="T21">
        <v>0.14756349009805719</v>
      </c>
      <c r="U21">
        <v>8.4895220763499243E-2</v>
      </c>
      <c r="V21">
        <v>0.30389858546862425</v>
      </c>
      <c r="W21">
        <v>0.22194722053336824</v>
      </c>
      <c r="X21">
        <v>4.429562455056258E-2</v>
      </c>
      <c r="Y21">
        <v>-4.3650104577710701E-2</v>
      </c>
      <c r="Z21">
        <v>1.5876543202133421E-2</v>
      </c>
      <c r="AA21">
        <v>-5.1852467562269945E-2</v>
      </c>
      <c r="AB21">
        <v>0.23103417220807823</v>
      </c>
      <c r="AC21">
        <v>-4.2295417547679633E-2</v>
      </c>
      <c r="AD21">
        <v>0.20981695696626154</v>
      </c>
      <c r="AE21">
        <v>0.18084664151909347</v>
      </c>
      <c r="AF21">
        <v>7.3655321297763046E-2</v>
      </c>
      <c r="AG21">
        <v>-0.10769881332446098</v>
      </c>
      <c r="AH21">
        <v>-7.3243014210621821E-2</v>
      </c>
      <c r="AI21">
        <v>0.30720413808727204</v>
      </c>
      <c r="AJ21">
        <v>0.30092321915389159</v>
      </c>
      <c r="AK21">
        <v>0.17473990823034133</v>
      </c>
      <c r="AL21">
        <v>0.14853396313703196</v>
      </c>
      <c r="AM21">
        <v>0.32244451807723767</v>
      </c>
      <c r="AN21">
        <v>0.31795690178841013</v>
      </c>
      <c r="AO21">
        <v>-0.13151865224983628</v>
      </c>
      <c r="AP21">
        <v>0.1081301542876683</v>
      </c>
      <c r="AQ21">
        <v>3.3642285424736074E-2</v>
      </c>
      <c r="AR21">
        <v>0.17936558071383524</v>
      </c>
      <c r="AS21">
        <v>0.33559126101400338</v>
      </c>
      <c r="AT21">
        <v>0.42181204777999759</v>
      </c>
      <c r="AU21">
        <v>0.35009133712894897</v>
      </c>
    </row>
    <row r="22" spans="3:47" x14ac:dyDescent="0.2">
      <c r="C22" t="s">
        <v>3</v>
      </c>
      <c r="D22">
        <v>0.21369529425255823</v>
      </c>
      <c r="E22">
        <v>0.33433590637049343</v>
      </c>
      <c r="F22">
        <v>1.0000000000000007</v>
      </c>
      <c r="G22">
        <v>0.51160611841286063</v>
      </c>
      <c r="H22">
        <v>0.3944796152874066</v>
      </c>
      <c r="I22">
        <v>0.34845995479575659</v>
      </c>
      <c r="J22">
        <v>0.41395640369804737</v>
      </c>
      <c r="K22">
        <v>0.27959186396016572</v>
      </c>
      <c r="L22">
        <v>0.40080326903826957</v>
      </c>
      <c r="M22">
        <v>0.23099284522024344</v>
      </c>
      <c r="N22">
        <v>0.38231594878683695</v>
      </c>
      <c r="O22">
        <v>0.35871792776802569</v>
      </c>
      <c r="P22">
        <v>0.36283040309747278</v>
      </c>
      <c r="Q22">
        <v>-5.949808216049228E-2</v>
      </c>
      <c r="R22">
        <v>2.9481016558462279E-3</v>
      </c>
      <c r="S22">
        <v>6.1672055820512356E-2</v>
      </c>
      <c r="T22">
        <v>4.6527491307395514E-3</v>
      </c>
      <c r="U22">
        <v>0.26726904164226561</v>
      </c>
      <c r="V22">
        <v>0.26512286615170233</v>
      </c>
      <c r="W22">
        <v>8.9193244865738666E-2</v>
      </c>
      <c r="X22">
        <v>0.13105702098372252</v>
      </c>
      <c r="Y22">
        <v>2.300176492491084E-2</v>
      </c>
      <c r="Z22">
        <v>4.5399312385831031E-2</v>
      </c>
      <c r="AA22">
        <v>0.10823926444609752</v>
      </c>
      <c r="AB22">
        <v>3.9961841240423797E-2</v>
      </c>
      <c r="AC22">
        <v>0.25723953524354065</v>
      </c>
      <c r="AD22">
        <v>0.18404975989037972</v>
      </c>
      <c r="AE22">
        <v>0.18038655243624852</v>
      </c>
      <c r="AF22">
        <v>7.6736549610638721E-2</v>
      </c>
      <c r="AG22">
        <v>-0.11428826491280195</v>
      </c>
      <c r="AH22">
        <v>5.1891139994401592E-2</v>
      </c>
      <c r="AI22">
        <v>0.14818022497014588</v>
      </c>
      <c r="AJ22">
        <v>0.17471654809198464</v>
      </c>
      <c r="AK22">
        <v>0.11039825460120047</v>
      </c>
      <c r="AL22">
        <v>6.1732053585115569E-2</v>
      </c>
      <c r="AM22">
        <v>0.25113067613000306</v>
      </c>
      <c r="AN22">
        <v>8.8152654563341509E-2</v>
      </c>
      <c r="AO22">
        <v>0.14463386003234241</v>
      </c>
      <c r="AP22">
        <v>0.20512811805178841</v>
      </c>
      <c r="AQ22">
        <v>-2.0098679632996885E-2</v>
      </c>
      <c r="AR22">
        <v>0.22332634475318747</v>
      </c>
      <c r="AS22">
        <v>0.10957320069724646</v>
      </c>
      <c r="AT22">
        <v>0.17841237710750937</v>
      </c>
      <c r="AU22">
        <v>-7.9446603283741645E-4</v>
      </c>
    </row>
    <row r="23" spans="3:47" x14ac:dyDescent="0.2">
      <c r="C23" t="s">
        <v>4</v>
      </c>
      <c r="D23">
        <v>0.67333159589537128</v>
      </c>
      <c r="E23">
        <v>0.55866756756993496</v>
      </c>
      <c r="F23">
        <v>0.51160611841286063</v>
      </c>
      <c r="G23">
        <v>1.0000000000000009</v>
      </c>
      <c r="H23">
        <v>0.55854976172169279</v>
      </c>
      <c r="I23">
        <v>0.52790872878653672</v>
      </c>
      <c r="J23">
        <v>0.62592631735392246</v>
      </c>
      <c r="K23">
        <v>0.53112698517622836</v>
      </c>
      <c r="L23">
        <v>0.39254306909622788</v>
      </c>
      <c r="M23">
        <v>0.46276099114743563</v>
      </c>
      <c r="N23">
        <v>0.51567237907501517</v>
      </c>
      <c r="O23">
        <v>0.36059941486163594</v>
      </c>
      <c r="P23">
        <v>0.44870936545520579</v>
      </c>
      <c r="Q23">
        <v>9.9347047402373004E-2</v>
      </c>
      <c r="R23">
        <v>0.17308030908393532</v>
      </c>
      <c r="S23">
        <v>0.14748664652990004</v>
      </c>
      <c r="T23">
        <v>0.13470251914488157</v>
      </c>
      <c r="U23">
        <v>0.26314516135692179</v>
      </c>
      <c r="V23">
        <v>0.21229897758779132</v>
      </c>
      <c r="W23">
        <v>0.15337641271058206</v>
      </c>
      <c r="X23">
        <v>0.11067493430201941</v>
      </c>
      <c r="Y23">
        <v>3.5864695874838114E-2</v>
      </c>
      <c r="Z23">
        <v>6.393324216342558E-2</v>
      </c>
      <c r="AA23">
        <v>-2.1610297514970858E-2</v>
      </c>
      <c r="AB23">
        <v>0.30702043166478732</v>
      </c>
      <c r="AC23">
        <v>0.26986624297807932</v>
      </c>
      <c r="AD23">
        <v>0.39021812643648474</v>
      </c>
      <c r="AE23">
        <v>0.37499582814317839</v>
      </c>
      <c r="AF23">
        <v>0.14698902600968736</v>
      </c>
      <c r="AG23">
        <v>0.16005560996049517</v>
      </c>
      <c r="AH23">
        <v>0.15389917734592434</v>
      </c>
      <c r="AI23">
        <v>0.40425336709765319</v>
      </c>
      <c r="AJ23">
        <v>0.4158512817527153</v>
      </c>
      <c r="AK23">
        <v>0.30360215935300983</v>
      </c>
      <c r="AL23">
        <v>0.27886870712220813</v>
      </c>
      <c r="AM23">
        <v>0.34150607947175482</v>
      </c>
      <c r="AN23">
        <v>0.24803893689443043</v>
      </c>
      <c r="AO23">
        <v>0.12021914081716475</v>
      </c>
      <c r="AP23">
        <v>0.23120603304611814</v>
      </c>
      <c r="AQ23">
        <v>2.4896171756986898E-2</v>
      </c>
      <c r="AR23">
        <v>0.31246699732189226</v>
      </c>
      <c r="AS23">
        <v>0.38934248078903716</v>
      </c>
      <c r="AT23">
        <v>0.43029332854671809</v>
      </c>
      <c r="AU23">
        <v>0.22242149850039003</v>
      </c>
    </row>
    <row r="24" spans="3:47" x14ac:dyDescent="0.2">
      <c r="C24" t="s">
        <v>5</v>
      </c>
      <c r="D24">
        <v>0.37437818589038241</v>
      </c>
      <c r="E24">
        <v>0.42687294246207491</v>
      </c>
      <c r="F24">
        <v>0.3944796152874066</v>
      </c>
      <c r="G24">
        <v>0.55854976172169279</v>
      </c>
      <c r="H24">
        <v>0.99999999999999878</v>
      </c>
      <c r="I24">
        <v>0.42682169203646486</v>
      </c>
      <c r="J24">
        <v>0.5163281805385932</v>
      </c>
      <c r="K24">
        <v>0.42175429320115038</v>
      </c>
      <c r="L24">
        <v>0.55036293402016512</v>
      </c>
      <c r="M24">
        <v>0.39476211999901684</v>
      </c>
      <c r="N24">
        <v>0.49770150004950997</v>
      </c>
      <c r="O24">
        <v>0.4906240521935224</v>
      </c>
      <c r="P24">
        <v>0.55382191452046448</v>
      </c>
      <c r="Q24">
        <v>0.16397119855540598</v>
      </c>
      <c r="R24">
        <v>0.17753905795233993</v>
      </c>
      <c r="S24">
        <v>0.43390484731940954</v>
      </c>
      <c r="T24">
        <v>5.1387059970994527E-2</v>
      </c>
      <c r="U24">
        <v>0.3556823660540589</v>
      </c>
      <c r="V24">
        <v>0.46703831108150407</v>
      </c>
      <c r="W24">
        <v>0.43744610561992908</v>
      </c>
      <c r="X24">
        <v>0.410275396523887</v>
      </c>
      <c r="Y24">
        <v>0.28514938324516287</v>
      </c>
      <c r="Z24">
        <v>0.34823484346144595</v>
      </c>
      <c r="AA24">
        <v>4.2098004440779067E-2</v>
      </c>
      <c r="AB24">
        <v>0.42633580271035632</v>
      </c>
      <c r="AC24">
        <v>0.45419741900858818</v>
      </c>
      <c r="AD24">
        <v>0.45199030219817299</v>
      </c>
      <c r="AE24">
        <v>0.43422218644574057</v>
      </c>
      <c r="AF24">
        <v>0.2286678845654484</v>
      </c>
      <c r="AG24">
        <v>8.8695214471223402E-2</v>
      </c>
      <c r="AH24">
        <v>0.23576306540561073</v>
      </c>
      <c r="AI24">
        <v>0.50068614045054949</v>
      </c>
      <c r="AJ24">
        <v>0.35703644533147066</v>
      </c>
      <c r="AK24">
        <v>0.41439202860490876</v>
      </c>
      <c r="AL24">
        <v>0.4026948520803304</v>
      </c>
      <c r="AM24">
        <v>0.28710048558901879</v>
      </c>
      <c r="AN24">
        <v>0.27463286951264471</v>
      </c>
      <c r="AO24">
        <v>0.22796261095298442</v>
      </c>
      <c r="AP24">
        <v>0.33534352901451314</v>
      </c>
      <c r="AQ24">
        <v>0.18869394155767369</v>
      </c>
      <c r="AR24">
        <v>0.31532914242928711</v>
      </c>
      <c r="AS24">
        <v>0.41088634038416572</v>
      </c>
      <c r="AT24">
        <v>0.38085780146923276</v>
      </c>
      <c r="AU24">
        <v>0.23229950381790346</v>
      </c>
    </row>
    <row r="25" spans="3:47" x14ac:dyDescent="0.2">
      <c r="C25" t="s">
        <v>6</v>
      </c>
      <c r="D25">
        <v>0.48459105210931236</v>
      </c>
      <c r="E25">
        <v>0.34388232611359393</v>
      </c>
      <c r="F25">
        <v>0.34845995479575659</v>
      </c>
      <c r="G25">
        <v>0.52790872878653672</v>
      </c>
      <c r="H25">
        <v>0.42682169203646486</v>
      </c>
      <c r="I25">
        <v>1.0000000000000007</v>
      </c>
      <c r="J25">
        <v>0.82121989535371442</v>
      </c>
      <c r="K25">
        <v>0.72484586707648846</v>
      </c>
      <c r="L25">
        <v>0.70226255276037319</v>
      </c>
      <c r="M25">
        <v>0.54624192111411285</v>
      </c>
      <c r="N25">
        <v>0.65229037342601892</v>
      </c>
      <c r="O25">
        <v>0.66015097593186489</v>
      </c>
      <c r="P25">
        <v>0.67534207779076572</v>
      </c>
      <c r="Q25">
        <v>8.175026263401558E-2</v>
      </c>
      <c r="R25">
        <v>9.8779156071138657E-2</v>
      </c>
      <c r="S25">
        <v>0.23349160488180892</v>
      </c>
      <c r="T25">
        <v>4.3608941807202997E-2</v>
      </c>
      <c r="U25">
        <v>0.21119624640557641</v>
      </c>
      <c r="V25">
        <v>0.3734714286496677</v>
      </c>
      <c r="W25">
        <v>0.1829700451810142</v>
      </c>
      <c r="X25">
        <v>9.4956688419694582E-2</v>
      </c>
      <c r="Y25">
        <v>9.9698539947383119E-2</v>
      </c>
      <c r="Z25">
        <v>7.3539932496376637E-2</v>
      </c>
      <c r="AA25">
        <v>-5.93209243035423E-2</v>
      </c>
      <c r="AB25">
        <v>0.40300069659917193</v>
      </c>
      <c r="AC25">
        <v>0.25822928962288011</v>
      </c>
      <c r="AD25">
        <v>0.44413440129082021</v>
      </c>
      <c r="AE25">
        <v>0.37004299707887278</v>
      </c>
      <c r="AF25">
        <v>0.38294085371572051</v>
      </c>
      <c r="AG25">
        <v>0.11180520525669739</v>
      </c>
      <c r="AH25">
        <v>9.3861126435334744E-2</v>
      </c>
      <c r="AI25">
        <v>0.32758169949253968</v>
      </c>
      <c r="AJ25">
        <v>0.16180120271473281</v>
      </c>
      <c r="AK25">
        <v>0.35997925147323212</v>
      </c>
      <c r="AL25">
        <v>0.36620413047914296</v>
      </c>
      <c r="AM25">
        <v>0.45632571459413601</v>
      </c>
      <c r="AN25">
        <v>0.16746171130368345</v>
      </c>
      <c r="AO25">
        <v>0.20302196888720775</v>
      </c>
      <c r="AP25">
        <v>0.24207814962920607</v>
      </c>
      <c r="AQ25">
        <v>0.17031248766879142</v>
      </c>
      <c r="AR25">
        <v>0.37429773810278433</v>
      </c>
      <c r="AS25">
        <v>0.2817049469812844</v>
      </c>
      <c r="AT25">
        <v>0.23368540474320915</v>
      </c>
      <c r="AU25">
        <v>0.21735837310822531</v>
      </c>
    </row>
    <row r="26" spans="3:47" x14ac:dyDescent="0.2">
      <c r="C26" t="s">
        <v>7</v>
      </c>
      <c r="D26">
        <v>0.53832865431433186</v>
      </c>
      <c r="E26">
        <v>0.38493084183894999</v>
      </c>
      <c r="F26">
        <v>0.41395640369804737</v>
      </c>
      <c r="G26">
        <v>0.62592631735392246</v>
      </c>
      <c r="H26">
        <v>0.5163281805385932</v>
      </c>
      <c r="I26">
        <v>0.82121989535371442</v>
      </c>
      <c r="J26">
        <v>1.0000000000000016</v>
      </c>
      <c r="K26">
        <v>0.60688923353037094</v>
      </c>
      <c r="L26">
        <v>0.6812907501258223</v>
      </c>
      <c r="M26">
        <v>0.54630952192250259</v>
      </c>
      <c r="N26">
        <v>0.67464035338061779</v>
      </c>
      <c r="O26">
        <v>0.59418374600113177</v>
      </c>
      <c r="P26">
        <v>0.6924624454976136</v>
      </c>
      <c r="Q26">
        <v>0.19940236276218209</v>
      </c>
      <c r="R26">
        <v>0.18836001460869792</v>
      </c>
      <c r="S26">
        <v>0.26601296508320343</v>
      </c>
      <c r="T26">
        <v>0.13455147589918451</v>
      </c>
      <c r="U26">
        <v>0.22124729303101467</v>
      </c>
      <c r="V26">
        <v>0.42465379739437353</v>
      </c>
      <c r="W26">
        <v>0.23178276817119142</v>
      </c>
      <c r="X26">
        <v>0.15481057250465563</v>
      </c>
      <c r="Y26">
        <v>0.18700231312717611</v>
      </c>
      <c r="Z26">
        <v>8.6875195001617972E-2</v>
      </c>
      <c r="AA26">
        <v>2.9888451862101682E-2</v>
      </c>
      <c r="AB26">
        <v>0.42442441930730263</v>
      </c>
      <c r="AC26">
        <v>0.3247083646364371</v>
      </c>
      <c r="AD26">
        <v>0.53602867372501573</v>
      </c>
      <c r="AE26">
        <v>0.45846849873026146</v>
      </c>
      <c r="AF26">
        <v>0.36675002950038998</v>
      </c>
      <c r="AG26">
        <v>0.26559912910445843</v>
      </c>
      <c r="AH26">
        <v>0.11232258758475705</v>
      </c>
      <c r="AI26">
        <v>0.42829185635104466</v>
      </c>
      <c r="AJ26">
        <v>0.32712501286939338</v>
      </c>
      <c r="AK26">
        <v>0.38895027766444373</v>
      </c>
      <c r="AL26">
        <v>0.4632017610721289</v>
      </c>
      <c r="AM26">
        <v>0.48356720547553161</v>
      </c>
      <c r="AN26">
        <v>0.19214059105636244</v>
      </c>
      <c r="AO26">
        <v>0.23124537778204998</v>
      </c>
      <c r="AP26">
        <v>0.34691463179400411</v>
      </c>
      <c r="AQ26">
        <v>0.1660106565060108</v>
      </c>
      <c r="AR26">
        <v>0.48276815080149516</v>
      </c>
      <c r="AS26">
        <v>0.30628581327643228</v>
      </c>
      <c r="AT26">
        <v>0.300448049239187</v>
      </c>
      <c r="AU26">
        <v>0.33262165862796317</v>
      </c>
    </row>
    <row r="27" spans="3:47" x14ac:dyDescent="0.2">
      <c r="C27" t="s">
        <v>8</v>
      </c>
      <c r="D27">
        <v>0.54760181924578533</v>
      </c>
      <c r="E27">
        <v>0.39350563904841812</v>
      </c>
      <c r="F27">
        <v>0.27959186396016572</v>
      </c>
      <c r="G27">
        <v>0.53112698517622836</v>
      </c>
      <c r="H27">
        <v>0.42175429320115038</v>
      </c>
      <c r="I27">
        <v>0.72484586707648846</v>
      </c>
      <c r="J27">
        <v>0.60688923353037094</v>
      </c>
      <c r="K27">
        <v>0.99999999999999922</v>
      </c>
      <c r="L27">
        <v>0.63729524200327592</v>
      </c>
      <c r="M27">
        <v>0.69285696439216293</v>
      </c>
      <c r="N27">
        <v>0.61007880678483928</v>
      </c>
      <c r="O27">
        <v>0.66078692834448605</v>
      </c>
      <c r="P27">
        <v>0.54365102471713289</v>
      </c>
      <c r="Q27">
        <v>0.2417503285635958</v>
      </c>
      <c r="R27">
        <v>0.16067260707972825</v>
      </c>
      <c r="S27">
        <v>0.25443235529261227</v>
      </c>
      <c r="T27">
        <v>7.4706952486633116E-2</v>
      </c>
      <c r="U27">
        <v>0.36616304656585696</v>
      </c>
      <c r="V27">
        <v>0.34384082805174038</v>
      </c>
      <c r="W27">
        <v>0.20506996582973921</v>
      </c>
      <c r="X27">
        <v>9.2432168772883808E-2</v>
      </c>
      <c r="Y27">
        <v>0.11991890940109819</v>
      </c>
      <c r="Z27">
        <v>-5.2283291369030434E-2</v>
      </c>
      <c r="AA27">
        <v>-8.6296849410826992E-2</v>
      </c>
      <c r="AB27">
        <v>0.35557468340140314</v>
      </c>
      <c r="AC27">
        <v>0.33278266851874788</v>
      </c>
      <c r="AD27">
        <v>0.31824577796933634</v>
      </c>
      <c r="AE27">
        <v>0.43595144041178552</v>
      </c>
      <c r="AF27">
        <v>0.3091414383232326</v>
      </c>
      <c r="AG27">
        <v>0.15158031798269614</v>
      </c>
      <c r="AH27">
        <v>0.26440541129009365</v>
      </c>
      <c r="AI27">
        <v>0.29027237367614556</v>
      </c>
      <c r="AJ27">
        <v>0.31476445648806106</v>
      </c>
      <c r="AK27">
        <v>0.42888170881371873</v>
      </c>
      <c r="AL27">
        <v>0.33102551095967703</v>
      </c>
      <c r="AM27">
        <v>0.24597891444311332</v>
      </c>
      <c r="AN27">
        <v>0.19847573884561412</v>
      </c>
      <c r="AO27">
        <v>0.25914885295673329</v>
      </c>
      <c r="AP27">
        <v>0.27281490392856278</v>
      </c>
      <c r="AQ27">
        <v>0.19601223186077965</v>
      </c>
      <c r="AR27">
        <v>0.19771974471846737</v>
      </c>
      <c r="AS27">
        <v>0.35986634577559395</v>
      </c>
      <c r="AT27">
        <v>0.31943974065285896</v>
      </c>
      <c r="AU27">
        <v>0.33181307102967583</v>
      </c>
    </row>
    <row r="28" spans="3:47" x14ac:dyDescent="0.2">
      <c r="C28" t="s">
        <v>9</v>
      </c>
      <c r="D28">
        <v>0.40234073476324211</v>
      </c>
      <c r="E28">
        <v>0.31419938532574071</v>
      </c>
      <c r="F28">
        <v>0.40080326903826957</v>
      </c>
      <c r="G28">
        <v>0.39254306909622788</v>
      </c>
      <c r="H28">
        <v>0.55036293402016512</v>
      </c>
      <c r="I28">
        <v>0.70226255276037319</v>
      </c>
      <c r="J28">
        <v>0.6812907501258223</v>
      </c>
      <c r="K28">
        <v>0.63729524200327592</v>
      </c>
      <c r="L28">
        <v>0.999999999999998</v>
      </c>
      <c r="M28">
        <v>0.60285872968947685</v>
      </c>
      <c r="N28">
        <v>0.64048355721039174</v>
      </c>
      <c r="O28">
        <v>0.71677462504914735</v>
      </c>
      <c r="P28">
        <v>0.57909006872744617</v>
      </c>
      <c r="Q28">
        <v>-6.2427704660465953E-2</v>
      </c>
      <c r="R28">
        <v>5.6190488096367931E-2</v>
      </c>
      <c r="S28">
        <v>0.30667022525721405</v>
      </c>
      <c r="T28">
        <v>-0.10842549295575853</v>
      </c>
      <c r="U28">
        <v>0.23823283517477084</v>
      </c>
      <c r="V28">
        <v>0.46395688785983086</v>
      </c>
      <c r="W28">
        <v>0.35478672197691163</v>
      </c>
      <c r="X28">
        <v>0.18294650530195664</v>
      </c>
      <c r="Y28">
        <v>0.17538188718629474</v>
      </c>
      <c r="Z28">
        <v>0.26003469101138149</v>
      </c>
      <c r="AA28">
        <v>4.0270073336204977E-2</v>
      </c>
      <c r="AB28">
        <v>0.33770803012497091</v>
      </c>
      <c r="AC28">
        <v>0.38057626030572733</v>
      </c>
      <c r="AD28">
        <v>0.4759147815892783</v>
      </c>
      <c r="AE28">
        <v>0.48693074737543895</v>
      </c>
      <c r="AF28">
        <v>0.3621060978858584</v>
      </c>
      <c r="AG28">
        <v>4.1628671730125869E-2</v>
      </c>
      <c r="AH28">
        <v>0.16673892909333599</v>
      </c>
      <c r="AI28">
        <v>0.38953135316064513</v>
      </c>
      <c r="AJ28">
        <v>0.21702651479007823</v>
      </c>
      <c r="AK28">
        <v>0.38808008337732419</v>
      </c>
      <c r="AL28">
        <v>0.44043336655383247</v>
      </c>
      <c r="AM28">
        <v>0.51013114482391875</v>
      </c>
      <c r="AN28">
        <v>0.10164717282485246</v>
      </c>
      <c r="AO28">
        <v>0.17365298562697651</v>
      </c>
      <c r="AP28">
        <v>0.27644477820530888</v>
      </c>
      <c r="AQ28">
        <v>0.24447180524566761</v>
      </c>
      <c r="AR28">
        <v>0.35839697878849858</v>
      </c>
      <c r="AS28">
        <v>0.34616171954554403</v>
      </c>
      <c r="AT28">
        <v>0.3207824793969159</v>
      </c>
      <c r="AU28">
        <v>0.10728596371788732</v>
      </c>
    </row>
    <row r="29" spans="3:47" x14ac:dyDescent="0.2">
      <c r="C29" t="s">
        <v>10</v>
      </c>
      <c r="D29">
        <v>0.47070098130014359</v>
      </c>
      <c r="E29">
        <v>0.36290421307657672</v>
      </c>
      <c r="F29">
        <v>0.23099284522024344</v>
      </c>
      <c r="G29">
        <v>0.46276099114743563</v>
      </c>
      <c r="H29">
        <v>0.39476211999901684</v>
      </c>
      <c r="I29">
        <v>0.54624192111411285</v>
      </c>
      <c r="J29">
        <v>0.54630952192250259</v>
      </c>
      <c r="K29">
        <v>0.69285696439216293</v>
      </c>
      <c r="L29">
        <v>0.60285872968947685</v>
      </c>
      <c r="M29">
        <v>1.0000000000000002</v>
      </c>
      <c r="N29">
        <v>0.53469900629232292</v>
      </c>
      <c r="O29">
        <v>0.59270181416883494</v>
      </c>
      <c r="P29">
        <v>0.39213206322163258</v>
      </c>
      <c r="Q29">
        <v>0.24003438972435365</v>
      </c>
      <c r="R29">
        <v>0.36228215166181504</v>
      </c>
      <c r="S29">
        <v>0.33805836733902006</v>
      </c>
      <c r="T29">
        <v>0.33468152774698601</v>
      </c>
      <c r="U29">
        <v>0.32940562241263588</v>
      </c>
      <c r="V29">
        <v>0.20127357965532544</v>
      </c>
      <c r="W29">
        <v>0.2315342428080259</v>
      </c>
      <c r="X29">
        <v>0.19579003120580385</v>
      </c>
      <c r="Y29">
        <v>0.19695434487176336</v>
      </c>
      <c r="Z29">
        <v>0.13571753820778548</v>
      </c>
      <c r="AA29">
        <v>-9.8454663979206949E-2</v>
      </c>
      <c r="AB29">
        <v>0.27854467433977392</v>
      </c>
      <c r="AC29">
        <v>0.35503723966590361</v>
      </c>
      <c r="AD29">
        <v>0.5263969598901761</v>
      </c>
      <c r="AE29">
        <v>0.64127562156620388</v>
      </c>
      <c r="AF29">
        <v>0.41826187082394839</v>
      </c>
      <c r="AG29">
        <v>6.6972908590744284E-2</v>
      </c>
      <c r="AH29">
        <v>0.26313664739918591</v>
      </c>
      <c r="AI29">
        <v>0.3269767685636934</v>
      </c>
      <c r="AJ29">
        <v>0.32963175231351999</v>
      </c>
      <c r="AK29">
        <v>0.39840686735030995</v>
      </c>
      <c r="AL29">
        <v>0.35683000045089691</v>
      </c>
      <c r="AM29">
        <v>0.25584330520638526</v>
      </c>
      <c r="AN29">
        <v>0.24250761621400535</v>
      </c>
      <c r="AO29">
        <v>0.24841666485040884</v>
      </c>
      <c r="AP29">
        <v>0.36384973060832687</v>
      </c>
      <c r="AQ29">
        <v>0.26365630481629793</v>
      </c>
      <c r="AR29">
        <v>0.25804161966055567</v>
      </c>
      <c r="AS29">
        <v>0.39469828438730659</v>
      </c>
      <c r="AT29">
        <v>0.26402133154875829</v>
      </c>
      <c r="AU29">
        <v>0.36940061522620621</v>
      </c>
    </row>
    <row r="30" spans="3:47" x14ac:dyDescent="0.2">
      <c r="C30" t="s">
        <v>11</v>
      </c>
      <c r="D30">
        <v>0.43630918289939202</v>
      </c>
      <c r="E30">
        <v>0.42764110049829585</v>
      </c>
      <c r="F30">
        <v>0.38231594878683695</v>
      </c>
      <c r="G30">
        <v>0.51567237907501517</v>
      </c>
      <c r="H30">
        <v>0.49770150004950997</v>
      </c>
      <c r="I30">
        <v>0.65229037342601892</v>
      </c>
      <c r="J30">
        <v>0.67464035338061779</v>
      </c>
      <c r="K30">
        <v>0.61007880678483928</v>
      </c>
      <c r="L30">
        <v>0.64048355721039174</v>
      </c>
      <c r="M30">
        <v>0.53469900629232292</v>
      </c>
      <c r="N30">
        <v>0.99999999999999922</v>
      </c>
      <c r="O30">
        <v>0.67370087411894752</v>
      </c>
      <c r="P30">
        <v>0.74257356585774725</v>
      </c>
      <c r="Q30">
        <v>0.15663975686681267</v>
      </c>
      <c r="R30">
        <v>0.2316251230678586</v>
      </c>
      <c r="S30">
        <v>0.39416955036447271</v>
      </c>
      <c r="T30">
        <v>0.17022932477410677</v>
      </c>
      <c r="U30">
        <v>0.22481112913165346</v>
      </c>
      <c r="V30">
        <v>0.36769275488358444</v>
      </c>
      <c r="W30">
        <v>0.29258401834006453</v>
      </c>
      <c r="X30">
        <v>0.27494397728023862</v>
      </c>
      <c r="Y30">
        <v>-1.7700304727899033E-2</v>
      </c>
      <c r="Z30">
        <v>0.10907588106723988</v>
      </c>
      <c r="AA30">
        <v>0.12968513557132905</v>
      </c>
      <c r="AB30">
        <v>0.36693098134770535</v>
      </c>
      <c r="AC30">
        <v>0.30922095635643027</v>
      </c>
      <c r="AD30">
        <v>0.4571207024907063</v>
      </c>
      <c r="AE30">
        <v>0.50896047001390599</v>
      </c>
      <c r="AF30">
        <v>0.33460728691005032</v>
      </c>
      <c r="AG30">
        <v>0.15970182507424061</v>
      </c>
      <c r="AH30">
        <v>7.3712612066669472E-2</v>
      </c>
      <c r="AI30">
        <v>0.26055889887115702</v>
      </c>
      <c r="AJ30">
        <v>0.18755718737707261</v>
      </c>
      <c r="AK30">
        <v>0.44271355795722678</v>
      </c>
      <c r="AL30">
        <v>0.48640279675475645</v>
      </c>
      <c r="AM30">
        <v>0.42679344353557552</v>
      </c>
      <c r="AN30">
        <v>0.19296092281136212</v>
      </c>
      <c r="AO30">
        <v>1.7981126195898992E-2</v>
      </c>
      <c r="AP30">
        <v>0.20914598793916356</v>
      </c>
      <c r="AQ30">
        <v>0.1241851723503509</v>
      </c>
      <c r="AR30">
        <v>0.46664089303583239</v>
      </c>
      <c r="AS30">
        <v>0.38338517049018223</v>
      </c>
      <c r="AT30">
        <v>0.43571903670551632</v>
      </c>
      <c r="AU30">
        <v>0.23867993488954478</v>
      </c>
    </row>
    <row r="31" spans="3:47" x14ac:dyDescent="0.2">
      <c r="C31" t="s">
        <v>12</v>
      </c>
      <c r="D31">
        <v>0.30801153494756245</v>
      </c>
      <c r="E31">
        <v>0.19761675202758688</v>
      </c>
      <c r="F31">
        <v>0.35871792776802569</v>
      </c>
      <c r="G31">
        <v>0.36059941486163594</v>
      </c>
      <c r="H31">
        <v>0.4906240521935224</v>
      </c>
      <c r="I31">
        <v>0.66015097593186489</v>
      </c>
      <c r="J31">
        <v>0.59418374600113177</v>
      </c>
      <c r="K31">
        <v>0.66078692834448605</v>
      </c>
      <c r="L31">
        <v>0.71677462504914735</v>
      </c>
      <c r="M31">
        <v>0.59270181416883494</v>
      </c>
      <c r="N31">
        <v>0.67370087411894752</v>
      </c>
      <c r="O31">
        <v>1.0000000000000011</v>
      </c>
      <c r="P31">
        <v>0.70886744145886749</v>
      </c>
      <c r="Q31">
        <v>7.546246294487283E-3</v>
      </c>
      <c r="R31">
        <v>5.1843884905301139E-2</v>
      </c>
      <c r="S31">
        <v>0.3719796429420929</v>
      </c>
      <c r="T31">
        <v>1.0037240526764352E-2</v>
      </c>
      <c r="U31">
        <v>0.30495270106856232</v>
      </c>
      <c r="V31">
        <v>0.43986100859452287</v>
      </c>
      <c r="W31">
        <v>0.24923862965210078</v>
      </c>
      <c r="X31">
        <v>0.30251342131890596</v>
      </c>
      <c r="Y31">
        <v>0.22456387133679725</v>
      </c>
      <c r="Z31">
        <v>0.195930714717995</v>
      </c>
      <c r="AA31">
        <v>8.9975512973586677E-2</v>
      </c>
      <c r="AB31">
        <v>0.30156259049229117</v>
      </c>
      <c r="AC31">
        <v>0.38596100758022456</v>
      </c>
      <c r="AD31">
        <v>0.43936654026390509</v>
      </c>
      <c r="AE31">
        <v>0.44651135019829308</v>
      </c>
      <c r="AF31">
        <v>0.33124112087542273</v>
      </c>
      <c r="AG31">
        <v>8.670674822078174E-2</v>
      </c>
      <c r="AH31">
        <v>0.20826091568808269</v>
      </c>
      <c r="AI31">
        <v>0.30428830921621536</v>
      </c>
      <c r="AJ31">
        <v>0.22995316482058412</v>
      </c>
      <c r="AK31">
        <v>0.46119627246907213</v>
      </c>
      <c r="AL31">
        <v>0.43418606702514911</v>
      </c>
      <c r="AM31">
        <v>0.411535908165717</v>
      </c>
      <c r="AN31">
        <v>6.590255358643092E-2</v>
      </c>
      <c r="AO31">
        <v>0.36935812084475861</v>
      </c>
      <c r="AP31">
        <v>0.42007585738753633</v>
      </c>
      <c r="AQ31">
        <v>0.27630834327236936</v>
      </c>
      <c r="AR31">
        <v>0.39230122000602996</v>
      </c>
      <c r="AS31">
        <v>0.40416270606574517</v>
      </c>
      <c r="AT31">
        <v>0.43382099409733432</v>
      </c>
      <c r="AU31">
        <v>0.18733109275462273</v>
      </c>
    </row>
    <row r="32" spans="3:47" x14ac:dyDescent="0.2">
      <c r="C32" t="s">
        <v>13</v>
      </c>
      <c r="D32">
        <v>0.27692648934035602</v>
      </c>
      <c r="E32">
        <v>0.29786141753675116</v>
      </c>
      <c r="F32">
        <v>0.36283040309747278</v>
      </c>
      <c r="G32">
        <v>0.44870936545520579</v>
      </c>
      <c r="H32">
        <v>0.55382191452046448</v>
      </c>
      <c r="I32">
        <v>0.67534207779076572</v>
      </c>
      <c r="J32">
        <v>0.6924624454976136</v>
      </c>
      <c r="K32">
        <v>0.54365102471713289</v>
      </c>
      <c r="L32">
        <v>0.57909006872744617</v>
      </c>
      <c r="M32">
        <v>0.39213206322163258</v>
      </c>
      <c r="N32">
        <v>0.74257356585774725</v>
      </c>
      <c r="O32">
        <v>0.70886744145886749</v>
      </c>
      <c r="P32">
        <v>0.99999999999999878</v>
      </c>
      <c r="Q32">
        <v>0.19002079458189383</v>
      </c>
      <c r="R32">
        <v>0.1867543132573955</v>
      </c>
      <c r="S32">
        <v>0.33100852481677467</v>
      </c>
      <c r="T32">
        <v>0.1099853353754779</v>
      </c>
      <c r="U32">
        <v>0.21860986526674922</v>
      </c>
      <c r="V32">
        <v>0.39971883948347442</v>
      </c>
      <c r="W32">
        <v>0.2369580149927103</v>
      </c>
      <c r="X32">
        <v>0.26847130945942832</v>
      </c>
      <c r="Y32">
        <v>0.15264721916019944</v>
      </c>
      <c r="Z32">
        <v>0.177981096977398</v>
      </c>
      <c r="AA32">
        <v>0.14031131894867649</v>
      </c>
      <c r="AB32">
        <v>0.44929071694250566</v>
      </c>
      <c r="AC32">
        <v>0.30465960081675192</v>
      </c>
      <c r="AD32">
        <v>0.49096133995368352</v>
      </c>
      <c r="AE32">
        <v>0.3927626430326982</v>
      </c>
      <c r="AF32">
        <v>0.31377669363089378</v>
      </c>
      <c r="AG32">
        <v>0.27180819526941963</v>
      </c>
      <c r="AH32">
        <v>0.1985309934400061</v>
      </c>
      <c r="AI32">
        <v>0.27585566279578932</v>
      </c>
      <c r="AJ32">
        <v>0.16874991228827943</v>
      </c>
      <c r="AK32">
        <v>0.39752854841420032</v>
      </c>
      <c r="AL32">
        <v>0.4344386365083836</v>
      </c>
      <c r="AM32">
        <v>0.35471114962626199</v>
      </c>
      <c r="AN32">
        <v>8.4110721047816722E-2</v>
      </c>
      <c r="AO32">
        <v>0.2177910107830609</v>
      </c>
      <c r="AP32">
        <v>0.35252238044039413</v>
      </c>
      <c r="AQ32">
        <v>0.25855699317728315</v>
      </c>
      <c r="AR32">
        <v>0.46114644722178622</v>
      </c>
      <c r="AS32">
        <v>0.30916633841849445</v>
      </c>
      <c r="AT32">
        <v>0.34370169160466518</v>
      </c>
      <c r="AU32">
        <v>0.24988120343730783</v>
      </c>
    </row>
    <row r="33" spans="3:47" x14ac:dyDescent="0.2">
      <c r="C33" t="s">
        <v>14</v>
      </c>
      <c r="D33">
        <v>0.12576228594870653</v>
      </c>
      <c r="E33">
        <v>0.10142090872348966</v>
      </c>
      <c r="F33">
        <v>-5.949808216049228E-2</v>
      </c>
      <c r="G33">
        <v>9.9347047402373004E-2</v>
      </c>
      <c r="H33">
        <v>0.16397119855540598</v>
      </c>
      <c r="I33">
        <v>8.175026263401558E-2</v>
      </c>
      <c r="J33">
        <v>0.19940236276218209</v>
      </c>
      <c r="K33">
        <v>0.2417503285635958</v>
      </c>
      <c r="L33">
        <v>-6.2427704660465953E-2</v>
      </c>
      <c r="M33">
        <v>0.24003438972435365</v>
      </c>
      <c r="N33">
        <v>0.15663975686681267</v>
      </c>
      <c r="O33">
        <v>7.546246294487283E-3</v>
      </c>
      <c r="P33">
        <v>0.19002079458189383</v>
      </c>
      <c r="Q33">
        <v>0.99999999999999956</v>
      </c>
      <c r="R33">
        <v>0.65863200113957754</v>
      </c>
      <c r="S33">
        <v>0.36955211127247467</v>
      </c>
      <c r="T33">
        <v>0.41819594235737506</v>
      </c>
      <c r="U33">
        <v>0.23240281917141511</v>
      </c>
      <c r="V33">
        <v>0.19171336858751306</v>
      </c>
      <c r="W33">
        <v>0.15994868406506296</v>
      </c>
      <c r="X33">
        <v>0.27354979552555442</v>
      </c>
      <c r="Y33">
        <v>0.25675742193071011</v>
      </c>
      <c r="Z33">
        <v>-4.2102894280875887E-2</v>
      </c>
      <c r="AA33">
        <v>8.2672108403279612E-2</v>
      </c>
      <c r="AB33">
        <v>0.2519106471608189</v>
      </c>
      <c r="AC33">
        <v>0.12585312394636758</v>
      </c>
      <c r="AD33">
        <v>0.20035754327830235</v>
      </c>
      <c r="AE33">
        <v>0.3187013942823323</v>
      </c>
      <c r="AF33">
        <v>0.21055811729921986</v>
      </c>
      <c r="AG33">
        <v>0.42647320228134056</v>
      </c>
      <c r="AH33">
        <v>0.33506321440194903</v>
      </c>
      <c r="AI33">
        <v>0.14225368610346067</v>
      </c>
      <c r="AJ33">
        <v>0.21475333866205201</v>
      </c>
      <c r="AK33">
        <v>0.19633397219395313</v>
      </c>
      <c r="AL33">
        <v>1.6682577852375216E-2</v>
      </c>
      <c r="AM33">
        <v>-8.2570082247054047E-2</v>
      </c>
      <c r="AN33">
        <v>0.40472252237114997</v>
      </c>
      <c r="AO33">
        <v>0.20957912602051518</v>
      </c>
      <c r="AP33">
        <v>0.24704431505816155</v>
      </c>
      <c r="AQ33">
        <v>0.25479594844586057</v>
      </c>
      <c r="AR33">
        <v>3.3507604667135961E-2</v>
      </c>
      <c r="AS33">
        <v>6.2386514076913945E-2</v>
      </c>
      <c r="AT33">
        <v>5.9228019308075933E-2</v>
      </c>
      <c r="AU33">
        <v>0.50273883137968223</v>
      </c>
    </row>
    <row r="34" spans="3:47" x14ac:dyDescent="0.2">
      <c r="C34" t="s">
        <v>15</v>
      </c>
      <c r="D34">
        <v>0.18492535099551768</v>
      </c>
      <c r="E34">
        <v>0.19933239753617352</v>
      </c>
      <c r="F34">
        <v>2.9481016558462279E-3</v>
      </c>
      <c r="G34">
        <v>0.17308030908393532</v>
      </c>
      <c r="H34">
        <v>0.17753905795233993</v>
      </c>
      <c r="I34">
        <v>9.8779156071138657E-2</v>
      </c>
      <c r="J34">
        <v>0.18836001460869792</v>
      </c>
      <c r="K34">
        <v>0.16067260707972825</v>
      </c>
      <c r="L34">
        <v>5.6190488096367931E-2</v>
      </c>
      <c r="M34">
        <v>0.36228215166181504</v>
      </c>
      <c r="N34">
        <v>0.2316251230678586</v>
      </c>
      <c r="O34">
        <v>5.1843884905301139E-2</v>
      </c>
      <c r="P34">
        <v>0.1867543132573955</v>
      </c>
      <c r="Q34">
        <v>0.65863200113957754</v>
      </c>
      <c r="R34">
        <v>0.99999999999999856</v>
      </c>
      <c r="S34">
        <v>0.5063741871877776</v>
      </c>
      <c r="T34">
        <v>0.67545062908699716</v>
      </c>
      <c r="U34">
        <v>6.8931263005751184E-2</v>
      </c>
      <c r="V34">
        <v>0.21126061132995738</v>
      </c>
      <c r="W34">
        <v>0.33048989342460783</v>
      </c>
      <c r="X34">
        <v>0.43699911034329597</v>
      </c>
      <c r="Y34">
        <v>0.27173050716064434</v>
      </c>
      <c r="Z34">
        <v>0.19887844627389087</v>
      </c>
      <c r="AA34">
        <v>0.13439679308579547</v>
      </c>
      <c r="AB34">
        <v>0.3676312726692782</v>
      </c>
      <c r="AC34">
        <v>0.23806465411345087</v>
      </c>
      <c r="AD34">
        <v>0.4343010109036875</v>
      </c>
      <c r="AE34">
        <v>0.37290675895404479</v>
      </c>
      <c r="AF34">
        <v>0.28851464313396374</v>
      </c>
      <c r="AG34">
        <v>0.32808854807101001</v>
      </c>
      <c r="AH34">
        <v>0.23491682653948628</v>
      </c>
      <c r="AI34">
        <v>0.22152624933349493</v>
      </c>
      <c r="AJ34">
        <v>0.13297462395799714</v>
      </c>
      <c r="AK34">
        <v>0.3904805731889584</v>
      </c>
      <c r="AL34">
        <v>0.22595049684796634</v>
      </c>
      <c r="AM34">
        <v>-3.4385173145564746E-2</v>
      </c>
      <c r="AN34">
        <v>0.312262744110474</v>
      </c>
      <c r="AO34">
        <v>0.17910407072264184</v>
      </c>
      <c r="AP34">
        <v>0.23702869702683213</v>
      </c>
      <c r="AQ34">
        <v>0.19182433781518021</v>
      </c>
      <c r="AR34">
        <v>0.24451936941119162</v>
      </c>
      <c r="AS34">
        <v>0.19987075464168971</v>
      </c>
      <c r="AT34">
        <v>9.6131513233233074E-2</v>
      </c>
      <c r="AU34">
        <v>0.28768382735938586</v>
      </c>
    </row>
    <row r="35" spans="3:47" x14ac:dyDescent="0.2">
      <c r="C35" t="s">
        <v>16</v>
      </c>
      <c r="D35">
        <v>5.8698895023142857E-2</v>
      </c>
      <c r="E35">
        <v>0.14686636683379084</v>
      </c>
      <c r="F35">
        <v>6.1672055820512356E-2</v>
      </c>
      <c r="G35">
        <v>0.14748664652990004</v>
      </c>
      <c r="H35">
        <v>0.43390484731940954</v>
      </c>
      <c r="I35">
        <v>0.23349160488180892</v>
      </c>
      <c r="J35">
        <v>0.26601296508320343</v>
      </c>
      <c r="K35">
        <v>0.25443235529261227</v>
      </c>
      <c r="L35">
        <v>0.30667022525721405</v>
      </c>
      <c r="M35">
        <v>0.33805836733902006</v>
      </c>
      <c r="N35">
        <v>0.39416955036447271</v>
      </c>
      <c r="O35">
        <v>0.3719796429420929</v>
      </c>
      <c r="P35">
        <v>0.33100852481677467</v>
      </c>
      <c r="Q35">
        <v>0.36955211127247467</v>
      </c>
      <c r="R35">
        <v>0.5063741871877776</v>
      </c>
      <c r="S35">
        <v>1</v>
      </c>
      <c r="T35">
        <v>0.36469317767260967</v>
      </c>
      <c r="U35">
        <v>0.31478732935114351</v>
      </c>
      <c r="V35">
        <v>0.42868639708577216</v>
      </c>
      <c r="W35">
        <v>0.44854661481742614</v>
      </c>
      <c r="X35">
        <v>0.44706864217088998</v>
      </c>
      <c r="Y35">
        <v>0.30448453901013506</v>
      </c>
      <c r="Z35">
        <v>0.40722774837819953</v>
      </c>
      <c r="AA35">
        <v>0.12351138319106697</v>
      </c>
      <c r="AB35">
        <v>0.40136722738161845</v>
      </c>
      <c r="AC35">
        <v>0.40211876503598187</v>
      </c>
      <c r="AD35">
        <v>0.35390979925503285</v>
      </c>
      <c r="AE35">
        <v>0.35358755529264296</v>
      </c>
      <c r="AF35">
        <v>0.13623794581129528</v>
      </c>
      <c r="AG35">
        <v>0.17755688264726141</v>
      </c>
      <c r="AH35">
        <v>0.38483166151553055</v>
      </c>
      <c r="AI35">
        <v>0.40473833308402346</v>
      </c>
      <c r="AJ35">
        <v>7.550604060912823E-2</v>
      </c>
      <c r="AK35">
        <v>0.57669499195468488</v>
      </c>
      <c r="AL35">
        <v>0.40916589873078257</v>
      </c>
      <c r="AM35">
        <v>0.13026436471205619</v>
      </c>
      <c r="AN35">
        <v>0.21699298621711846</v>
      </c>
      <c r="AO35">
        <v>0.14385876573370432</v>
      </c>
      <c r="AP35">
        <v>0.1931937804272735</v>
      </c>
      <c r="AQ35">
        <v>0.179606056191357</v>
      </c>
      <c r="AR35">
        <v>0.36601767974976573</v>
      </c>
      <c r="AS35">
        <v>0.49470554289979252</v>
      </c>
      <c r="AT35">
        <v>0.33123829665878018</v>
      </c>
      <c r="AU35">
        <v>0.13530130657734846</v>
      </c>
    </row>
    <row r="36" spans="3:47" x14ac:dyDescent="0.2">
      <c r="C36" t="s">
        <v>17</v>
      </c>
      <c r="D36">
        <v>8.655651736561111E-2</v>
      </c>
      <c r="E36">
        <v>0.14756349009805719</v>
      </c>
      <c r="F36">
        <v>4.6527491307395514E-3</v>
      </c>
      <c r="G36">
        <v>0.13470251914488157</v>
      </c>
      <c r="H36">
        <v>5.1387059970994527E-2</v>
      </c>
      <c r="I36">
        <v>4.3608941807202997E-2</v>
      </c>
      <c r="J36">
        <v>0.13455147589918451</v>
      </c>
      <c r="K36">
        <v>7.4706952486633116E-2</v>
      </c>
      <c r="L36">
        <v>-0.10842549295575853</v>
      </c>
      <c r="M36">
        <v>0.33468152774698601</v>
      </c>
      <c r="N36">
        <v>0.17022932477410677</v>
      </c>
      <c r="O36">
        <v>1.0037240526764352E-2</v>
      </c>
      <c r="P36">
        <v>0.1099853353754779</v>
      </c>
      <c r="Q36">
        <v>0.41819594235737506</v>
      </c>
      <c r="R36">
        <v>0.67545062908699716</v>
      </c>
      <c r="S36">
        <v>0.36469317767260967</v>
      </c>
      <c r="T36">
        <v>1.0000000000000009</v>
      </c>
      <c r="U36">
        <v>0.15480493808802279</v>
      </c>
      <c r="V36">
        <v>5.0193849672201675E-2</v>
      </c>
      <c r="W36">
        <v>0.17444656742119416</v>
      </c>
      <c r="X36">
        <v>0.2890833732138926</v>
      </c>
      <c r="Y36">
        <v>0.26227375469424158</v>
      </c>
      <c r="Z36">
        <v>0.28544385837975594</v>
      </c>
      <c r="AA36">
        <v>0.24873964696120865</v>
      </c>
      <c r="AB36">
        <v>0.23457077614404598</v>
      </c>
      <c r="AC36">
        <v>0.26196801724185692</v>
      </c>
      <c r="AD36">
        <v>0.37721106066244436</v>
      </c>
      <c r="AE36">
        <v>0.33693738334468026</v>
      </c>
      <c r="AF36">
        <v>0.19905262106849628</v>
      </c>
      <c r="AG36">
        <v>0.23066059800781771</v>
      </c>
      <c r="AH36">
        <v>0.2110312041860212</v>
      </c>
      <c r="AI36">
        <v>0.18324746123665328</v>
      </c>
      <c r="AJ36">
        <v>2.8186163551357241E-2</v>
      </c>
      <c r="AK36">
        <v>0.28836866062588234</v>
      </c>
      <c r="AL36">
        <v>0.26455724213322868</v>
      </c>
      <c r="AM36">
        <v>5.1249118055166805E-2</v>
      </c>
      <c r="AN36">
        <v>0.24254302276339029</v>
      </c>
      <c r="AO36">
        <v>0.10209486726781808</v>
      </c>
      <c r="AP36">
        <v>0.1036713365941012</v>
      </c>
      <c r="AQ36">
        <v>5.3341641365428474E-2</v>
      </c>
      <c r="AR36">
        <v>0.27703712796284863</v>
      </c>
      <c r="AS36">
        <v>0.23853991229890623</v>
      </c>
      <c r="AT36">
        <v>5.1545917224347024E-2</v>
      </c>
      <c r="AU36">
        <v>0.24476035147222083</v>
      </c>
    </row>
    <row r="37" spans="3:47" x14ac:dyDescent="0.2">
      <c r="C37" t="s">
        <v>18</v>
      </c>
      <c r="D37">
        <v>0.24363399174815661</v>
      </c>
      <c r="E37">
        <v>8.4895220763499243E-2</v>
      </c>
      <c r="F37">
        <v>0.26726904164226561</v>
      </c>
      <c r="G37">
        <v>0.26314516135692179</v>
      </c>
      <c r="H37">
        <v>0.3556823660540589</v>
      </c>
      <c r="I37">
        <v>0.21119624640557641</v>
      </c>
      <c r="J37">
        <v>0.22124729303101467</v>
      </c>
      <c r="K37">
        <v>0.36616304656585696</v>
      </c>
      <c r="L37">
        <v>0.23823283517477084</v>
      </c>
      <c r="M37">
        <v>0.32940562241263588</v>
      </c>
      <c r="N37">
        <v>0.22481112913165346</v>
      </c>
      <c r="O37">
        <v>0.30495270106856232</v>
      </c>
      <c r="P37">
        <v>0.21860986526674922</v>
      </c>
      <c r="Q37">
        <v>0.23240281917141511</v>
      </c>
      <c r="R37">
        <v>6.8931263005751184E-2</v>
      </c>
      <c r="S37">
        <v>0.31478732935114351</v>
      </c>
      <c r="T37">
        <v>0.15480493808802279</v>
      </c>
      <c r="U37">
        <v>1.0000000000000002</v>
      </c>
      <c r="V37">
        <v>0.1333768116769784</v>
      </c>
      <c r="W37">
        <v>5.7504006508783942E-2</v>
      </c>
      <c r="X37">
        <v>6.1416339488286446E-2</v>
      </c>
      <c r="Y37">
        <v>0.34495499776805727</v>
      </c>
      <c r="Z37">
        <v>0.10873979003881061</v>
      </c>
      <c r="AA37">
        <v>-9.2954781651237786E-3</v>
      </c>
      <c r="AB37">
        <v>9.0361401416349865E-2</v>
      </c>
      <c r="AC37">
        <v>0.41458490277603133</v>
      </c>
      <c r="AD37">
        <v>8.9300772925166208E-2</v>
      </c>
      <c r="AE37">
        <v>0.38728767042979184</v>
      </c>
      <c r="AF37">
        <v>0.25345979298529731</v>
      </c>
      <c r="AG37">
        <v>0.14825439737851265</v>
      </c>
      <c r="AH37">
        <v>0.32534786658693349</v>
      </c>
      <c r="AI37">
        <v>0.20901208070720939</v>
      </c>
      <c r="AJ37">
        <v>0.19006677445315637</v>
      </c>
      <c r="AK37">
        <v>0.23473202558984813</v>
      </c>
      <c r="AL37">
        <v>0.11802633945632569</v>
      </c>
      <c r="AM37">
        <v>2.4623459027365954E-2</v>
      </c>
      <c r="AN37">
        <v>7.9529826165219517E-2</v>
      </c>
      <c r="AO37">
        <v>0.22965705547036247</v>
      </c>
      <c r="AP37">
        <v>0.29734133531686507</v>
      </c>
      <c r="AQ37">
        <v>0.26541501106452797</v>
      </c>
      <c r="AR37">
        <v>0.10936286875917021</v>
      </c>
      <c r="AS37">
        <v>0.23572017703905426</v>
      </c>
      <c r="AT37">
        <v>0.17053677161517922</v>
      </c>
      <c r="AU37">
        <v>0.19879437629420033</v>
      </c>
    </row>
    <row r="38" spans="3:47" x14ac:dyDescent="0.2">
      <c r="C38" t="s">
        <v>19</v>
      </c>
      <c r="D38">
        <v>0.15312010809324861</v>
      </c>
      <c r="E38">
        <v>0.30389858546862425</v>
      </c>
      <c r="F38">
        <v>0.26512286615170233</v>
      </c>
      <c r="G38">
        <v>0.21229897758779132</v>
      </c>
      <c r="H38">
        <v>0.46703831108150407</v>
      </c>
      <c r="I38">
        <v>0.3734714286496677</v>
      </c>
      <c r="J38">
        <v>0.42465379739437353</v>
      </c>
      <c r="K38">
        <v>0.34384082805174038</v>
      </c>
      <c r="L38">
        <v>0.46395688785983086</v>
      </c>
      <c r="M38">
        <v>0.20127357965532544</v>
      </c>
      <c r="N38">
        <v>0.36769275488358444</v>
      </c>
      <c r="O38">
        <v>0.43986100859452287</v>
      </c>
      <c r="P38">
        <v>0.39971883948347442</v>
      </c>
      <c r="Q38">
        <v>0.19171336858751306</v>
      </c>
      <c r="R38">
        <v>0.21126061132995738</v>
      </c>
      <c r="S38">
        <v>0.42868639708577216</v>
      </c>
      <c r="T38">
        <v>5.0193849672201675E-2</v>
      </c>
      <c r="U38">
        <v>0.1333768116769784</v>
      </c>
      <c r="V38">
        <v>1.0000000000000004</v>
      </c>
      <c r="W38">
        <v>0.6925239307357387</v>
      </c>
      <c r="X38">
        <v>0.60029805894406008</v>
      </c>
      <c r="Y38">
        <v>0.35376263789983625</v>
      </c>
      <c r="Z38">
        <v>0.30444961083370192</v>
      </c>
      <c r="AA38">
        <v>0.19074638414485251</v>
      </c>
      <c r="AB38">
        <v>0.41859162032475178</v>
      </c>
      <c r="AC38">
        <v>0.31627741025665912</v>
      </c>
      <c r="AD38">
        <v>0.37732482017324764</v>
      </c>
      <c r="AE38">
        <v>0.18677285550929792</v>
      </c>
      <c r="AF38">
        <v>0.10641208023243272</v>
      </c>
      <c r="AG38">
        <v>0.13606750167391551</v>
      </c>
      <c r="AH38">
        <v>0.18685640386794083</v>
      </c>
      <c r="AI38">
        <v>0.43514685784520685</v>
      </c>
      <c r="AJ38">
        <v>0.17067162573423808</v>
      </c>
      <c r="AK38">
        <v>0.37575836318036315</v>
      </c>
      <c r="AL38">
        <v>0.33442412760555135</v>
      </c>
      <c r="AM38">
        <v>0.22692063139041907</v>
      </c>
      <c r="AN38">
        <v>0.12572012498399729</v>
      </c>
      <c r="AO38">
        <v>0.23190827474327175</v>
      </c>
      <c r="AP38">
        <v>0.30495657435311291</v>
      </c>
      <c r="AQ38">
        <v>0.2844385446820738</v>
      </c>
      <c r="AR38">
        <v>0.3061941063294587</v>
      </c>
      <c r="AS38">
        <v>0.25958732167531989</v>
      </c>
      <c r="AT38">
        <v>0.21124925280976067</v>
      </c>
      <c r="AU38">
        <v>0.15054475852982718</v>
      </c>
    </row>
    <row r="39" spans="3:47" x14ac:dyDescent="0.2">
      <c r="C39" t="s">
        <v>20</v>
      </c>
      <c r="D39">
        <v>7.4863106763196602E-2</v>
      </c>
      <c r="E39">
        <v>0.22194722053336824</v>
      </c>
      <c r="F39">
        <v>8.9193244865738666E-2</v>
      </c>
      <c r="G39">
        <v>0.15337641271058206</v>
      </c>
      <c r="H39">
        <v>0.43744610561992908</v>
      </c>
      <c r="I39">
        <v>0.1829700451810142</v>
      </c>
      <c r="J39">
        <v>0.23178276817119142</v>
      </c>
      <c r="K39">
        <v>0.20506996582973921</v>
      </c>
      <c r="L39">
        <v>0.35478672197691163</v>
      </c>
      <c r="M39">
        <v>0.2315342428080259</v>
      </c>
      <c r="N39">
        <v>0.29258401834006453</v>
      </c>
      <c r="O39">
        <v>0.24923862965210078</v>
      </c>
      <c r="P39">
        <v>0.2369580149927103</v>
      </c>
      <c r="Q39">
        <v>0.15994868406506296</v>
      </c>
      <c r="R39">
        <v>0.33048989342460783</v>
      </c>
      <c r="S39">
        <v>0.44854661481742614</v>
      </c>
      <c r="T39">
        <v>0.17444656742119416</v>
      </c>
      <c r="U39">
        <v>5.7504006508783942E-2</v>
      </c>
      <c r="V39">
        <v>0.6925239307357387</v>
      </c>
      <c r="W39">
        <v>0.99999999999999956</v>
      </c>
      <c r="X39">
        <v>0.63646507024115029</v>
      </c>
      <c r="Y39">
        <v>0.322838447771089</v>
      </c>
      <c r="Z39">
        <v>0.54431047024141255</v>
      </c>
      <c r="AA39">
        <v>0.26149529967331681</v>
      </c>
      <c r="AB39">
        <v>0.51568726310934188</v>
      </c>
      <c r="AC39">
        <v>0.36547774591779708</v>
      </c>
      <c r="AD39">
        <v>0.44249101130582869</v>
      </c>
      <c r="AE39">
        <v>0.30512113120589429</v>
      </c>
      <c r="AF39">
        <v>0.13949400557628014</v>
      </c>
      <c r="AG39">
        <v>0.13506069368415888</v>
      </c>
      <c r="AH39">
        <v>0.2902180322192362</v>
      </c>
      <c r="AI39">
        <v>0.51235096127155488</v>
      </c>
      <c r="AJ39">
        <v>7.6335167230509163E-2</v>
      </c>
      <c r="AK39">
        <v>0.38999347491980585</v>
      </c>
      <c r="AL39">
        <v>0.35574981856890464</v>
      </c>
      <c r="AM39">
        <v>0.22883134153056006</v>
      </c>
      <c r="AN39">
        <v>0.11356799508621057</v>
      </c>
      <c r="AO39">
        <v>7.4349359051442646E-2</v>
      </c>
      <c r="AP39">
        <v>0.10039959033955644</v>
      </c>
      <c r="AQ39">
        <v>0.15764961523774443</v>
      </c>
      <c r="AR39">
        <v>0.24806589536209045</v>
      </c>
      <c r="AS39">
        <v>0.42926299453349503</v>
      </c>
      <c r="AT39">
        <v>0.23187365177171701</v>
      </c>
      <c r="AU39">
        <v>0.1321004763198424</v>
      </c>
    </row>
    <row r="40" spans="3:47" x14ac:dyDescent="0.2">
      <c r="C40" t="s">
        <v>21</v>
      </c>
      <c r="D40">
        <v>2.9097402389033987E-2</v>
      </c>
      <c r="E40">
        <v>4.429562455056258E-2</v>
      </c>
      <c r="F40">
        <v>0.13105702098372252</v>
      </c>
      <c r="G40">
        <v>0.11067493430201941</v>
      </c>
      <c r="H40">
        <v>0.410275396523887</v>
      </c>
      <c r="I40">
        <v>9.4956688419694582E-2</v>
      </c>
      <c r="J40">
        <v>0.15481057250465563</v>
      </c>
      <c r="K40">
        <v>9.2432168772883808E-2</v>
      </c>
      <c r="L40">
        <v>0.18294650530195664</v>
      </c>
      <c r="M40">
        <v>0.19579003120580385</v>
      </c>
      <c r="N40">
        <v>0.27494397728023862</v>
      </c>
      <c r="O40">
        <v>0.30251342131890596</v>
      </c>
      <c r="P40">
        <v>0.26847130945942832</v>
      </c>
      <c r="Q40">
        <v>0.27354979552555442</v>
      </c>
      <c r="R40">
        <v>0.43699911034329597</v>
      </c>
      <c r="S40">
        <v>0.44706864217088998</v>
      </c>
      <c r="T40">
        <v>0.2890833732138926</v>
      </c>
      <c r="U40">
        <v>6.1416339488286446E-2</v>
      </c>
      <c r="V40">
        <v>0.60029805894406008</v>
      </c>
      <c r="W40">
        <v>0.63646507024115029</v>
      </c>
      <c r="X40">
        <v>1</v>
      </c>
      <c r="Y40">
        <v>0.47962266726856678</v>
      </c>
      <c r="Z40">
        <v>0.44224675366034982</v>
      </c>
      <c r="AA40">
        <v>0.19795550156853145</v>
      </c>
      <c r="AB40">
        <v>0.37900698684415757</v>
      </c>
      <c r="AC40">
        <v>0.45025802636555101</v>
      </c>
      <c r="AD40">
        <v>0.5008311668984966</v>
      </c>
      <c r="AE40">
        <v>0.3685722388346378</v>
      </c>
      <c r="AF40">
        <v>0.18145129683751757</v>
      </c>
      <c r="AG40">
        <v>0.19377540366042689</v>
      </c>
      <c r="AH40">
        <v>0.29763818588114133</v>
      </c>
      <c r="AI40">
        <v>0.35897262409549979</v>
      </c>
      <c r="AJ40">
        <v>-7.3257485508186624E-3</v>
      </c>
      <c r="AK40">
        <v>0.34208947049993926</v>
      </c>
      <c r="AL40">
        <v>0.23896690201459406</v>
      </c>
      <c r="AM40">
        <v>-4.630469222794948E-2</v>
      </c>
      <c r="AN40">
        <v>0.18265116052714045</v>
      </c>
      <c r="AO40">
        <v>0.37679885529686485</v>
      </c>
      <c r="AP40">
        <v>0.32803092883649421</v>
      </c>
      <c r="AQ40">
        <v>0.37396953890245416</v>
      </c>
      <c r="AR40">
        <v>0.27051575291184049</v>
      </c>
      <c r="AS40">
        <v>0.29715880419871549</v>
      </c>
      <c r="AT40">
        <v>0.19965882107591346</v>
      </c>
      <c r="AU40">
        <v>8.872387171339674E-2</v>
      </c>
    </row>
    <row r="41" spans="3:47" x14ac:dyDescent="0.2">
      <c r="C41" t="s">
        <v>22</v>
      </c>
      <c r="D41">
        <v>8.8645316204014613E-2</v>
      </c>
      <c r="E41">
        <v>-4.3650104577710701E-2</v>
      </c>
      <c r="F41">
        <v>2.300176492491084E-2</v>
      </c>
      <c r="G41">
        <v>3.5864695874838114E-2</v>
      </c>
      <c r="H41">
        <v>0.28514938324516287</v>
      </c>
      <c r="I41">
        <v>9.9698539947383119E-2</v>
      </c>
      <c r="J41">
        <v>0.18700231312717611</v>
      </c>
      <c r="K41">
        <v>0.11991890940109819</v>
      </c>
      <c r="L41">
        <v>0.17538188718629474</v>
      </c>
      <c r="M41">
        <v>0.19695434487176336</v>
      </c>
      <c r="N41">
        <v>-1.7700304727899033E-2</v>
      </c>
      <c r="O41">
        <v>0.22456387133679725</v>
      </c>
      <c r="P41">
        <v>0.15264721916019944</v>
      </c>
      <c r="Q41">
        <v>0.25675742193071011</v>
      </c>
      <c r="R41">
        <v>0.27173050716064434</v>
      </c>
      <c r="S41">
        <v>0.30448453901013506</v>
      </c>
      <c r="T41">
        <v>0.26227375469424158</v>
      </c>
      <c r="U41">
        <v>0.34495499776805727</v>
      </c>
      <c r="V41">
        <v>0.35376263789983625</v>
      </c>
      <c r="W41">
        <v>0.322838447771089</v>
      </c>
      <c r="X41">
        <v>0.47962266726856678</v>
      </c>
      <c r="Y41">
        <v>0.99999999999999856</v>
      </c>
      <c r="Z41">
        <v>0.4228854007796885</v>
      </c>
      <c r="AA41">
        <v>0.10694763734350218</v>
      </c>
      <c r="AB41">
        <v>0.40917587752620127</v>
      </c>
      <c r="AC41">
        <v>0.49305448706050903</v>
      </c>
      <c r="AD41">
        <v>0.39060539822311063</v>
      </c>
      <c r="AE41">
        <v>0.3220639664614921</v>
      </c>
      <c r="AF41">
        <v>0.26439969003808628</v>
      </c>
      <c r="AG41">
        <v>0.30948956187941679</v>
      </c>
      <c r="AH41">
        <v>0.34164842476022933</v>
      </c>
      <c r="AI41">
        <v>0.31345533546152038</v>
      </c>
      <c r="AJ41">
        <v>0.10857146670642225</v>
      </c>
      <c r="AK41">
        <v>0.29594947879499378</v>
      </c>
      <c r="AL41">
        <v>0.29860909589651941</v>
      </c>
      <c r="AM41">
        <v>-3.6326811169536039E-2</v>
      </c>
      <c r="AN41">
        <v>9.9256934542721359E-2</v>
      </c>
      <c r="AO41">
        <v>0.38008410397927517</v>
      </c>
      <c r="AP41">
        <v>0.25953889755450993</v>
      </c>
      <c r="AQ41">
        <v>0.42294979053941945</v>
      </c>
      <c r="AR41">
        <v>0.16696830540829719</v>
      </c>
      <c r="AS41">
        <v>0.27508760124305243</v>
      </c>
      <c r="AT41">
        <v>3.3252555732136042E-2</v>
      </c>
      <c r="AU41">
        <v>0.24356351046722105</v>
      </c>
    </row>
    <row r="42" spans="3:47" x14ac:dyDescent="0.2">
      <c r="C42" t="s">
        <v>23</v>
      </c>
      <c r="D42">
        <v>-0.13842421962883372</v>
      </c>
      <c r="E42">
        <v>1.5876543202133421E-2</v>
      </c>
      <c r="F42">
        <v>4.5399312385831031E-2</v>
      </c>
      <c r="G42">
        <v>6.393324216342558E-2</v>
      </c>
      <c r="H42">
        <v>0.34823484346144595</v>
      </c>
      <c r="I42">
        <v>7.3539932496376637E-2</v>
      </c>
      <c r="J42">
        <v>8.6875195001617972E-2</v>
      </c>
      <c r="K42">
        <v>-5.2283291369030434E-2</v>
      </c>
      <c r="L42">
        <v>0.26003469101138149</v>
      </c>
      <c r="M42">
        <v>0.13571753820778548</v>
      </c>
      <c r="N42">
        <v>0.10907588106723988</v>
      </c>
      <c r="O42">
        <v>0.195930714717995</v>
      </c>
      <c r="P42">
        <v>0.177981096977398</v>
      </c>
      <c r="Q42">
        <v>-4.2102894280875887E-2</v>
      </c>
      <c r="R42">
        <v>0.19887844627389087</v>
      </c>
      <c r="S42">
        <v>0.40722774837819953</v>
      </c>
      <c r="T42">
        <v>0.28544385837975594</v>
      </c>
      <c r="U42">
        <v>0.10873979003881061</v>
      </c>
      <c r="V42">
        <v>0.30444961083370192</v>
      </c>
      <c r="W42">
        <v>0.54431047024141255</v>
      </c>
      <c r="X42">
        <v>0.44224675366034982</v>
      </c>
      <c r="Y42">
        <v>0.4228854007796885</v>
      </c>
      <c r="Z42">
        <v>0.99999999999999922</v>
      </c>
      <c r="AA42">
        <v>0.3489783472649457</v>
      </c>
      <c r="AB42">
        <v>0.44584973403263584</v>
      </c>
      <c r="AC42">
        <v>0.44634980087965348</v>
      </c>
      <c r="AD42">
        <v>0.41873051617104351</v>
      </c>
      <c r="AE42">
        <v>0.2302404390028667</v>
      </c>
      <c r="AF42">
        <v>0.14157421202497855</v>
      </c>
      <c r="AG42">
        <v>7.9100643731110976E-2</v>
      </c>
      <c r="AH42">
        <v>0.32907356311866615</v>
      </c>
      <c r="AI42">
        <v>0.37540858299505592</v>
      </c>
      <c r="AJ42">
        <v>-0.12901039053206581</v>
      </c>
      <c r="AK42">
        <v>0.22165995815070891</v>
      </c>
      <c r="AL42">
        <v>0.25942030259591886</v>
      </c>
      <c r="AM42">
        <v>0.24184366154812909</v>
      </c>
      <c r="AN42">
        <v>0.11920264802849138</v>
      </c>
      <c r="AO42">
        <v>8.6097802663021819E-2</v>
      </c>
      <c r="AP42">
        <v>4.5992036220415887E-2</v>
      </c>
      <c r="AQ42">
        <v>6.2054922691537361E-2</v>
      </c>
      <c r="AR42">
        <v>0.33469543735585128</v>
      </c>
      <c r="AS42">
        <v>0.3848270588322496</v>
      </c>
      <c r="AT42">
        <v>0.1946466945426478</v>
      </c>
      <c r="AU42">
        <v>-3.2812025317775724E-2</v>
      </c>
    </row>
    <row r="43" spans="3:47" x14ac:dyDescent="0.2">
      <c r="C43" t="s">
        <v>24</v>
      </c>
      <c r="D43">
        <v>-7.1165920050872175E-2</v>
      </c>
      <c r="E43">
        <v>-5.1852467562269945E-2</v>
      </c>
      <c r="F43">
        <v>0.10823926444609752</v>
      </c>
      <c r="G43">
        <v>-2.1610297514970858E-2</v>
      </c>
      <c r="H43">
        <v>4.2098004440779067E-2</v>
      </c>
      <c r="I43">
        <v>-5.93209243035423E-2</v>
      </c>
      <c r="J43">
        <v>2.9888451862101682E-2</v>
      </c>
      <c r="K43">
        <v>-8.6296849410826992E-2</v>
      </c>
      <c r="L43">
        <v>4.0270073336204977E-2</v>
      </c>
      <c r="M43">
        <v>-9.8454663979206949E-2</v>
      </c>
      <c r="N43">
        <v>0.12968513557132905</v>
      </c>
      <c r="O43">
        <v>8.9975512973586677E-2</v>
      </c>
      <c r="P43">
        <v>0.14031131894867649</v>
      </c>
      <c r="Q43">
        <v>8.2672108403279612E-2</v>
      </c>
      <c r="R43">
        <v>0.13439679308579547</v>
      </c>
      <c r="S43">
        <v>0.12351138319106697</v>
      </c>
      <c r="T43">
        <v>0.24873964696120865</v>
      </c>
      <c r="U43">
        <v>-9.2954781651237786E-3</v>
      </c>
      <c r="V43">
        <v>0.19074638414485251</v>
      </c>
      <c r="W43">
        <v>0.26149529967331681</v>
      </c>
      <c r="X43">
        <v>0.19795550156853145</v>
      </c>
      <c r="Y43">
        <v>0.10694763734350218</v>
      </c>
      <c r="Z43">
        <v>0.3489783472649457</v>
      </c>
      <c r="AA43">
        <v>1.0000000000000004</v>
      </c>
      <c r="AB43">
        <v>0.34377659536471611</v>
      </c>
      <c r="AC43">
        <v>0.17614420173467424</v>
      </c>
      <c r="AD43">
        <v>0.21569255526679429</v>
      </c>
      <c r="AE43">
        <v>2.7554522238842988E-2</v>
      </c>
      <c r="AF43">
        <v>0.14941093350239409</v>
      </c>
      <c r="AG43">
        <v>0.21773609054538828</v>
      </c>
      <c r="AH43">
        <v>0.10907609481981997</v>
      </c>
      <c r="AI43">
        <v>3.722688375779093E-2</v>
      </c>
      <c r="AJ43">
        <v>3.4995262865111294E-2</v>
      </c>
      <c r="AK43">
        <v>7.3232018400786525E-2</v>
      </c>
      <c r="AL43">
        <v>0.17153718713426816</v>
      </c>
      <c r="AM43">
        <v>0.17591331799620299</v>
      </c>
      <c r="AN43">
        <v>0.10228128046884251</v>
      </c>
      <c r="AO43">
        <v>0.10368708274662564</v>
      </c>
      <c r="AP43">
        <v>8.3910911760212717E-2</v>
      </c>
      <c r="AQ43">
        <v>-5.3285248564207653E-2</v>
      </c>
      <c r="AR43">
        <v>7.6822906005923328E-2</v>
      </c>
      <c r="AS43">
        <v>0.13530694256688708</v>
      </c>
      <c r="AT43">
        <v>0.14335962466425192</v>
      </c>
      <c r="AU43">
        <v>3.9510301694907851E-2</v>
      </c>
    </row>
    <row r="44" spans="3:47" x14ac:dyDescent="0.2">
      <c r="C44" t="s">
        <v>25</v>
      </c>
      <c r="D44">
        <v>0.26341374600936401</v>
      </c>
      <c r="E44">
        <v>0.23103417220807823</v>
      </c>
      <c r="F44">
        <v>3.9961841240423797E-2</v>
      </c>
      <c r="G44">
        <v>0.30702043166478732</v>
      </c>
      <c r="H44">
        <v>0.42633580271035632</v>
      </c>
      <c r="I44">
        <v>0.40300069659917193</v>
      </c>
      <c r="J44">
        <v>0.42442441930730263</v>
      </c>
      <c r="K44">
        <v>0.35557468340140314</v>
      </c>
      <c r="L44">
        <v>0.33770803012497091</v>
      </c>
      <c r="M44">
        <v>0.27854467433977392</v>
      </c>
      <c r="N44">
        <v>0.36693098134770535</v>
      </c>
      <c r="O44">
        <v>0.30156259049229117</v>
      </c>
      <c r="P44">
        <v>0.44929071694250566</v>
      </c>
      <c r="Q44">
        <v>0.2519106471608189</v>
      </c>
      <c r="R44">
        <v>0.3676312726692782</v>
      </c>
      <c r="S44">
        <v>0.40136722738161845</v>
      </c>
      <c r="T44">
        <v>0.23457077614404598</v>
      </c>
      <c r="U44">
        <v>9.0361401416349865E-2</v>
      </c>
      <c r="V44">
        <v>0.41859162032475178</v>
      </c>
      <c r="W44">
        <v>0.51568726310934188</v>
      </c>
      <c r="X44">
        <v>0.37900698684415757</v>
      </c>
      <c r="Y44">
        <v>0.40917587752620127</v>
      </c>
      <c r="Z44">
        <v>0.44584973403263584</v>
      </c>
      <c r="AA44">
        <v>0.34377659536471611</v>
      </c>
      <c r="AB44">
        <v>0.99999999999999944</v>
      </c>
      <c r="AC44">
        <v>0.41175170772545749</v>
      </c>
      <c r="AD44">
        <v>0.60817367967177749</v>
      </c>
      <c r="AE44">
        <v>0.36971905558258195</v>
      </c>
      <c r="AF44">
        <v>0.42300332795184803</v>
      </c>
      <c r="AG44">
        <v>0.36660042785266755</v>
      </c>
      <c r="AH44">
        <v>0.37483405800139286</v>
      </c>
      <c r="AI44">
        <v>0.41104315649204615</v>
      </c>
      <c r="AJ44">
        <v>0.14273131016271454</v>
      </c>
      <c r="AK44">
        <v>0.43220898926461587</v>
      </c>
      <c r="AL44">
        <v>0.42507749853159066</v>
      </c>
      <c r="AM44">
        <v>0.22552973842412757</v>
      </c>
      <c r="AN44">
        <v>0.22181820032352015</v>
      </c>
      <c r="AO44">
        <v>0.11901255900718971</v>
      </c>
      <c r="AP44">
        <v>9.2694059799409145E-2</v>
      </c>
      <c r="AQ44">
        <v>6.7520844856706438E-2</v>
      </c>
      <c r="AR44">
        <v>0.16513224073918814</v>
      </c>
      <c r="AS44">
        <v>0.46650901283770607</v>
      </c>
      <c r="AT44">
        <v>0.227763954854627</v>
      </c>
      <c r="AU44">
        <v>0.32254182570281331</v>
      </c>
    </row>
    <row r="45" spans="3:47" x14ac:dyDescent="0.2">
      <c r="C45" t="s">
        <v>26</v>
      </c>
      <c r="D45">
        <v>0.15009705411989113</v>
      </c>
      <c r="E45">
        <v>-4.2295417547679633E-2</v>
      </c>
      <c r="F45">
        <v>0.25723953524354065</v>
      </c>
      <c r="G45">
        <v>0.26986624297807932</v>
      </c>
      <c r="H45">
        <v>0.45419741900858818</v>
      </c>
      <c r="I45">
        <v>0.25822928962288011</v>
      </c>
      <c r="J45">
        <v>0.3247083646364371</v>
      </c>
      <c r="K45">
        <v>0.33278266851874788</v>
      </c>
      <c r="L45">
        <v>0.38057626030572733</v>
      </c>
      <c r="M45">
        <v>0.35503723966590361</v>
      </c>
      <c r="N45">
        <v>0.30922095635643027</v>
      </c>
      <c r="O45">
        <v>0.38596100758022456</v>
      </c>
      <c r="P45">
        <v>0.30465960081675192</v>
      </c>
      <c r="Q45">
        <v>0.12585312394636758</v>
      </c>
      <c r="R45">
        <v>0.23806465411345087</v>
      </c>
      <c r="S45">
        <v>0.40211876503598187</v>
      </c>
      <c r="T45">
        <v>0.26196801724185692</v>
      </c>
      <c r="U45">
        <v>0.41458490277603133</v>
      </c>
      <c r="V45">
        <v>0.31627741025665912</v>
      </c>
      <c r="W45">
        <v>0.36547774591779708</v>
      </c>
      <c r="X45">
        <v>0.45025802636555101</v>
      </c>
      <c r="Y45">
        <v>0.49305448706050903</v>
      </c>
      <c r="Z45">
        <v>0.44634980087965348</v>
      </c>
      <c r="AA45">
        <v>0.17614420173467424</v>
      </c>
      <c r="AB45">
        <v>0.41175170772545749</v>
      </c>
      <c r="AC45">
        <v>0.99999999999999978</v>
      </c>
      <c r="AD45">
        <v>0.58526087089490331</v>
      </c>
      <c r="AE45">
        <v>0.5174983000521467</v>
      </c>
      <c r="AF45">
        <v>0.25945672350717303</v>
      </c>
      <c r="AG45">
        <v>0.22805262539317173</v>
      </c>
      <c r="AH45">
        <v>0.52038566331571667</v>
      </c>
      <c r="AI45">
        <v>0.3146083985223046</v>
      </c>
      <c r="AJ45">
        <v>8.6302413880750842E-2</v>
      </c>
      <c r="AK45">
        <v>0.45835209692773399</v>
      </c>
      <c r="AL45">
        <v>0.51094539598878641</v>
      </c>
      <c r="AM45">
        <v>0.22221948147456189</v>
      </c>
      <c r="AN45">
        <v>0.20809187665714238</v>
      </c>
      <c r="AO45">
        <v>0.33897267355602867</v>
      </c>
      <c r="AP45">
        <v>0.24069094727054766</v>
      </c>
      <c r="AQ45">
        <v>0.21823298657601445</v>
      </c>
      <c r="AR45">
        <v>0.30768435482892759</v>
      </c>
      <c r="AS45">
        <v>0.29348657821550544</v>
      </c>
      <c r="AT45">
        <v>0.10311173605900058</v>
      </c>
      <c r="AU45">
        <v>0.14300157514790166</v>
      </c>
    </row>
    <row r="46" spans="3:47" x14ac:dyDescent="0.2">
      <c r="C46" t="s">
        <v>27</v>
      </c>
      <c r="D46">
        <v>0.27381285808775174</v>
      </c>
      <c r="E46">
        <v>0.20981695696626154</v>
      </c>
      <c r="F46">
        <v>0.18404975989037972</v>
      </c>
      <c r="G46">
        <v>0.39021812643648474</v>
      </c>
      <c r="H46">
        <v>0.45199030219817299</v>
      </c>
      <c r="I46">
        <v>0.44413440129082021</v>
      </c>
      <c r="J46">
        <v>0.53602867372501573</v>
      </c>
      <c r="K46">
        <v>0.31824577796933634</v>
      </c>
      <c r="L46">
        <v>0.4759147815892783</v>
      </c>
      <c r="M46">
        <v>0.5263969598901761</v>
      </c>
      <c r="N46">
        <v>0.4571207024907063</v>
      </c>
      <c r="O46">
        <v>0.43936654026390509</v>
      </c>
      <c r="P46">
        <v>0.49096133995368352</v>
      </c>
      <c r="Q46">
        <v>0.20035754327830235</v>
      </c>
      <c r="R46">
        <v>0.4343010109036875</v>
      </c>
      <c r="S46">
        <v>0.35390979925503285</v>
      </c>
      <c r="T46">
        <v>0.37721106066244436</v>
      </c>
      <c r="U46">
        <v>8.9300772925166208E-2</v>
      </c>
      <c r="V46">
        <v>0.37732482017324764</v>
      </c>
      <c r="W46">
        <v>0.44249101130582869</v>
      </c>
      <c r="X46">
        <v>0.5008311668984966</v>
      </c>
      <c r="Y46">
        <v>0.39060539822311063</v>
      </c>
      <c r="Z46">
        <v>0.41873051617104351</v>
      </c>
      <c r="AA46">
        <v>0.21569255526679429</v>
      </c>
      <c r="AB46">
        <v>0.60817367967177749</v>
      </c>
      <c r="AC46">
        <v>0.58526087089490331</v>
      </c>
      <c r="AD46">
        <v>0.99999999999999978</v>
      </c>
      <c r="AE46">
        <v>0.60245179922494818</v>
      </c>
      <c r="AF46">
        <v>0.48852300149238803</v>
      </c>
      <c r="AG46">
        <v>0.34325480241742895</v>
      </c>
      <c r="AH46">
        <v>0.35096410353972535</v>
      </c>
      <c r="AI46">
        <v>0.41539859674460095</v>
      </c>
      <c r="AJ46">
        <v>0.21031317641837149</v>
      </c>
      <c r="AK46">
        <v>0.4724053922788527</v>
      </c>
      <c r="AL46">
        <v>0.54921141501388238</v>
      </c>
      <c r="AM46">
        <v>0.37200248974533467</v>
      </c>
      <c r="AN46">
        <v>0.23131652035367181</v>
      </c>
      <c r="AO46">
        <v>0.29860536590597897</v>
      </c>
      <c r="AP46">
        <v>0.31079484647282807</v>
      </c>
      <c r="AQ46">
        <v>0.17948115073639587</v>
      </c>
      <c r="AR46">
        <v>0.38928036943242866</v>
      </c>
      <c r="AS46">
        <v>0.43987961547561527</v>
      </c>
      <c r="AT46">
        <v>0.23076009255130595</v>
      </c>
      <c r="AU46">
        <v>0.33599617324607589</v>
      </c>
    </row>
    <row r="47" spans="3:47" x14ac:dyDescent="0.2">
      <c r="C47" t="s">
        <v>28</v>
      </c>
      <c r="D47">
        <v>0.32438764574011802</v>
      </c>
      <c r="E47">
        <v>0.18084664151909347</v>
      </c>
      <c r="F47">
        <v>0.18038655243624852</v>
      </c>
      <c r="G47">
        <v>0.37499582814317839</v>
      </c>
      <c r="H47">
        <v>0.43422218644574057</v>
      </c>
      <c r="I47">
        <v>0.37004299707887278</v>
      </c>
      <c r="J47">
        <v>0.45846849873026146</v>
      </c>
      <c r="K47">
        <v>0.43595144041178552</v>
      </c>
      <c r="L47">
        <v>0.48693074737543895</v>
      </c>
      <c r="M47">
        <v>0.64127562156620388</v>
      </c>
      <c r="N47">
        <v>0.50896047001390599</v>
      </c>
      <c r="O47">
        <v>0.44651135019829308</v>
      </c>
      <c r="P47">
        <v>0.3927626430326982</v>
      </c>
      <c r="Q47">
        <v>0.3187013942823323</v>
      </c>
      <c r="R47">
        <v>0.37290675895404479</v>
      </c>
      <c r="S47">
        <v>0.35358755529264296</v>
      </c>
      <c r="T47">
        <v>0.33693738334468026</v>
      </c>
      <c r="U47">
        <v>0.38728767042979184</v>
      </c>
      <c r="V47">
        <v>0.18677285550929792</v>
      </c>
      <c r="W47">
        <v>0.30512113120589429</v>
      </c>
      <c r="X47">
        <v>0.3685722388346378</v>
      </c>
      <c r="Y47">
        <v>0.3220639664614921</v>
      </c>
      <c r="Z47">
        <v>0.2302404390028667</v>
      </c>
      <c r="AA47">
        <v>2.7554522238842988E-2</v>
      </c>
      <c r="AB47">
        <v>0.36971905558258195</v>
      </c>
      <c r="AC47">
        <v>0.5174983000521467</v>
      </c>
      <c r="AD47">
        <v>0.60245179922494818</v>
      </c>
      <c r="AE47">
        <v>0.99999999999999978</v>
      </c>
      <c r="AF47">
        <v>0.6500509164686693</v>
      </c>
      <c r="AG47">
        <v>0.33977502577454921</v>
      </c>
      <c r="AH47">
        <v>0.38277087342025878</v>
      </c>
      <c r="AI47">
        <v>0.3190338988044481</v>
      </c>
      <c r="AJ47">
        <v>0.18109724056346449</v>
      </c>
      <c r="AK47">
        <v>0.38713210661547265</v>
      </c>
      <c r="AL47">
        <v>0.43897725874559684</v>
      </c>
      <c r="AM47">
        <v>0.26315230716440652</v>
      </c>
      <c r="AN47">
        <v>0.22396223287853786</v>
      </c>
      <c r="AO47">
        <v>0.19689191078151791</v>
      </c>
      <c r="AP47">
        <v>0.31504461911480885</v>
      </c>
      <c r="AQ47">
        <v>0.30861113708423216</v>
      </c>
      <c r="AR47">
        <v>0.22734953947581313</v>
      </c>
      <c r="AS47">
        <v>0.38282234945926857</v>
      </c>
      <c r="AT47">
        <v>0.23661086161371758</v>
      </c>
      <c r="AU47">
        <v>0.40341858307360162</v>
      </c>
    </row>
    <row r="48" spans="3:47" x14ac:dyDescent="0.2">
      <c r="C48" t="s">
        <v>29</v>
      </c>
      <c r="D48">
        <v>0.18623612070034279</v>
      </c>
      <c r="E48">
        <v>7.3655321297763046E-2</v>
      </c>
      <c r="F48">
        <v>7.6736549610638721E-2</v>
      </c>
      <c r="G48">
        <v>0.14698902600968736</v>
      </c>
      <c r="H48">
        <v>0.2286678845654484</v>
      </c>
      <c r="I48">
        <v>0.38294085371572051</v>
      </c>
      <c r="J48">
        <v>0.36675002950038998</v>
      </c>
      <c r="K48">
        <v>0.3091414383232326</v>
      </c>
      <c r="L48">
        <v>0.3621060978858584</v>
      </c>
      <c r="M48">
        <v>0.41826187082394839</v>
      </c>
      <c r="N48">
        <v>0.33460728691005032</v>
      </c>
      <c r="O48">
        <v>0.33124112087542273</v>
      </c>
      <c r="P48">
        <v>0.31377669363089378</v>
      </c>
      <c r="Q48">
        <v>0.21055811729921986</v>
      </c>
      <c r="R48">
        <v>0.28851464313396374</v>
      </c>
      <c r="S48">
        <v>0.13623794581129528</v>
      </c>
      <c r="T48">
        <v>0.19905262106849628</v>
      </c>
      <c r="U48">
        <v>0.25345979298529731</v>
      </c>
      <c r="V48">
        <v>0.10641208023243272</v>
      </c>
      <c r="W48">
        <v>0.13949400557628014</v>
      </c>
      <c r="X48">
        <v>0.18145129683751757</v>
      </c>
      <c r="Y48">
        <v>0.26439969003808628</v>
      </c>
      <c r="Z48">
        <v>0.14157421202497855</v>
      </c>
      <c r="AA48">
        <v>0.14941093350239409</v>
      </c>
      <c r="AB48">
        <v>0.42300332795184803</v>
      </c>
      <c r="AC48">
        <v>0.25945672350717303</v>
      </c>
      <c r="AD48">
        <v>0.48852300149238803</v>
      </c>
      <c r="AE48">
        <v>0.6500509164686693</v>
      </c>
      <c r="AF48">
        <v>1.0000000000000011</v>
      </c>
      <c r="AG48">
        <v>0.45995697164164745</v>
      </c>
      <c r="AH48">
        <v>0.12886315153624128</v>
      </c>
      <c r="AI48">
        <v>9.1347361642712885E-2</v>
      </c>
      <c r="AJ48">
        <v>0.10026324035756674</v>
      </c>
      <c r="AK48">
        <v>0.20351827122118962</v>
      </c>
      <c r="AL48">
        <v>0.33014847707969169</v>
      </c>
      <c r="AM48">
        <v>0.17147920687631724</v>
      </c>
      <c r="AN48">
        <v>0.16822733559836139</v>
      </c>
      <c r="AO48">
        <v>0.19286068313775076</v>
      </c>
      <c r="AP48">
        <v>0.28637946239183348</v>
      </c>
      <c r="AQ48">
        <v>0.18839752433208851</v>
      </c>
      <c r="AR48">
        <v>-2.962767572864726E-2</v>
      </c>
      <c r="AS48">
        <v>0.21697211825695659</v>
      </c>
      <c r="AT48">
        <v>4.4134947414448754E-2</v>
      </c>
      <c r="AU48">
        <v>0.43534754090283068</v>
      </c>
    </row>
    <row r="49" spans="3:48" x14ac:dyDescent="0.2">
      <c r="C49" t="s">
        <v>30</v>
      </c>
      <c r="D49">
        <v>0.10601261696129205</v>
      </c>
      <c r="E49">
        <v>-0.10769881332446098</v>
      </c>
      <c r="F49">
        <v>-0.11428826491280195</v>
      </c>
      <c r="G49">
        <v>0.16005560996049517</v>
      </c>
      <c r="H49">
        <v>8.8695214471223402E-2</v>
      </c>
      <c r="I49">
        <v>0.11180520525669739</v>
      </c>
      <c r="J49">
        <v>0.26559912910445843</v>
      </c>
      <c r="K49">
        <v>0.15158031798269614</v>
      </c>
      <c r="L49">
        <v>4.1628671730125869E-2</v>
      </c>
      <c r="M49">
        <v>6.6972908590744284E-2</v>
      </c>
      <c r="N49">
        <v>0.15970182507424061</v>
      </c>
      <c r="O49">
        <v>8.670674822078174E-2</v>
      </c>
      <c r="P49">
        <v>0.27180819526941963</v>
      </c>
      <c r="Q49">
        <v>0.42647320228134056</v>
      </c>
      <c r="R49">
        <v>0.32808854807101001</v>
      </c>
      <c r="S49">
        <v>0.17755688264726141</v>
      </c>
      <c r="T49">
        <v>0.23066059800781771</v>
      </c>
      <c r="U49">
        <v>0.14825439737851265</v>
      </c>
      <c r="V49">
        <v>0.13606750167391551</v>
      </c>
      <c r="W49">
        <v>0.13506069368415888</v>
      </c>
      <c r="X49">
        <v>0.19377540366042689</v>
      </c>
      <c r="Y49">
        <v>0.30948956187941679</v>
      </c>
      <c r="Z49">
        <v>7.9100643731110976E-2</v>
      </c>
      <c r="AA49">
        <v>0.21773609054538828</v>
      </c>
      <c r="AB49">
        <v>0.36660042785266755</v>
      </c>
      <c r="AC49">
        <v>0.22805262539317173</v>
      </c>
      <c r="AD49">
        <v>0.34325480241742895</v>
      </c>
      <c r="AE49">
        <v>0.33977502577454921</v>
      </c>
      <c r="AF49">
        <v>0.45995697164164745</v>
      </c>
      <c r="AG49">
        <v>1.0000000000000009</v>
      </c>
      <c r="AH49">
        <v>0.26315052725799526</v>
      </c>
      <c r="AI49">
        <v>3.1603761379710729E-2</v>
      </c>
      <c r="AJ49">
        <v>0.1662475790037295</v>
      </c>
      <c r="AK49">
        <v>0.19072755561740976</v>
      </c>
      <c r="AL49">
        <v>0.21406725353615777</v>
      </c>
      <c r="AM49">
        <v>7.1347643957836049E-2</v>
      </c>
      <c r="AN49">
        <v>0.22264711150689367</v>
      </c>
      <c r="AO49">
        <v>0.16178207810253661</v>
      </c>
      <c r="AP49">
        <v>0.26301237195001237</v>
      </c>
      <c r="AQ49">
        <v>0.14047998672820483</v>
      </c>
      <c r="AR49">
        <v>3.4314991064203326E-2</v>
      </c>
      <c r="AS49">
        <v>0.2062281170453828</v>
      </c>
      <c r="AT49">
        <v>0.12137509512528537</v>
      </c>
      <c r="AU49">
        <v>0.40993242820835624</v>
      </c>
    </row>
    <row r="50" spans="3:48" x14ac:dyDescent="0.2">
      <c r="C50" t="s">
        <v>31</v>
      </c>
      <c r="D50">
        <v>2.2707660471473882E-2</v>
      </c>
      <c r="E50">
        <v>-7.3243014210621821E-2</v>
      </c>
      <c r="F50">
        <v>5.1891139994401592E-2</v>
      </c>
      <c r="G50">
        <v>0.15389917734592434</v>
      </c>
      <c r="H50">
        <v>0.23576306540561073</v>
      </c>
      <c r="I50">
        <v>9.3861126435334744E-2</v>
      </c>
      <c r="J50">
        <v>0.11232258758475705</v>
      </c>
      <c r="K50">
        <v>0.26440541129009365</v>
      </c>
      <c r="L50">
        <v>0.16673892909333599</v>
      </c>
      <c r="M50">
        <v>0.26313664739918591</v>
      </c>
      <c r="N50">
        <v>7.3712612066669472E-2</v>
      </c>
      <c r="O50">
        <v>0.20826091568808269</v>
      </c>
      <c r="P50">
        <v>0.1985309934400061</v>
      </c>
      <c r="Q50">
        <v>0.33506321440194903</v>
      </c>
      <c r="R50">
        <v>0.23491682653948628</v>
      </c>
      <c r="S50">
        <v>0.38483166151553055</v>
      </c>
      <c r="T50">
        <v>0.2110312041860212</v>
      </c>
      <c r="U50">
        <v>0.32534786658693349</v>
      </c>
      <c r="V50">
        <v>0.18685640386794083</v>
      </c>
      <c r="W50">
        <v>0.2902180322192362</v>
      </c>
      <c r="X50">
        <v>0.29763818588114133</v>
      </c>
      <c r="Y50">
        <v>0.34164842476022933</v>
      </c>
      <c r="Z50">
        <v>0.32907356311866615</v>
      </c>
      <c r="AA50">
        <v>0.10907609481981997</v>
      </c>
      <c r="AB50">
        <v>0.37483405800139286</v>
      </c>
      <c r="AC50">
        <v>0.52038566331571667</v>
      </c>
      <c r="AD50">
        <v>0.35096410353972535</v>
      </c>
      <c r="AE50">
        <v>0.38277087342025878</v>
      </c>
      <c r="AF50">
        <v>0.12886315153624128</v>
      </c>
      <c r="AG50">
        <v>0.26315052725799526</v>
      </c>
      <c r="AH50">
        <v>1.0000000000000031</v>
      </c>
      <c r="AI50">
        <v>0.45041913240613052</v>
      </c>
      <c r="AJ50">
        <v>0.22346007192653283</v>
      </c>
      <c r="AK50">
        <v>0.42484698823625822</v>
      </c>
      <c r="AL50">
        <v>0.31070823710006762</v>
      </c>
      <c r="AM50">
        <v>6.4292425048934218E-2</v>
      </c>
      <c r="AN50">
        <v>0.2214492127904274</v>
      </c>
      <c r="AO50">
        <v>0.36294350215637139</v>
      </c>
      <c r="AP50">
        <v>0.19883023452965445</v>
      </c>
      <c r="AQ50">
        <v>0.24795951458180049</v>
      </c>
      <c r="AR50">
        <v>0.10425460862713413</v>
      </c>
      <c r="AS50">
        <v>0.35660447989293931</v>
      </c>
      <c r="AT50">
        <v>0.120292294049842</v>
      </c>
      <c r="AU50">
        <v>0.19968748942761852</v>
      </c>
    </row>
    <row r="51" spans="3:48" x14ac:dyDescent="0.2">
      <c r="C51" t="s">
        <v>32</v>
      </c>
      <c r="D51">
        <v>0.36721848519846134</v>
      </c>
      <c r="E51">
        <v>0.30720413808727204</v>
      </c>
      <c r="F51">
        <v>0.14818022497014588</v>
      </c>
      <c r="G51">
        <v>0.40425336709765319</v>
      </c>
      <c r="H51">
        <v>0.50068614045054949</v>
      </c>
      <c r="I51">
        <v>0.32758169949253968</v>
      </c>
      <c r="J51">
        <v>0.42829185635104466</v>
      </c>
      <c r="K51">
        <v>0.29027237367614556</v>
      </c>
      <c r="L51">
        <v>0.38953135316064513</v>
      </c>
      <c r="M51">
        <v>0.3269767685636934</v>
      </c>
      <c r="N51">
        <v>0.26055889887115702</v>
      </c>
      <c r="O51">
        <v>0.30428830921621536</v>
      </c>
      <c r="P51">
        <v>0.27585566279578932</v>
      </c>
      <c r="Q51">
        <v>0.14225368610346067</v>
      </c>
      <c r="R51">
        <v>0.22152624933349493</v>
      </c>
      <c r="S51">
        <v>0.40473833308402346</v>
      </c>
      <c r="T51">
        <v>0.18324746123665328</v>
      </c>
      <c r="U51">
        <v>0.20901208070720939</v>
      </c>
      <c r="V51">
        <v>0.43514685784520685</v>
      </c>
      <c r="W51">
        <v>0.51235096127155488</v>
      </c>
      <c r="X51">
        <v>0.35897262409549979</v>
      </c>
      <c r="Y51">
        <v>0.31345533546152038</v>
      </c>
      <c r="Z51">
        <v>0.37540858299505592</v>
      </c>
      <c r="AA51">
        <v>3.722688375779093E-2</v>
      </c>
      <c r="AB51">
        <v>0.41104315649204615</v>
      </c>
      <c r="AC51">
        <v>0.3146083985223046</v>
      </c>
      <c r="AD51">
        <v>0.41539859674460095</v>
      </c>
      <c r="AE51">
        <v>0.3190338988044481</v>
      </c>
      <c r="AF51">
        <v>9.1347361642712885E-2</v>
      </c>
      <c r="AG51">
        <v>3.1603761379710729E-2</v>
      </c>
      <c r="AH51">
        <v>0.45041913240613052</v>
      </c>
      <c r="AI51">
        <v>1.0000000000000009</v>
      </c>
      <c r="AJ51">
        <v>0.31640176875287734</v>
      </c>
      <c r="AK51">
        <v>0.35265521742147216</v>
      </c>
      <c r="AL51">
        <v>0.34416486625203352</v>
      </c>
      <c r="AM51">
        <v>0.33620378153027491</v>
      </c>
      <c r="AN51">
        <v>8.9527697396703215E-2</v>
      </c>
      <c r="AO51">
        <v>0.19980471698755076</v>
      </c>
      <c r="AP51">
        <v>9.4999917895612837E-3</v>
      </c>
      <c r="AQ51">
        <v>0.12192305923984799</v>
      </c>
      <c r="AR51">
        <v>0.38099977023657866</v>
      </c>
      <c r="AS51">
        <v>0.533438012635989</v>
      </c>
      <c r="AT51">
        <v>0.41059881596217851</v>
      </c>
      <c r="AU51">
        <v>0.21148239537671487</v>
      </c>
    </row>
    <row r="52" spans="3:48" x14ac:dyDescent="0.2">
      <c r="C52" t="s">
        <v>33</v>
      </c>
      <c r="D52">
        <v>0.40007340471544212</v>
      </c>
      <c r="E52">
        <v>0.30092321915389159</v>
      </c>
      <c r="F52">
        <v>0.17471654809198464</v>
      </c>
      <c r="G52">
        <v>0.4158512817527153</v>
      </c>
      <c r="H52">
        <v>0.35703644533147066</v>
      </c>
      <c r="I52">
        <v>0.16180120271473281</v>
      </c>
      <c r="J52">
        <v>0.32712501286939338</v>
      </c>
      <c r="K52">
        <v>0.31476445648806106</v>
      </c>
      <c r="L52">
        <v>0.21702651479007823</v>
      </c>
      <c r="M52">
        <v>0.32963175231351999</v>
      </c>
      <c r="N52">
        <v>0.18755718737707261</v>
      </c>
      <c r="O52">
        <v>0.22995316482058412</v>
      </c>
      <c r="P52">
        <v>0.16874991228827943</v>
      </c>
      <c r="Q52">
        <v>0.21475333866205201</v>
      </c>
      <c r="R52">
        <v>0.13297462395799714</v>
      </c>
      <c r="S52">
        <v>7.550604060912823E-2</v>
      </c>
      <c r="T52">
        <v>2.8186163551357241E-2</v>
      </c>
      <c r="U52">
        <v>0.19006677445315637</v>
      </c>
      <c r="V52">
        <v>0.17067162573423808</v>
      </c>
      <c r="W52">
        <v>7.6335167230509163E-2</v>
      </c>
      <c r="X52">
        <v>-7.3257485508186624E-3</v>
      </c>
      <c r="Y52">
        <v>0.10857146670642225</v>
      </c>
      <c r="Z52">
        <v>-0.12901039053206581</v>
      </c>
      <c r="AA52">
        <v>3.4995262865111294E-2</v>
      </c>
      <c r="AB52">
        <v>0.14273131016271454</v>
      </c>
      <c r="AC52">
        <v>8.6302413880750842E-2</v>
      </c>
      <c r="AD52">
        <v>0.21031317641837149</v>
      </c>
      <c r="AE52">
        <v>0.18109724056346449</v>
      </c>
      <c r="AF52">
        <v>0.10026324035756674</v>
      </c>
      <c r="AG52">
        <v>0.1662475790037295</v>
      </c>
      <c r="AH52">
        <v>0.22346007192653283</v>
      </c>
      <c r="AI52">
        <v>0.31640176875287734</v>
      </c>
      <c r="AJ52">
        <v>0.99999999999999878</v>
      </c>
      <c r="AK52">
        <v>0.39397833073430871</v>
      </c>
      <c r="AL52">
        <v>0.27801443747629084</v>
      </c>
      <c r="AM52">
        <v>0.13229056832170819</v>
      </c>
      <c r="AN52">
        <v>0.17734335940865509</v>
      </c>
      <c r="AO52">
        <v>0.22305841500258458</v>
      </c>
      <c r="AP52">
        <v>0.35204149933878598</v>
      </c>
      <c r="AQ52">
        <v>0.18410026702876206</v>
      </c>
      <c r="AR52">
        <v>1.5296895040413308E-2</v>
      </c>
      <c r="AS52">
        <v>5.4934380448889528E-2</v>
      </c>
      <c r="AT52">
        <v>0.20587917167617947</v>
      </c>
      <c r="AU52">
        <v>0.24458261937325582</v>
      </c>
    </row>
    <row r="53" spans="3:48" x14ac:dyDescent="0.2">
      <c r="C53" t="s">
        <v>34</v>
      </c>
      <c r="D53">
        <v>0.2406981176359386</v>
      </c>
      <c r="E53">
        <v>0.17473990823034133</v>
      </c>
      <c r="F53">
        <v>0.11039825460120047</v>
      </c>
      <c r="G53">
        <v>0.30360215935300983</v>
      </c>
      <c r="H53">
        <v>0.41439202860490876</v>
      </c>
      <c r="I53">
        <v>0.35997925147323212</v>
      </c>
      <c r="J53">
        <v>0.38895027766444373</v>
      </c>
      <c r="K53">
        <v>0.42888170881371873</v>
      </c>
      <c r="L53">
        <v>0.38808008337732419</v>
      </c>
      <c r="M53">
        <v>0.39840686735030995</v>
      </c>
      <c r="N53">
        <v>0.44271355795722678</v>
      </c>
      <c r="O53">
        <v>0.46119627246907213</v>
      </c>
      <c r="P53">
        <v>0.39752854841420032</v>
      </c>
      <c r="Q53">
        <v>0.19633397219395313</v>
      </c>
      <c r="R53">
        <v>0.3904805731889584</v>
      </c>
      <c r="S53">
        <v>0.57669499195468488</v>
      </c>
      <c r="T53">
        <v>0.28836866062588234</v>
      </c>
      <c r="U53">
        <v>0.23473202558984813</v>
      </c>
      <c r="V53">
        <v>0.37575836318036315</v>
      </c>
      <c r="W53">
        <v>0.38999347491980585</v>
      </c>
      <c r="X53">
        <v>0.34208947049993926</v>
      </c>
      <c r="Y53">
        <v>0.29594947879499378</v>
      </c>
      <c r="Z53">
        <v>0.22165995815070891</v>
      </c>
      <c r="AA53">
        <v>7.3232018400786525E-2</v>
      </c>
      <c r="AB53">
        <v>0.43220898926461587</v>
      </c>
      <c r="AC53">
        <v>0.45835209692773399</v>
      </c>
      <c r="AD53">
        <v>0.4724053922788527</v>
      </c>
      <c r="AE53">
        <v>0.38713210661547265</v>
      </c>
      <c r="AF53">
        <v>0.20351827122118962</v>
      </c>
      <c r="AG53">
        <v>0.19072755561740976</v>
      </c>
      <c r="AH53">
        <v>0.42484698823625822</v>
      </c>
      <c r="AI53">
        <v>0.35265521742147216</v>
      </c>
      <c r="AJ53">
        <v>0.39397833073430871</v>
      </c>
      <c r="AK53">
        <v>1.0000000000000007</v>
      </c>
      <c r="AL53">
        <v>0.75711106546743367</v>
      </c>
      <c r="AM53">
        <v>0.34836914883052078</v>
      </c>
      <c r="AN53">
        <v>0.22185084142261263</v>
      </c>
      <c r="AO53">
        <v>0.23111705013488235</v>
      </c>
      <c r="AP53">
        <v>0.27389898026500276</v>
      </c>
      <c r="AQ53">
        <v>0.27548056977817298</v>
      </c>
      <c r="AR53">
        <v>0.37776107700789729</v>
      </c>
      <c r="AS53">
        <v>0.49933704849276384</v>
      </c>
      <c r="AT53">
        <v>0.29063662475398261</v>
      </c>
      <c r="AU53">
        <v>0.24832384291419191</v>
      </c>
    </row>
    <row r="54" spans="3:48" x14ac:dyDescent="0.2">
      <c r="C54" t="s">
        <v>35</v>
      </c>
      <c r="D54">
        <v>0.28787408814297522</v>
      </c>
      <c r="E54">
        <v>0.14853396313703196</v>
      </c>
      <c r="F54">
        <v>6.1732053585115569E-2</v>
      </c>
      <c r="G54">
        <v>0.27886870712220813</v>
      </c>
      <c r="H54">
        <v>0.4026948520803304</v>
      </c>
      <c r="I54">
        <v>0.36620413047914296</v>
      </c>
      <c r="J54">
        <v>0.4632017610721289</v>
      </c>
      <c r="K54">
        <v>0.33102551095967703</v>
      </c>
      <c r="L54">
        <v>0.44043336655383247</v>
      </c>
      <c r="M54">
        <v>0.35683000045089691</v>
      </c>
      <c r="N54">
        <v>0.48640279675475645</v>
      </c>
      <c r="O54">
        <v>0.43418606702514911</v>
      </c>
      <c r="P54">
        <v>0.4344386365083836</v>
      </c>
      <c r="Q54">
        <v>1.6682577852375216E-2</v>
      </c>
      <c r="R54">
        <v>0.22595049684796634</v>
      </c>
      <c r="S54">
        <v>0.40916589873078257</v>
      </c>
      <c r="T54">
        <v>0.26455724213322868</v>
      </c>
      <c r="U54">
        <v>0.11802633945632569</v>
      </c>
      <c r="V54">
        <v>0.33442412760555135</v>
      </c>
      <c r="W54">
        <v>0.35574981856890464</v>
      </c>
      <c r="X54">
        <v>0.23896690201459406</v>
      </c>
      <c r="Y54">
        <v>0.29860909589651941</v>
      </c>
      <c r="Z54">
        <v>0.25942030259591886</v>
      </c>
      <c r="AA54">
        <v>0.17153718713426816</v>
      </c>
      <c r="AB54">
        <v>0.42507749853159066</v>
      </c>
      <c r="AC54">
        <v>0.51094539598878641</v>
      </c>
      <c r="AD54">
        <v>0.54921141501388238</v>
      </c>
      <c r="AE54">
        <v>0.43897725874559684</v>
      </c>
      <c r="AF54">
        <v>0.33014847707969169</v>
      </c>
      <c r="AG54">
        <v>0.21406725353615777</v>
      </c>
      <c r="AH54">
        <v>0.31070823710006762</v>
      </c>
      <c r="AI54">
        <v>0.34416486625203352</v>
      </c>
      <c r="AJ54">
        <v>0.27801443747629084</v>
      </c>
      <c r="AK54">
        <v>0.75711106546743367</v>
      </c>
      <c r="AL54">
        <v>0.99999999999999956</v>
      </c>
      <c r="AM54">
        <v>0.41083191502599059</v>
      </c>
      <c r="AN54">
        <v>0.18973414940214978</v>
      </c>
      <c r="AO54">
        <v>0.16789461029598354</v>
      </c>
      <c r="AP54">
        <v>0.18013423322310429</v>
      </c>
      <c r="AQ54">
        <v>0.20832443044484056</v>
      </c>
      <c r="AR54">
        <v>0.46353308494721801</v>
      </c>
      <c r="AS54">
        <v>0.44153937995332593</v>
      </c>
      <c r="AT54">
        <v>0.26407675432144079</v>
      </c>
      <c r="AU54">
        <v>0.27415872966695654</v>
      </c>
    </row>
    <row r="55" spans="3:48" x14ac:dyDescent="0.2">
      <c r="C55" t="s">
        <v>36</v>
      </c>
      <c r="D55">
        <v>0.31311385082861104</v>
      </c>
      <c r="E55">
        <v>0.32244451807723767</v>
      </c>
      <c r="F55">
        <v>0.25113067613000306</v>
      </c>
      <c r="G55">
        <v>0.34150607947175482</v>
      </c>
      <c r="H55">
        <v>0.28710048558901879</v>
      </c>
      <c r="I55">
        <v>0.45632571459413601</v>
      </c>
      <c r="J55">
        <v>0.48356720547553161</v>
      </c>
      <c r="K55">
        <v>0.24597891444311332</v>
      </c>
      <c r="L55">
        <v>0.51013114482391875</v>
      </c>
      <c r="M55">
        <v>0.25584330520638526</v>
      </c>
      <c r="N55">
        <v>0.42679344353557552</v>
      </c>
      <c r="O55">
        <v>0.411535908165717</v>
      </c>
      <c r="P55">
        <v>0.35471114962626199</v>
      </c>
      <c r="Q55">
        <v>-8.2570082247054047E-2</v>
      </c>
      <c r="R55">
        <v>-3.4385173145564746E-2</v>
      </c>
      <c r="S55">
        <v>0.13026436471205619</v>
      </c>
      <c r="T55">
        <v>5.1249118055166805E-2</v>
      </c>
      <c r="U55">
        <v>2.4623459027365954E-2</v>
      </c>
      <c r="V55">
        <v>0.22692063139041907</v>
      </c>
      <c r="W55">
        <v>0.22883134153056006</v>
      </c>
      <c r="X55">
        <v>-4.630469222794948E-2</v>
      </c>
      <c r="Y55">
        <v>-3.6326811169536039E-2</v>
      </c>
      <c r="Z55">
        <v>0.24184366154812909</v>
      </c>
      <c r="AA55">
        <v>0.17591331799620299</v>
      </c>
      <c r="AB55">
        <v>0.22552973842412757</v>
      </c>
      <c r="AC55">
        <v>0.22221948147456189</v>
      </c>
      <c r="AD55">
        <v>0.37200248974533467</v>
      </c>
      <c r="AE55">
        <v>0.26315230716440652</v>
      </c>
      <c r="AF55">
        <v>0.17147920687631724</v>
      </c>
      <c r="AG55">
        <v>7.1347643957836049E-2</v>
      </c>
      <c r="AH55">
        <v>6.4292425048934218E-2</v>
      </c>
      <c r="AI55">
        <v>0.33620378153027491</v>
      </c>
      <c r="AJ55">
        <v>0.13229056832170819</v>
      </c>
      <c r="AK55">
        <v>0.34836914883052078</v>
      </c>
      <c r="AL55">
        <v>0.41083191502599059</v>
      </c>
      <c r="AM55">
        <v>0.99999999999999944</v>
      </c>
      <c r="AN55">
        <v>0.38712275328381879</v>
      </c>
      <c r="AO55">
        <v>7.4127059936294733E-3</v>
      </c>
      <c r="AP55">
        <v>6.8407574670727653E-2</v>
      </c>
      <c r="AQ55">
        <v>-2.5128987439491681E-2</v>
      </c>
      <c r="AR55">
        <v>0.41590689013100868</v>
      </c>
      <c r="AS55">
        <v>0.34692402404128941</v>
      </c>
      <c r="AT55">
        <v>0.29156317421273753</v>
      </c>
      <c r="AU55">
        <v>0.28209365016140747</v>
      </c>
    </row>
    <row r="56" spans="3:48" x14ac:dyDescent="0.2">
      <c r="C56" t="s">
        <v>37</v>
      </c>
      <c r="D56">
        <v>0.32317929349626673</v>
      </c>
      <c r="E56">
        <v>0.31795690178841013</v>
      </c>
      <c r="F56">
        <v>8.8152654563341509E-2</v>
      </c>
      <c r="G56">
        <v>0.24803893689443043</v>
      </c>
      <c r="H56">
        <v>0.27463286951264471</v>
      </c>
      <c r="I56">
        <v>0.16746171130368345</v>
      </c>
      <c r="J56">
        <v>0.19214059105636244</v>
      </c>
      <c r="K56">
        <v>0.19847573884561412</v>
      </c>
      <c r="L56">
        <v>0.10164717282485246</v>
      </c>
      <c r="M56">
        <v>0.24250761621400535</v>
      </c>
      <c r="N56">
        <v>0.19296092281136212</v>
      </c>
      <c r="O56">
        <v>6.590255358643092E-2</v>
      </c>
      <c r="P56">
        <v>8.4110721047816722E-2</v>
      </c>
      <c r="Q56">
        <v>0.40472252237114997</v>
      </c>
      <c r="R56">
        <v>0.312262744110474</v>
      </c>
      <c r="S56">
        <v>0.21699298621711846</v>
      </c>
      <c r="T56">
        <v>0.24254302276339029</v>
      </c>
      <c r="U56">
        <v>7.9529826165219517E-2</v>
      </c>
      <c r="V56">
        <v>0.12572012498399729</v>
      </c>
      <c r="W56">
        <v>0.11356799508621057</v>
      </c>
      <c r="X56">
        <v>0.18265116052714045</v>
      </c>
      <c r="Y56">
        <v>9.9256934542721359E-2</v>
      </c>
      <c r="Z56">
        <v>0.11920264802849138</v>
      </c>
      <c r="AA56">
        <v>0.10228128046884251</v>
      </c>
      <c r="AB56">
        <v>0.22181820032352015</v>
      </c>
      <c r="AC56">
        <v>0.20809187665714238</v>
      </c>
      <c r="AD56">
        <v>0.23131652035367181</v>
      </c>
      <c r="AE56">
        <v>0.22396223287853786</v>
      </c>
      <c r="AF56">
        <v>0.16822733559836139</v>
      </c>
      <c r="AG56">
        <v>0.22264711150689367</v>
      </c>
      <c r="AH56">
        <v>0.2214492127904274</v>
      </c>
      <c r="AI56">
        <v>8.9527697396703215E-2</v>
      </c>
      <c r="AJ56">
        <v>0.17734335940865509</v>
      </c>
      <c r="AK56">
        <v>0.22185084142261263</v>
      </c>
      <c r="AL56">
        <v>0.18973414940214978</v>
      </c>
      <c r="AM56">
        <v>0.38712275328381879</v>
      </c>
      <c r="AN56">
        <v>0.999999999999999</v>
      </c>
      <c r="AO56">
        <v>0.19042124385469264</v>
      </c>
      <c r="AP56">
        <v>0.22705337070219173</v>
      </c>
      <c r="AQ56">
        <v>0.19668779616484425</v>
      </c>
      <c r="AR56">
        <v>0.13695543605487417</v>
      </c>
      <c r="AS56">
        <v>0.25907901345067275</v>
      </c>
      <c r="AT56">
        <v>0.1950817256803366</v>
      </c>
      <c r="AU56">
        <v>0.46514694019662178</v>
      </c>
    </row>
    <row r="57" spans="3:48" x14ac:dyDescent="0.2">
      <c r="C57" t="s">
        <v>38</v>
      </c>
      <c r="D57">
        <v>0.10372329875304917</v>
      </c>
      <c r="E57">
        <v>-0.13151865224983628</v>
      </c>
      <c r="F57">
        <v>0.14463386003234241</v>
      </c>
      <c r="G57">
        <v>0.12021914081716475</v>
      </c>
      <c r="H57">
        <v>0.22796261095298442</v>
      </c>
      <c r="I57">
        <v>0.20302196888720775</v>
      </c>
      <c r="J57">
        <v>0.23124537778204998</v>
      </c>
      <c r="K57">
        <v>0.25914885295673329</v>
      </c>
      <c r="L57">
        <v>0.17365298562697651</v>
      </c>
      <c r="M57">
        <v>0.24841666485040884</v>
      </c>
      <c r="N57">
        <v>1.7981126195898992E-2</v>
      </c>
      <c r="O57">
        <v>0.36935812084475861</v>
      </c>
      <c r="P57">
        <v>0.2177910107830609</v>
      </c>
      <c r="Q57">
        <v>0.20957912602051518</v>
      </c>
      <c r="R57">
        <v>0.17910407072264184</v>
      </c>
      <c r="S57">
        <v>0.14385876573370432</v>
      </c>
      <c r="T57">
        <v>0.10209486726781808</v>
      </c>
      <c r="U57">
        <v>0.22965705547036247</v>
      </c>
      <c r="V57">
        <v>0.23190827474327175</v>
      </c>
      <c r="W57">
        <v>7.4349359051442646E-2</v>
      </c>
      <c r="X57">
        <v>0.37679885529686485</v>
      </c>
      <c r="Y57">
        <v>0.38008410397927517</v>
      </c>
      <c r="Z57">
        <v>8.6097802663021819E-2</v>
      </c>
      <c r="AA57">
        <v>0.10368708274662564</v>
      </c>
      <c r="AB57">
        <v>0.11901255900718971</v>
      </c>
      <c r="AC57">
        <v>0.33897267355602867</v>
      </c>
      <c r="AD57">
        <v>0.29860536590597897</v>
      </c>
      <c r="AE57">
        <v>0.19689191078151791</v>
      </c>
      <c r="AF57">
        <v>0.19286068313775076</v>
      </c>
      <c r="AG57">
        <v>0.16178207810253661</v>
      </c>
      <c r="AH57">
        <v>0.36294350215637139</v>
      </c>
      <c r="AI57">
        <v>0.19980471698755076</v>
      </c>
      <c r="AJ57">
        <v>0.22305841500258458</v>
      </c>
      <c r="AK57">
        <v>0.23111705013488235</v>
      </c>
      <c r="AL57">
        <v>0.16789461029598354</v>
      </c>
      <c r="AM57">
        <v>7.4127059936294733E-3</v>
      </c>
      <c r="AN57">
        <v>0.19042124385469264</v>
      </c>
      <c r="AO57">
        <v>0.99999999999999956</v>
      </c>
      <c r="AP57">
        <v>0.67858618359581291</v>
      </c>
      <c r="AQ57">
        <v>0.54701646610829147</v>
      </c>
      <c r="AR57">
        <v>0.23056544888328631</v>
      </c>
      <c r="AS57">
        <v>0.11174460674002044</v>
      </c>
      <c r="AT57">
        <v>0.10132224610853623</v>
      </c>
      <c r="AU57">
        <v>0.11345510197028014</v>
      </c>
    </row>
    <row r="58" spans="3:48" x14ac:dyDescent="0.2">
      <c r="C58" t="s">
        <v>39</v>
      </c>
      <c r="D58">
        <v>0.18160818340575055</v>
      </c>
      <c r="E58">
        <v>0.1081301542876683</v>
      </c>
      <c r="F58">
        <v>0.20512811805178841</v>
      </c>
      <c r="G58">
        <v>0.23120603304611814</v>
      </c>
      <c r="H58">
        <v>0.33534352901451314</v>
      </c>
      <c r="I58">
        <v>0.24207814962920607</v>
      </c>
      <c r="J58">
        <v>0.34691463179400411</v>
      </c>
      <c r="K58">
        <v>0.27281490392856278</v>
      </c>
      <c r="L58">
        <v>0.27644477820530888</v>
      </c>
      <c r="M58">
        <v>0.36384973060832687</v>
      </c>
      <c r="N58">
        <v>0.20914598793916356</v>
      </c>
      <c r="O58">
        <v>0.42007585738753633</v>
      </c>
      <c r="P58">
        <v>0.35252238044039413</v>
      </c>
      <c r="Q58">
        <v>0.24704431505816155</v>
      </c>
      <c r="R58">
        <v>0.23702869702683213</v>
      </c>
      <c r="S58">
        <v>0.1931937804272735</v>
      </c>
      <c r="T58">
        <v>0.1036713365941012</v>
      </c>
      <c r="U58">
        <v>0.29734133531686507</v>
      </c>
      <c r="V58">
        <v>0.30495657435311291</v>
      </c>
      <c r="W58">
        <v>0.10039959033955644</v>
      </c>
      <c r="X58">
        <v>0.32803092883649421</v>
      </c>
      <c r="Y58">
        <v>0.25953889755450993</v>
      </c>
      <c r="Z58">
        <v>4.5992036220415887E-2</v>
      </c>
      <c r="AA58">
        <v>8.3910911760212717E-2</v>
      </c>
      <c r="AB58">
        <v>9.2694059799409145E-2</v>
      </c>
      <c r="AC58">
        <v>0.24069094727054766</v>
      </c>
      <c r="AD58">
        <v>0.31079484647282807</v>
      </c>
      <c r="AE58">
        <v>0.31504461911480885</v>
      </c>
      <c r="AF58">
        <v>0.28637946239183348</v>
      </c>
      <c r="AG58">
        <v>0.26301237195001237</v>
      </c>
      <c r="AH58">
        <v>0.19883023452965445</v>
      </c>
      <c r="AI58">
        <v>9.4999917895612837E-3</v>
      </c>
      <c r="AJ58">
        <v>0.35204149933878598</v>
      </c>
      <c r="AK58">
        <v>0.27389898026500276</v>
      </c>
      <c r="AL58">
        <v>0.18013423322310429</v>
      </c>
      <c r="AM58">
        <v>6.8407574670727653E-2</v>
      </c>
      <c r="AN58">
        <v>0.22705337070219173</v>
      </c>
      <c r="AO58">
        <v>0.67858618359581291</v>
      </c>
      <c r="AP58">
        <v>1.0000000000000011</v>
      </c>
      <c r="AQ58">
        <v>0.61426928442717144</v>
      </c>
      <c r="AR58">
        <v>0.18911920383994263</v>
      </c>
      <c r="AS58">
        <v>7.0001442275976775E-3</v>
      </c>
      <c r="AT58">
        <v>8.4208101023588722E-2</v>
      </c>
      <c r="AU58">
        <v>0.15154441671843027</v>
      </c>
    </row>
    <row r="59" spans="3:48" x14ac:dyDescent="0.2">
      <c r="C59" t="s">
        <v>40</v>
      </c>
      <c r="D59">
        <v>0.15955290230309158</v>
      </c>
      <c r="E59">
        <v>3.3642285424736074E-2</v>
      </c>
      <c r="F59">
        <v>-2.0098679632996885E-2</v>
      </c>
      <c r="G59">
        <v>2.4896171756986898E-2</v>
      </c>
      <c r="H59">
        <v>0.18869394155767369</v>
      </c>
      <c r="I59">
        <v>0.17031248766879142</v>
      </c>
      <c r="J59">
        <v>0.1660106565060108</v>
      </c>
      <c r="K59">
        <v>0.19601223186077965</v>
      </c>
      <c r="L59">
        <v>0.24447180524566761</v>
      </c>
      <c r="M59">
        <v>0.26365630481629793</v>
      </c>
      <c r="N59">
        <v>0.1241851723503509</v>
      </c>
      <c r="O59">
        <v>0.27630834327236936</v>
      </c>
      <c r="P59">
        <v>0.25855699317728315</v>
      </c>
      <c r="Q59">
        <v>0.25479594844586057</v>
      </c>
      <c r="R59">
        <v>0.19182433781518021</v>
      </c>
      <c r="S59">
        <v>0.179606056191357</v>
      </c>
      <c r="T59">
        <v>5.3341641365428474E-2</v>
      </c>
      <c r="U59">
        <v>0.26541501106452797</v>
      </c>
      <c r="V59">
        <v>0.2844385446820738</v>
      </c>
      <c r="W59">
        <v>0.15764961523774443</v>
      </c>
      <c r="X59">
        <v>0.37396953890245416</v>
      </c>
      <c r="Y59">
        <v>0.42294979053941945</v>
      </c>
      <c r="Z59">
        <v>6.2054922691537361E-2</v>
      </c>
      <c r="AA59">
        <v>-5.3285248564207653E-2</v>
      </c>
      <c r="AB59">
        <v>6.7520844856706438E-2</v>
      </c>
      <c r="AC59">
        <v>0.21823298657601445</v>
      </c>
      <c r="AD59">
        <v>0.17948115073639587</v>
      </c>
      <c r="AE59">
        <v>0.30861113708423216</v>
      </c>
      <c r="AF59">
        <v>0.18839752433208851</v>
      </c>
      <c r="AG59">
        <v>0.14047998672820483</v>
      </c>
      <c r="AH59">
        <v>0.24795951458180049</v>
      </c>
      <c r="AI59">
        <v>0.12192305923984799</v>
      </c>
      <c r="AJ59">
        <v>0.18410026702876206</v>
      </c>
      <c r="AK59">
        <v>0.27548056977817298</v>
      </c>
      <c r="AL59">
        <v>0.20832443044484056</v>
      </c>
      <c r="AM59">
        <v>-2.5128987439491681E-2</v>
      </c>
      <c r="AN59">
        <v>0.19668779616484425</v>
      </c>
      <c r="AO59">
        <v>0.54701646610829147</v>
      </c>
      <c r="AP59">
        <v>0.61426928442717144</v>
      </c>
      <c r="AQ59">
        <v>0.99999999999999856</v>
      </c>
      <c r="AR59">
        <v>0.22135008020354727</v>
      </c>
      <c r="AS59">
        <v>7.0909632833456041E-2</v>
      </c>
      <c r="AT59">
        <v>4.9748218583521596E-2</v>
      </c>
      <c r="AU59">
        <v>0.13522829170708889</v>
      </c>
    </row>
    <row r="60" spans="3:48" x14ac:dyDescent="0.2">
      <c r="C60" t="s">
        <v>41</v>
      </c>
      <c r="D60">
        <v>0.26149711311924556</v>
      </c>
      <c r="E60">
        <v>0.17936558071383524</v>
      </c>
      <c r="F60">
        <v>0.22332634475318747</v>
      </c>
      <c r="G60">
        <v>0.31246699732189226</v>
      </c>
      <c r="H60">
        <v>0.31532914242928711</v>
      </c>
      <c r="I60">
        <v>0.37429773810278433</v>
      </c>
      <c r="J60">
        <v>0.48276815080149516</v>
      </c>
      <c r="K60">
        <v>0.19771974471846737</v>
      </c>
      <c r="L60">
        <v>0.35839697878849858</v>
      </c>
      <c r="M60">
        <v>0.25804161966055567</v>
      </c>
      <c r="N60">
        <v>0.46664089303583239</v>
      </c>
      <c r="O60">
        <v>0.39230122000602996</v>
      </c>
      <c r="P60">
        <v>0.46114644722178622</v>
      </c>
      <c r="Q60">
        <v>3.3507604667135961E-2</v>
      </c>
      <c r="R60">
        <v>0.24451936941119162</v>
      </c>
      <c r="S60">
        <v>0.36601767974976573</v>
      </c>
      <c r="T60">
        <v>0.27703712796284863</v>
      </c>
      <c r="U60">
        <v>0.10936286875917021</v>
      </c>
      <c r="V60">
        <v>0.3061941063294587</v>
      </c>
      <c r="W60">
        <v>0.24806589536209045</v>
      </c>
      <c r="X60">
        <v>0.27051575291184049</v>
      </c>
      <c r="Y60">
        <v>0.16696830540829719</v>
      </c>
      <c r="Z60">
        <v>0.33469543735585128</v>
      </c>
      <c r="AA60">
        <v>7.6822906005923328E-2</v>
      </c>
      <c r="AB60">
        <v>0.16513224073918814</v>
      </c>
      <c r="AC60">
        <v>0.30768435482892759</v>
      </c>
      <c r="AD60">
        <v>0.38928036943242866</v>
      </c>
      <c r="AE60">
        <v>0.22734953947581313</v>
      </c>
      <c r="AF60">
        <v>-2.962767572864726E-2</v>
      </c>
      <c r="AG60">
        <v>3.4314991064203326E-2</v>
      </c>
      <c r="AH60">
        <v>0.10425460862713413</v>
      </c>
      <c r="AI60">
        <v>0.38099977023657866</v>
      </c>
      <c r="AJ60">
        <v>1.5296895040413308E-2</v>
      </c>
      <c r="AK60">
        <v>0.37776107700789729</v>
      </c>
      <c r="AL60">
        <v>0.46353308494721801</v>
      </c>
      <c r="AM60">
        <v>0.41590689013100868</v>
      </c>
      <c r="AN60">
        <v>0.13695543605487417</v>
      </c>
      <c r="AO60">
        <v>0.23056544888328631</v>
      </c>
      <c r="AP60">
        <v>0.18911920383994263</v>
      </c>
      <c r="AQ60">
        <v>0.22135008020354727</v>
      </c>
      <c r="AR60">
        <v>1.0000000000000016</v>
      </c>
      <c r="AS60">
        <v>0.27730990754032742</v>
      </c>
      <c r="AT60">
        <v>0.30676421254337161</v>
      </c>
      <c r="AU60">
        <v>2.457933875210051E-2</v>
      </c>
    </row>
    <row r="61" spans="3:48" x14ac:dyDescent="0.2">
      <c r="C61" t="s">
        <v>42</v>
      </c>
      <c r="D61">
        <v>0.34405767446271618</v>
      </c>
      <c r="E61">
        <v>0.33559126101400338</v>
      </c>
      <c r="F61">
        <v>0.10957320069724646</v>
      </c>
      <c r="G61">
        <v>0.38934248078903716</v>
      </c>
      <c r="H61">
        <v>0.41088634038416572</v>
      </c>
      <c r="I61">
        <v>0.2817049469812844</v>
      </c>
      <c r="J61">
        <v>0.30628581327643228</v>
      </c>
      <c r="K61">
        <v>0.35986634577559395</v>
      </c>
      <c r="L61">
        <v>0.34616171954554403</v>
      </c>
      <c r="M61">
        <v>0.39469828438730659</v>
      </c>
      <c r="N61">
        <v>0.38338517049018223</v>
      </c>
      <c r="O61">
        <v>0.40416270606574517</v>
      </c>
      <c r="P61">
        <v>0.30916633841849445</v>
      </c>
      <c r="Q61">
        <v>6.2386514076913945E-2</v>
      </c>
      <c r="R61">
        <v>0.19987075464168971</v>
      </c>
      <c r="S61">
        <v>0.49470554289979252</v>
      </c>
      <c r="T61">
        <v>0.23853991229890623</v>
      </c>
      <c r="U61">
        <v>0.23572017703905426</v>
      </c>
      <c r="V61">
        <v>0.25958732167531989</v>
      </c>
      <c r="W61">
        <v>0.42926299453349503</v>
      </c>
      <c r="X61">
        <v>0.29715880419871549</v>
      </c>
      <c r="Y61">
        <v>0.27508760124305243</v>
      </c>
      <c r="Z61">
        <v>0.3848270588322496</v>
      </c>
      <c r="AA61">
        <v>0.13530694256688708</v>
      </c>
      <c r="AB61">
        <v>0.46650901283770607</v>
      </c>
      <c r="AC61">
        <v>0.29348657821550544</v>
      </c>
      <c r="AD61">
        <v>0.43987961547561527</v>
      </c>
      <c r="AE61">
        <v>0.38282234945926857</v>
      </c>
      <c r="AF61">
        <v>0.21697211825695659</v>
      </c>
      <c r="AG61">
        <v>0.2062281170453828</v>
      </c>
      <c r="AH61">
        <v>0.35660447989293931</v>
      </c>
      <c r="AI61">
        <v>0.533438012635989</v>
      </c>
      <c r="AJ61">
        <v>5.4934380448889528E-2</v>
      </c>
      <c r="AK61">
        <v>0.49933704849276384</v>
      </c>
      <c r="AL61">
        <v>0.44153937995332593</v>
      </c>
      <c r="AM61">
        <v>0.34692402404128941</v>
      </c>
      <c r="AN61">
        <v>0.25907901345067275</v>
      </c>
      <c r="AO61">
        <v>0.11174460674002044</v>
      </c>
      <c r="AP61">
        <v>7.0001442275976775E-3</v>
      </c>
      <c r="AQ61">
        <v>7.0909632833456041E-2</v>
      </c>
      <c r="AR61">
        <v>0.27730990754032742</v>
      </c>
      <c r="AS61">
        <v>0.99999999999999978</v>
      </c>
      <c r="AT61">
        <v>0.70600505812716841</v>
      </c>
      <c r="AU61">
        <v>0.40237222277257734</v>
      </c>
    </row>
    <row r="62" spans="3:48" x14ac:dyDescent="0.2">
      <c r="C62" t="s">
        <v>43</v>
      </c>
      <c r="D62">
        <v>0.42142992592662581</v>
      </c>
      <c r="E62">
        <v>0.42181204777999759</v>
      </c>
      <c r="F62">
        <v>0.17841237710750937</v>
      </c>
      <c r="G62">
        <v>0.43029332854671809</v>
      </c>
      <c r="H62">
        <v>0.38085780146923276</v>
      </c>
      <c r="I62">
        <v>0.23368540474320915</v>
      </c>
      <c r="J62">
        <v>0.300448049239187</v>
      </c>
      <c r="K62">
        <v>0.31943974065285896</v>
      </c>
      <c r="L62">
        <v>0.3207824793969159</v>
      </c>
      <c r="M62">
        <v>0.26402133154875829</v>
      </c>
      <c r="N62">
        <v>0.43571903670551632</v>
      </c>
      <c r="O62">
        <v>0.43382099409733432</v>
      </c>
      <c r="P62">
        <v>0.34370169160466518</v>
      </c>
      <c r="Q62">
        <v>5.9228019308075933E-2</v>
      </c>
      <c r="R62">
        <v>9.6131513233233074E-2</v>
      </c>
      <c r="S62">
        <v>0.33123829665878018</v>
      </c>
      <c r="T62">
        <v>5.1545917224347024E-2</v>
      </c>
      <c r="U62">
        <v>0.17053677161517922</v>
      </c>
      <c r="V62">
        <v>0.21124925280976067</v>
      </c>
      <c r="W62">
        <v>0.23187365177171701</v>
      </c>
      <c r="X62">
        <v>0.19965882107591346</v>
      </c>
      <c r="Y62">
        <v>3.3252555732136042E-2</v>
      </c>
      <c r="Z62">
        <v>0.1946466945426478</v>
      </c>
      <c r="AA62">
        <v>0.14335962466425192</v>
      </c>
      <c r="AB62">
        <v>0.227763954854627</v>
      </c>
      <c r="AC62">
        <v>0.10311173605900058</v>
      </c>
      <c r="AD62">
        <v>0.23076009255130595</v>
      </c>
      <c r="AE62">
        <v>0.23661086161371758</v>
      </c>
      <c r="AF62">
        <v>4.4134947414448754E-2</v>
      </c>
      <c r="AG62">
        <v>0.12137509512528537</v>
      </c>
      <c r="AH62">
        <v>0.120292294049842</v>
      </c>
      <c r="AI62">
        <v>0.41059881596217851</v>
      </c>
      <c r="AJ62">
        <v>0.20587917167617947</v>
      </c>
      <c r="AK62">
        <v>0.29063662475398261</v>
      </c>
      <c r="AL62">
        <v>0.26407675432144079</v>
      </c>
      <c r="AM62">
        <v>0.29156317421273753</v>
      </c>
      <c r="AN62">
        <v>0.1950817256803366</v>
      </c>
      <c r="AO62">
        <v>0.10132224610853623</v>
      </c>
      <c r="AP62">
        <v>8.4208101023588722E-2</v>
      </c>
      <c r="AQ62">
        <v>4.9748218583521596E-2</v>
      </c>
      <c r="AR62">
        <v>0.30676421254337161</v>
      </c>
      <c r="AS62">
        <v>0.70600505812716841</v>
      </c>
      <c r="AT62">
        <v>1.0000000000000007</v>
      </c>
      <c r="AU62">
        <v>0.3295579102026826</v>
      </c>
    </row>
    <row r="63" spans="3:48" x14ac:dyDescent="0.2">
      <c r="C63" t="s">
        <v>44</v>
      </c>
      <c r="D63">
        <v>0.34047181092546652</v>
      </c>
      <c r="E63">
        <v>0.35009133712894897</v>
      </c>
      <c r="F63">
        <v>-7.9446603283741645E-4</v>
      </c>
      <c r="G63">
        <v>0.22242149850039003</v>
      </c>
      <c r="H63">
        <v>0.23229950381790346</v>
      </c>
      <c r="I63">
        <v>0.21735837310822531</v>
      </c>
      <c r="J63">
        <v>0.33262165862796317</v>
      </c>
      <c r="K63">
        <v>0.33181307102967583</v>
      </c>
      <c r="L63">
        <v>0.10728596371788732</v>
      </c>
      <c r="M63">
        <v>0.36940061522620621</v>
      </c>
      <c r="N63">
        <v>0.23867993488954478</v>
      </c>
      <c r="O63">
        <v>0.18733109275462273</v>
      </c>
      <c r="P63">
        <v>0.24988120343730783</v>
      </c>
      <c r="Q63">
        <v>0.50273883137968223</v>
      </c>
      <c r="R63">
        <v>0.28768382735938586</v>
      </c>
      <c r="S63">
        <v>0.13530130657734846</v>
      </c>
      <c r="T63">
        <v>0.24476035147222083</v>
      </c>
      <c r="U63">
        <v>0.19879437629420033</v>
      </c>
      <c r="V63">
        <v>0.15054475852982718</v>
      </c>
      <c r="W63">
        <v>0.1321004763198424</v>
      </c>
      <c r="X63">
        <v>8.872387171339674E-2</v>
      </c>
      <c r="Y63">
        <v>0.24356351046722105</v>
      </c>
      <c r="Z63">
        <v>-3.2812025317775724E-2</v>
      </c>
      <c r="AA63">
        <v>3.9510301694907851E-2</v>
      </c>
      <c r="AB63">
        <v>0.32254182570281331</v>
      </c>
      <c r="AC63">
        <v>0.14300157514790166</v>
      </c>
      <c r="AD63">
        <v>0.33599617324607589</v>
      </c>
      <c r="AE63">
        <v>0.40341858307360162</v>
      </c>
      <c r="AF63">
        <v>0.43534754090283068</v>
      </c>
      <c r="AG63">
        <v>0.40993242820835624</v>
      </c>
      <c r="AH63">
        <v>0.19968748942761852</v>
      </c>
      <c r="AI63">
        <v>0.21148239537671487</v>
      </c>
      <c r="AJ63">
        <v>0.24458261937325582</v>
      </c>
      <c r="AK63">
        <v>0.24832384291419191</v>
      </c>
      <c r="AL63">
        <v>0.27415872966695654</v>
      </c>
      <c r="AM63">
        <v>0.28209365016140747</v>
      </c>
      <c r="AN63">
        <v>0.46514694019662178</v>
      </c>
      <c r="AO63">
        <v>0.11345510197028014</v>
      </c>
      <c r="AP63">
        <v>0.15154441671843027</v>
      </c>
      <c r="AQ63">
        <v>0.13522829170708889</v>
      </c>
      <c r="AR63">
        <v>2.457933875210051E-2</v>
      </c>
      <c r="AS63">
        <v>0.40237222277257734</v>
      </c>
      <c r="AT63">
        <v>0.3295579102026826</v>
      </c>
      <c r="AU63">
        <v>1.0000000000000016</v>
      </c>
    </row>
    <row r="64" spans="3:48" x14ac:dyDescent="0.2">
      <c r="D64">
        <v>4.2788195435739871</v>
      </c>
      <c r="E64">
        <v>3.2709698627787818</v>
      </c>
      <c r="F64">
        <v>2.207040015216128</v>
      </c>
      <c r="G64">
        <v>5.260662870404226</v>
      </c>
      <c r="H64">
        <v>6.262324645464294</v>
      </c>
      <c r="I64">
        <v>6.3772305005180057</v>
      </c>
      <c r="J64">
        <v>7.5321837002054384</v>
      </c>
      <c r="K64">
        <v>6.2136617606190505</v>
      </c>
      <c r="L64">
        <v>6.7348432026323737</v>
      </c>
      <c r="M64">
        <v>6.1895925548143245</v>
      </c>
      <c r="N64">
        <v>6.8930014103088588</v>
      </c>
      <c r="O64">
        <v>6.8016056786931509</v>
      </c>
      <c r="P64">
        <v>6.3957255914808018</v>
      </c>
      <c r="Q64">
        <v>2.5708997347364906</v>
      </c>
      <c r="R64">
        <v>3.510908224335191</v>
      </c>
      <c r="S64">
        <v>4.6260315487148569</v>
      </c>
      <c r="T64">
        <v>2.3433815337437589</v>
      </c>
      <c r="U64">
        <v>2.2891450948737204</v>
      </c>
      <c r="V64">
        <v>4.5233680817834987</v>
      </c>
      <c r="W64">
        <v>4.2936666018706342</v>
      </c>
      <c r="X64">
        <v>4.1656576290290808</v>
      </c>
      <c r="Y64">
        <v>3.1676053831319857</v>
      </c>
      <c r="Z64">
        <v>2.9362515075190414</v>
      </c>
      <c r="AA64">
        <v>0.8926493051907638</v>
      </c>
      <c r="AB64">
        <v>5.1954719910158849</v>
      </c>
      <c r="AC64">
        <v>4.9177918381120893</v>
      </c>
      <c r="AD64">
        <v>6.9272814915613621</v>
      </c>
      <c r="AE64">
        <v>6.04709312680962</v>
      </c>
      <c r="AF64">
        <v>3.3050822129619002</v>
      </c>
      <c r="AG64">
        <v>2.1160628999959372</v>
      </c>
      <c r="AH64">
        <v>3.0500082510129936</v>
      </c>
      <c r="AI64">
        <v>4.5835736169836672</v>
      </c>
      <c r="AJ64">
        <v>2.1442778442294328</v>
      </c>
      <c r="AK64">
        <v>5.7137734622193781</v>
      </c>
      <c r="AL64">
        <v>5.3460782312657393</v>
      </c>
      <c r="AM64">
        <v>3.3750243755612459</v>
      </c>
      <c r="AN64">
        <v>2.1069679336892233</v>
      </c>
      <c r="AO64">
        <v>2.5852520889620001</v>
      </c>
      <c r="AP64">
        <v>3.2447210797913737</v>
      </c>
      <c r="AQ64">
        <v>2.3396156606043275</v>
      </c>
      <c r="AR64">
        <v>3.5392768548299633</v>
      </c>
      <c r="AS64">
        <v>5.0654329352447833</v>
      </c>
      <c r="AT64">
        <v>3.3974147165717179</v>
      </c>
      <c r="AU64">
        <v>3.1356811344252842</v>
      </c>
      <c r="AV64">
        <v>187.87310772748634</v>
      </c>
    </row>
    <row r="66" spans="3:49" x14ac:dyDescent="0.2">
      <c r="C66" t="s">
        <v>194</v>
      </c>
    </row>
    <row r="68" spans="3:49" x14ac:dyDescent="0.2">
      <c r="D68" t="s">
        <v>1</v>
      </c>
      <c r="E68" t="s">
        <v>2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t="s">
        <v>12</v>
      </c>
      <c r="P68" t="s">
        <v>13</v>
      </c>
      <c r="Q68" t="s">
        <v>14</v>
      </c>
      <c r="R68" t="s">
        <v>15</v>
      </c>
      <c r="S68" t="s">
        <v>16</v>
      </c>
      <c r="T68" t="s">
        <v>17</v>
      </c>
      <c r="U68" t="s">
        <v>18</v>
      </c>
      <c r="V68" t="s">
        <v>19</v>
      </c>
      <c r="W68" t="s">
        <v>20</v>
      </c>
      <c r="X68" t="s">
        <v>21</v>
      </c>
      <c r="Y68" t="s">
        <v>22</v>
      </c>
      <c r="Z68" t="s">
        <v>23</v>
      </c>
      <c r="AA68" t="s">
        <v>24</v>
      </c>
      <c r="AB68" t="s">
        <v>25</v>
      </c>
      <c r="AC68" t="s">
        <v>26</v>
      </c>
      <c r="AD68" t="s">
        <v>27</v>
      </c>
      <c r="AE68" t="s">
        <v>28</v>
      </c>
      <c r="AF68" t="s">
        <v>29</v>
      </c>
      <c r="AG68" t="s">
        <v>30</v>
      </c>
      <c r="AH68" t="s">
        <v>31</v>
      </c>
      <c r="AI68" t="s">
        <v>32</v>
      </c>
      <c r="AJ68" t="s">
        <v>33</v>
      </c>
      <c r="AK68" t="s">
        <v>34</v>
      </c>
      <c r="AL68" t="s">
        <v>35</v>
      </c>
      <c r="AM68" t="s">
        <v>36</v>
      </c>
      <c r="AN68" t="s">
        <v>37</v>
      </c>
      <c r="AO68" t="s">
        <v>38</v>
      </c>
      <c r="AP68" t="s">
        <v>39</v>
      </c>
      <c r="AQ68" t="s">
        <v>40</v>
      </c>
      <c r="AR68" t="s">
        <v>41</v>
      </c>
      <c r="AS68" t="s">
        <v>42</v>
      </c>
      <c r="AT68" t="s">
        <v>43</v>
      </c>
      <c r="AU68" t="s">
        <v>44</v>
      </c>
      <c r="AW68" t="s">
        <v>195</v>
      </c>
    </row>
    <row r="69" spans="3:49" x14ac:dyDescent="0.2">
      <c r="C69" t="s">
        <v>1</v>
      </c>
      <c r="D69">
        <v>4.9331569092411112</v>
      </c>
      <c r="E69">
        <v>-1.8343432491592278</v>
      </c>
      <c r="F69">
        <v>0.96535201000072624</v>
      </c>
      <c r="G69">
        <v>-1.4882809309325944</v>
      </c>
      <c r="H69">
        <v>0.35179073543732814</v>
      </c>
      <c r="I69">
        <v>-0.78259031617944586</v>
      </c>
      <c r="J69">
        <v>-0.37606847170382818</v>
      </c>
      <c r="K69">
        <v>-0.46934370192823477</v>
      </c>
      <c r="L69">
        <v>-0.94051665002192086</v>
      </c>
      <c r="M69">
        <v>1.4854942552100219E-2</v>
      </c>
      <c r="N69">
        <v>0.4136203427668308</v>
      </c>
      <c r="O69">
        <v>-0.37340327212484564</v>
      </c>
      <c r="P69">
        <v>1.3106361013923324</v>
      </c>
      <c r="Q69">
        <v>0.26580778348280726</v>
      </c>
      <c r="R69">
        <v>-1.1535339367744377</v>
      </c>
      <c r="S69">
        <v>0.88323217735874393</v>
      </c>
      <c r="T69">
        <v>0.58619530332297543</v>
      </c>
      <c r="U69">
        <v>-1.0616713739026176</v>
      </c>
      <c r="V69">
        <v>1.0715960319800504</v>
      </c>
      <c r="W69">
        <v>0.5678350332501122</v>
      </c>
      <c r="X69">
        <v>-1.4036578470490746</v>
      </c>
      <c r="Y69">
        <v>-0.1734588489526622</v>
      </c>
      <c r="Z69">
        <v>1.5139225978958715</v>
      </c>
      <c r="AA69">
        <v>-0.37904033432951428</v>
      </c>
      <c r="AB69">
        <v>-0.93235603422391833</v>
      </c>
      <c r="AC69">
        <v>-0.35732479934921746</v>
      </c>
      <c r="AD69">
        <v>0.6555190791805624</v>
      </c>
      <c r="AE69">
        <v>5.9520824593824295E-2</v>
      </c>
      <c r="AF69">
        <v>0.55378092457457684</v>
      </c>
      <c r="AG69">
        <v>-0.21222371908036419</v>
      </c>
      <c r="AH69">
        <v>0.44568136104878642</v>
      </c>
      <c r="AI69">
        <v>-0.48147077067352489</v>
      </c>
      <c r="AJ69">
        <v>-0.51352879892155689</v>
      </c>
      <c r="AK69">
        <v>1.2721946603970136</v>
      </c>
      <c r="AL69">
        <v>-1.2088457195979547</v>
      </c>
      <c r="AM69">
        <v>-0.24935130601914979</v>
      </c>
      <c r="AN69">
        <v>-0.34738567901047485</v>
      </c>
      <c r="AO69">
        <v>0.33276698650102665</v>
      </c>
      <c r="AP69">
        <v>-4.0724780732562617E-2</v>
      </c>
      <c r="AQ69">
        <v>-0.22671132352982412</v>
      </c>
      <c r="AR69">
        <v>-0.65435505358786838</v>
      </c>
      <c r="AS69">
        <v>-0.46947026997639557</v>
      </c>
      <c r="AT69">
        <v>-0.16361803041393128</v>
      </c>
      <c r="AU69">
        <v>0.14142458421603271</v>
      </c>
      <c r="AW69">
        <v>2.2210711175559217</v>
      </c>
    </row>
    <row r="70" spans="3:49" x14ac:dyDescent="0.2">
      <c r="C70" t="s">
        <v>2</v>
      </c>
      <c r="D70">
        <v>-1.8343432491592264</v>
      </c>
      <c r="E70">
        <v>4.6662669504496552</v>
      </c>
      <c r="F70">
        <v>-0.65890638316753092</v>
      </c>
      <c r="G70">
        <v>-0.22575724177274867</v>
      </c>
      <c r="H70">
        <v>-0.79702679504285945</v>
      </c>
      <c r="I70">
        <v>0.81776698509414492</v>
      </c>
      <c r="J70">
        <v>0.18391819133165757</v>
      </c>
      <c r="K70">
        <v>-1.4672018707682397</v>
      </c>
      <c r="L70">
        <v>0.80561682729249928</v>
      </c>
      <c r="M70">
        <v>0.35404374721432119</v>
      </c>
      <c r="N70">
        <v>-0.92697581011891317</v>
      </c>
      <c r="O70">
        <v>1.5487998300863437</v>
      </c>
      <c r="P70">
        <v>-0.73609608219293232</v>
      </c>
      <c r="Q70">
        <v>1.1046531794080114</v>
      </c>
      <c r="R70">
        <v>-0.48560066929429002</v>
      </c>
      <c r="S70">
        <v>-0.60491908781570525</v>
      </c>
      <c r="T70">
        <v>-0.79206748562516283</v>
      </c>
      <c r="U70">
        <v>0.6913261220498641</v>
      </c>
      <c r="V70">
        <v>-1.4743679408075208</v>
      </c>
      <c r="W70">
        <v>-0.15550457776079391</v>
      </c>
      <c r="X70">
        <v>1.1202129206349598</v>
      </c>
      <c r="Y70">
        <v>-0.52756919437663086</v>
      </c>
      <c r="Z70">
        <v>-0.35003382346139311</v>
      </c>
      <c r="AA70">
        <v>0.44505787942809433</v>
      </c>
      <c r="AB70">
        <v>0.21515054294089553</v>
      </c>
      <c r="AC70">
        <v>0.9087891817312449</v>
      </c>
      <c r="AD70">
        <v>-0.71254288518129738</v>
      </c>
      <c r="AE70">
        <v>0.27743135849798239</v>
      </c>
      <c r="AF70">
        <v>-0.55271471385097559</v>
      </c>
      <c r="AG70">
        <v>1.5153047917456053</v>
      </c>
      <c r="AH70">
        <v>-0.35237561150098401</v>
      </c>
      <c r="AI70">
        <v>0.27905258303636116</v>
      </c>
      <c r="AJ70">
        <v>-0.21687499543971084</v>
      </c>
      <c r="AK70">
        <v>0.35518808501325905</v>
      </c>
      <c r="AL70">
        <v>0.84997763188689346</v>
      </c>
      <c r="AM70">
        <v>-0.64126702802266711</v>
      </c>
      <c r="AN70">
        <v>-0.20662832441109075</v>
      </c>
      <c r="AO70">
        <v>1.1375251406662119</v>
      </c>
      <c r="AP70">
        <v>-0.81505481028001836</v>
      </c>
      <c r="AQ70">
        <v>-0.43830383935277667</v>
      </c>
      <c r="AR70">
        <v>0.36517210171476711</v>
      </c>
      <c r="AS70">
        <v>0.12528134095416132</v>
      </c>
      <c r="AT70">
        <v>-0.85827542494962572</v>
      </c>
      <c r="AU70">
        <v>-0.81836821307321272</v>
      </c>
      <c r="AW70">
        <v>2.1601543811611372</v>
      </c>
    </row>
    <row r="71" spans="3:49" x14ac:dyDescent="0.2">
      <c r="C71" t="s">
        <v>3</v>
      </c>
      <c r="D71">
        <v>0.96535201000072757</v>
      </c>
      <c r="E71">
        <v>-0.65890638316753136</v>
      </c>
      <c r="F71">
        <v>2.8593085170864416</v>
      </c>
      <c r="G71">
        <v>-1.6482268016732864</v>
      </c>
      <c r="H71">
        <v>0.19359694798778496</v>
      </c>
      <c r="I71">
        <v>7.6003344199249923E-2</v>
      </c>
      <c r="J71">
        <v>-0.41794299339072211</v>
      </c>
      <c r="K71">
        <v>0.93138040779830666</v>
      </c>
      <c r="L71">
        <v>-1.4167895544098452</v>
      </c>
      <c r="M71">
        <v>0.34414764522818708</v>
      </c>
      <c r="N71">
        <v>-5.5659711680943233E-2</v>
      </c>
      <c r="O71">
        <v>-0.11045324940802979</v>
      </c>
      <c r="P71">
        <v>-0.48983821208378842</v>
      </c>
      <c r="Q71">
        <v>0.2558062916713667</v>
      </c>
      <c r="R71">
        <v>-0.22148847945642661</v>
      </c>
      <c r="S71">
        <v>0.3771662951641796</v>
      </c>
      <c r="T71">
        <v>-0.23116129758623757</v>
      </c>
      <c r="U71">
        <v>-0.37170401694051963</v>
      </c>
      <c r="V71">
        <v>-0.28758926522980965</v>
      </c>
      <c r="W71">
        <v>-4.8958194586949846E-2</v>
      </c>
      <c r="X71">
        <v>-0.41173604095578409</v>
      </c>
      <c r="Y71">
        <v>-0.34675729469643585</v>
      </c>
      <c r="Z71">
        <v>0.89006604025408642</v>
      </c>
      <c r="AA71">
        <v>-0.40871582104160792</v>
      </c>
      <c r="AB71">
        <v>0.47165411403964413</v>
      </c>
      <c r="AC71">
        <v>-0.79731739321207018</v>
      </c>
      <c r="AD71">
        <v>0.63418435183436273</v>
      </c>
      <c r="AE71">
        <v>0.20248605386892829</v>
      </c>
      <c r="AF71">
        <v>-0.54409926783830243</v>
      </c>
      <c r="AG71">
        <v>0.7996214150158143</v>
      </c>
      <c r="AH71">
        <v>-0.38928795006818268</v>
      </c>
      <c r="AI71">
        <v>0.57936515451006299</v>
      </c>
      <c r="AJ71">
        <v>-0.32395276715852955</v>
      </c>
      <c r="AK71">
        <v>-0.10721887986856907</v>
      </c>
      <c r="AL71">
        <v>0.89617006901021312</v>
      </c>
      <c r="AM71">
        <v>0.11840049362456403</v>
      </c>
      <c r="AN71">
        <v>-0.2168327181931787</v>
      </c>
      <c r="AO71">
        <v>-0.31005086283997624</v>
      </c>
      <c r="AP71">
        <v>0.14523229509560087</v>
      </c>
      <c r="AQ71">
        <v>0.68332572030924743</v>
      </c>
      <c r="AR71">
        <v>-0.39916299767634622</v>
      </c>
      <c r="AS71">
        <v>-0.41314721447939268</v>
      </c>
      <c r="AT71">
        <v>0.22547461003231825</v>
      </c>
      <c r="AU71">
        <v>-6.7192710663757149E-2</v>
      </c>
      <c r="AW71">
        <v>1.6909489989607733</v>
      </c>
    </row>
    <row r="72" spans="3:49" x14ac:dyDescent="0.2">
      <c r="C72" t="s">
        <v>4</v>
      </c>
      <c r="D72">
        <v>-1.4882809309325933</v>
      </c>
      <c r="E72">
        <v>-0.22575724177274839</v>
      </c>
      <c r="F72">
        <v>-1.6482268016732839</v>
      </c>
      <c r="G72">
        <v>5.5415342323172672</v>
      </c>
      <c r="H72">
        <v>-1.5471913922534377</v>
      </c>
      <c r="I72">
        <v>-0.61961943809946585</v>
      </c>
      <c r="J72">
        <v>-1.5502478925908396</v>
      </c>
      <c r="K72">
        <v>-1.6392853196595081</v>
      </c>
      <c r="L72">
        <v>3.2568993331137945</v>
      </c>
      <c r="M72">
        <v>-0.83204043925916471</v>
      </c>
      <c r="N72">
        <v>-0.27517178785634711</v>
      </c>
      <c r="O72">
        <v>1.0825218748315386</v>
      </c>
      <c r="P72">
        <v>0.18577967534017759</v>
      </c>
      <c r="Q72">
        <v>0.76180505602376991</v>
      </c>
      <c r="R72">
        <v>-1.1194096006595893</v>
      </c>
      <c r="S72">
        <v>0.51543172445279994</v>
      </c>
      <c r="T72">
        <v>0.97392011526401179</v>
      </c>
      <c r="U72">
        <v>-8.4406545802976893E-2</v>
      </c>
      <c r="V72">
        <v>-0.21018045780486824</v>
      </c>
      <c r="W72">
        <v>0.85452965600052211</v>
      </c>
      <c r="X72">
        <v>-6.3685268774781423E-2</v>
      </c>
      <c r="Y72">
        <v>0.42453894140039838</v>
      </c>
      <c r="Z72">
        <v>-1.0439549595588831</v>
      </c>
      <c r="AA72">
        <v>5.6572590615627277E-2</v>
      </c>
      <c r="AB72">
        <v>0.1511362834142152</v>
      </c>
      <c r="AC72">
        <v>0.33250957896398164</v>
      </c>
      <c r="AD72">
        <v>-0.52334780322196606</v>
      </c>
      <c r="AE72">
        <v>-0.88680115488260736</v>
      </c>
      <c r="AF72">
        <v>0.94381500614538605</v>
      </c>
      <c r="AG72">
        <v>-0.92025469065647569</v>
      </c>
      <c r="AH72">
        <v>-0.27901039309940073</v>
      </c>
      <c r="AI72">
        <v>8.7988152084018043E-3</v>
      </c>
      <c r="AJ72">
        <v>-0.4668113243424335</v>
      </c>
      <c r="AK72">
        <v>0.38826400329297056</v>
      </c>
      <c r="AL72">
        <v>-0.29357223092486984</v>
      </c>
      <c r="AM72">
        <v>-0.90395271675127264</v>
      </c>
      <c r="AN72">
        <v>0.42400691279612318</v>
      </c>
      <c r="AO72">
        <v>0.24849317497775353</v>
      </c>
      <c r="AP72">
        <v>-5.49172763119362E-2</v>
      </c>
      <c r="AQ72">
        <v>-0.14340851752153685</v>
      </c>
      <c r="AR72">
        <v>0.41358581232295</v>
      </c>
      <c r="AS72">
        <v>-0.62696852367309908</v>
      </c>
      <c r="AT72">
        <v>-0.44896465751351894</v>
      </c>
      <c r="AU72">
        <v>1.1153062940918166</v>
      </c>
      <c r="AW72">
        <v>2.3540463530519671</v>
      </c>
    </row>
    <row r="73" spans="3:49" x14ac:dyDescent="0.2">
      <c r="C73" t="s">
        <v>5</v>
      </c>
      <c r="D73">
        <v>0.35179073543732825</v>
      </c>
      <c r="E73">
        <v>-0.79702679504285878</v>
      </c>
      <c r="F73">
        <v>0.19359694798778496</v>
      </c>
      <c r="G73">
        <v>-1.547191392253439</v>
      </c>
      <c r="H73">
        <v>4.8375601833664961</v>
      </c>
      <c r="I73">
        <v>5.2757519273915733E-2</v>
      </c>
      <c r="J73">
        <v>1.254637876444112</v>
      </c>
      <c r="K73">
        <v>1.1442297348249597</v>
      </c>
      <c r="L73">
        <v>-2.5875335166285014</v>
      </c>
      <c r="M73">
        <v>0.73299979178992991</v>
      </c>
      <c r="N73">
        <v>0.75553487393101171</v>
      </c>
      <c r="O73">
        <v>3.5435615189705369E-3</v>
      </c>
      <c r="P73">
        <v>-2.0982309779254864</v>
      </c>
      <c r="Q73">
        <v>-1.3172304556943228</v>
      </c>
      <c r="R73">
        <v>1.3561591715831309</v>
      </c>
      <c r="S73">
        <v>-0.34890958304465031</v>
      </c>
      <c r="T73">
        <v>9.5013817570714851E-2</v>
      </c>
      <c r="U73">
        <v>-0.50630920016738024</v>
      </c>
      <c r="V73">
        <v>0.59738837461734384</v>
      </c>
      <c r="W73">
        <v>-0.49148734208406641</v>
      </c>
      <c r="X73">
        <v>-0.84732793034449916</v>
      </c>
      <c r="Y73">
        <v>0.3177207617091255</v>
      </c>
      <c r="Z73">
        <v>-0.38479575285514195</v>
      </c>
      <c r="AA73">
        <v>0.54055907181326157</v>
      </c>
      <c r="AB73">
        <v>-0.49883590550090362</v>
      </c>
      <c r="AC73">
        <v>-1.1302753616508365</v>
      </c>
      <c r="AD73">
        <v>0.73970473052115293</v>
      </c>
      <c r="AE73">
        <v>-0.56418292044043616</v>
      </c>
      <c r="AF73">
        <v>0.11698058580932572</v>
      </c>
      <c r="AG73">
        <v>0.53884345444194814</v>
      </c>
      <c r="AH73">
        <v>1.6850300907226845</v>
      </c>
      <c r="AI73">
        <v>-1.1121809279285819</v>
      </c>
      <c r="AJ73">
        <v>-0.87239023953981043</v>
      </c>
      <c r="AK73">
        <v>-0.17176524772201041</v>
      </c>
      <c r="AL73">
        <v>-0.53543388701584416</v>
      </c>
      <c r="AM73">
        <v>1.2646247079883994</v>
      </c>
      <c r="AN73">
        <v>-0.99707430837849853</v>
      </c>
      <c r="AO73">
        <v>-0.39851507398701375</v>
      </c>
      <c r="AP73">
        <v>-0.94575183079497038</v>
      </c>
      <c r="AQ73">
        <v>1.3078889851809448</v>
      </c>
      <c r="AR73">
        <v>-7.8146536785720103E-2</v>
      </c>
      <c r="AS73">
        <v>-0.67555315780363989</v>
      </c>
      <c r="AT73">
        <v>0.75455759613429629</v>
      </c>
      <c r="AU73">
        <v>-0.26793733917443729</v>
      </c>
      <c r="AW73">
        <v>2.1994454263214842</v>
      </c>
    </row>
    <row r="74" spans="3:49" x14ac:dyDescent="0.2">
      <c r="C74" t="s">
        <v>6</v>
      </c>
      <c r="D74">
        <v>-0.78259031617943986</v>
      </c>
      <c r="E74">
        <v>0.8177669850941417</v>
      </c>
      <c r="F74">
        <v>7.6003344199251893E-2</v>
      </c>
      <c r="G74">
        <v>-0.61961943809946896</v>
      </c>
      <c r="H74">
        <v>5.2757519273920597E-2</v>
      </c>
      <c r="I74">
        <v>7.7868400184146465</v>
      </c>
      <c r="J74">
        <v>-4.2837303181442392</v>
      </c>
      <c r="K74">
        <v>-2.8846825482246476</v>
      </c>
      <c r="L74">
        <v>0.21770226263543657</v>
      </c>
      <c r="M74">
        <v>0.56931936670381988</v>
      </c>
      <c r="N74">
        <v>-8.7303948726064992E-2</v>
      </c>
      <c r="O74">
        <v>-0.82445321868330768</v>
      </c>
      <c r="P74">
        <v>-0.87377871638456261</v>
      </c>
      <c r="Q74">
        <v>0.69238678945797949</v>
      </c>
      <c r="R74">
        <v>0.3624986070364874</v>
      </c>
      <c r="S74">
        <v>-0.73263632687029268</v>
      </c>
      <c r="T74">
        <v>-0.4992074676800351</v>
      </c>
      <c r="U74">
        <v>-1.667376123137056E-2</v>
      </c>
      <c r="V74">
        <v>-0.28911210083328026</v>
      </c>
      <c r="W74">
        <v>-0.22110069399384283</v>
      </c>
      <c r="X74">
        <v>0.64400300389293541</v>
      </c>
      <c r="Y74">
        <v>1.7524576787499298E-2</v>
      </c>
      <c r="Z74">
        <v>-0.41503049814025011</v>
      </c>
      <c r="AA74">
        <v>0.63081736681109601</v>
      </c>
      <c r="AB74">
        <v>-6.3165998562321087E-3</v>
      </c>
      <c r="AC74">
        <v>1.0912418553667993</v>
      </c>
      <c r="AD74">
        <v>-1.40143909668237</v>
      </c>
      <c r="AE74">
        <v>1.2824898841526648</v>
      </c>
      <c r="AF74">
        <v>-1.7372081611191608</v>
      </c>
      <c r="AG74">
        <v>0.89394754717784564</v>
      </c>
      <c r="AH74">
        <v>-0.28458497320642412</v>
      </c>
      <c r="AI74">
        <v>5.2513470637621733E-2</v>
      </c>
      <c r="AJ74">
        <v>1.2270388809688328</v>
      </c>
      <c r="AK74">
        <v>-0.85066805949694613</v>
      </c>
      <c r="AL74">
        <v>1.0502921176759519</v>
      </c>
      <c r="AM74">
        <v>-0.58681785721181323</v>
      </c>
      <c r="AN74">
        <v>-0.69566645660102611</v>
      </c>
      <c r="AO74">
        <v>-0.14680366889866961</v>
      </c>
      <c r="AP74">
        <v>1.1551677315358042</v>
      </c>
      <c r="AQ74">
        <v>-0.94651984370484299</v>
      </c>
      <c r="AR74">
        <v>0.53248490026889228</v>
      </c>
      <c r="AS74">
        <v>1.2440991908080088</v>
      </c>
      <c r="AT74">
        <v>-8.7164983856784575E-2</v>
      </c>
      <c r="AU74">
        <v>0.53226314085028636</v>
      </c>
      <c r="AW74">
        <v>2.7904909995222429</v>
      </c>
    </row>
    <row r="75" spans="3:49" x14ac:dyDescent="0.2">
      <c r="C75" t="s">
        <v>7</v>
      </c>
      <c r="D75">
        <v>-0.37606847170383562</v>
      </c>
      <c r="E75">
        <v>0.18391819133166198</v>
      </c>
      <c r="F75">
        <v>-0.41794299339072438</v>
      </c>
      <c r="G75">
        <v>-1.5502478925908361</v>
      </c>
      <c r="H75">
        <v>1.2546378764441075</v>
      </c>
      <c r="I75">
        <v>-4.283730318144241</v>
      </c>
      <c r="J75">
        <v>9.1593471578002319</v>
      </c>
      <c r="K75">
        <v>2.8935379402748982</v>
      </c>
      <c r="L75">
        <v>-3.2849677375421233</v>
      </c>
      <c r="M75">
        <v>-0.6671809478216929</v>
      </c>
      <c r="N75">
        <v>-0.77631811855952126</v>
      </c>
      <c r="O75">
        <v>0.98355740420154436</v>
      </c>
      <c r="P75">
        <v>-1.3585219732936957</v>
      </c>
      <c r="Q75">
        <v>-2.1907791686931253</v>
      </c>
      <c r="R75">
        <v>2.2325285042286929</v>
      </c>
      <c r="S75">
        <v>0.25679323728506609</v>
      </c>
      <c r="T75">
        <v>-0.88386507392342295</v>
      </c>
      <c r="U75">
        <v>0.84219587617053826</v>
      </c>
      <c r="V75">
        <v>-0.51226619076603108</v>
      </c>
      <c r="W75">
        <v>-6.8116730665278111E-2</v>
      </c>
      <c r="X75">
        <v>0.93531588939483368</v>
      </c>
      <c r="Y75">
        <v>-0.37731798007075895</v>
      </c>
      <c r="Z75">
        <v>0.72323553530876805</v>
      </c>
      <c r="AA75">
        <v>0.31936075051197166</v>
      </c>
      <c r="AB75">
        <v>-0.83816272684567261</v>
      </c>
      <c r="AC75">
        <v>-1.1814920945923724</v>
      </c>
      <c r="AD75">
        <v>0.89227930268360844</v>
      </c>
      <c r="AE75">
        <v>-0.60516543103738585</v>
      </c>
      <c r="AF75">
        <v>0.52633305460007618</v>
      </c>
      <c r="AG75">
        <v>-0.812886917230219</v>
      </c>
      <c r="AH75">
        <v>1.7140640781191314</v>
      </c>
      <c r="AI75">
        <v>-1.7554354979591791</v>
      </c>
      <c r="AJ75">
        <v>-0.40061900422099173</v>
      </c>
      <c r="AK75">
        <v>-0.47164642814801966</v>
      </c>
      <c r="AL75">
        <v>-0.3257962083445558</v>
      </c>
      <c r="AM75">
        <v>1.1304671055999709</v>
      </c>
      <c r="AN75">
        <v>9.2709247970479164E-2</v>
      </c>
      <c r="AO75">
        <v>-0.4916159748833831</v>
      </c>
      <c r="AP75">
        <v>-1.9824164923343961</v>
      </c>
      <c r="AQ75">
        <v>1.7807308038013103</v>
      </c>
      <c r="AR75">
        <v>-1.1845388362389229</v>
      </c>
      <c r="AS75">
        <v>-0.30867939899931784</v>
      </c>
      <c r="AT75">
        <v>0.57813134766568297</v>
      </c>
      <c r="AU75">
        <v>-0.90281210395173783</v>
      </c>
      <c r="AW75">
        <v>3.026441335595361</v>
      </c>
    </row>
    <row r="76" spans="3:49" x14ac:dyDescent="0.2">
      <c r="C76" t="s">
        <v>8</v>
      </c>
      <c r="D76">
        <v>-0.46934370192824071</v>
      </c>
      <c r="E76">
        <v>-1.4672018707682357</v>
      </c>
      <c r="F76">
        <v>0.93138040779830489</v>
      </c>
      <c r="G76">
        <v>-1.6392853196595036</v>
      </c>
      <c r="H76">
        <v>1.1442297348249546</v>
      </c>
      <c r="I76">
        <v>-2.884682548224645</v>
      </c>
      <c r="J76">
        <v>2.893537940274896</v>
      </c>
      <c r="K76">
        <v>8.9273847194304548</v>
      </c>
      <c r="L76">
        <v>-3.5209381664392989</v>
      </c>
      <c r="M76">
        <v>-2.2027822753376363</v>
      </c>
      <c r="N76">
        <v>-0.77496217877852713</v>
      </c>
      <c r="O76">
        <v>-1.8220228953730406</v>
      </c>
      <c r="P76">
        <v>-0.69265304782774917</v>
      </c>
      <c r="Q76">
        <v>-2.2472315555876481</v>
      </c>
      <c r="R76">
        <v>2.1905224909708254</v>
      </c>
      <c r="S76">
        <v>1.3807303111932845</v>
      </c>
      <c r="T76">
        <v>-1.0086148717292649</v>
      </c>
      <c r="U76">
        <v>0.20601145616740868</v>
      </c>
      <c r="V76">
        <v>-0.69485752371065768</v>
      </c>
      <c r="W76">
        <v>-1.2558403967817722</v>
      </c>
      <c r="X76">
        <v>1.7499717079544805</v>
      </c>
      <c r="Y76">
        <v>0.38128263076825986</v>
      </c>
      <c r="Z76">
        <v>1.1991063625354672</v>
      </c>
      <c r="AA76">
        <v>0.25578576928741642</v>
      </c>
      <c r="AB76">
        <v>-0.82214108240930461</v>
      </c>
      <c r="AC76">
        <v>-2.1354785018918592</v>
      </c>
      <c r="AD76">
        <v>2.1952070826430354</v>
      </c>
      <c r="AE76">
        <v>-6.6805468484687311E-2</v>
      </c>
      <c r="AF76">
        <v>0.24203886569102659</v>
      </c>
      <c r="AG76">
        <v>-0.96202541685827292</v>
      </c>
      <c r="AH76">
        <v>0.43927500947523279</v>
      </c>
      <c r="AI76">
        <v>-0.41840455273468019</v>
      </c>
      <c r="AJ76">
        <v>0.48685112532520142</v>
      </c>
      <c r="AK76">
        <v>-2.5314790560225986</v>
      </c>
      <c r="AL76">
        <v>1.1653832591018998</v>
      </c>
      <c r="AM76">
        <v>2.6967626684241814</v>
      </c>
      <c r="AN76">
        <v>-0.54110053861801699</v>
      </c>
      <c r="AO76">
        <v>-1.9085418526287943</v>
      </c>
      <c r="AP76">
        <v>0.36334519250284197</v>
      </c>
      <c r="AQ76">
        <v>1.5002508215156345</v>
      </c>
      <c r="AR76">
        <v>-0.22913458871748288</v>
      </c>
      <c r="AS76">
        <v>-0.23617409384065749</v>
      </c>
      <c r="AT76">
        <v>0.45916795276714201</v>
      </c>
      <c r="AU76">
        <v>-0.32491311165091596</v>
      </c>
      <c r="AW76">
        <v>2.9878729423170682</v>
      </c>
    </row>
    <row r="77" spans="3:49" x14ac:dyDescent="0.2">
      <c r="C77" t="s">
        <v>9</v>
      </c>
      <c r="D77">
        <v>-0.94051665002192064</v>
      </c>
      <c r="E77">
        <v>0.80561682729249884</v>
      </c>
      <c r="F77">
        <v>-1.4167895544098448</v>
      </c>
      <c r="G77">
        <v>3.2568993331137959</v>
      </c>
      <c r="H77">
        <v>-2.5875335166284992</v>
      </c>
      <c r="I77">
        <v>0.21770226263544598</v>
      </c>
      <c r="J77">
        <v>-3.2849677375421318</v>
      </c>
      <c r="K77">
        <v>-3.5209381664393087</v>
      </c>
      <c r="L77">
        <v>9.6847344464693617</v>
      </c>
      <c r="M77">
        <v>-2.043250344051073</v>
      </c>
      <c r="N77">
        <v>-1.0920784746776828</v>
      </c>
      <c r="O77">
        <v>0.35893367789907993</v>
      </c>
      <c r="P77">
        <v>0.77641654239531732</v>
      </c>
      <c r="Q77">
        <v>2.3188243060231324</v>
      </c>
      <c r="R77">
        <v>-2.8114272993417471</v>
      </c>
      <c r="S77">
        <v>-0.34049110796567617</v>
      </c>
      <c r="T77">
        <v>2.9183419594519702</v>
      </c>
      <c r="U77">
        <v>0.21371067354436801</v>
      </c>
      <c r="V77">
        <v>-1.5339791859990186</v>
      </c>
      <c r="W77">
        <v>0.67451236262224823</v>
      </c>
      <c r="X77">
        <v>1.3098504197517964</v>
      </c>
      <c r="Y77">
        <v>-0.68546780064366175</v>
      </c>
      <c r="Z77">
        <v>-1.5408565092807265</v>
      </c>
      <c r="AA77">
        <v>-0.60273783856079766</v>
      </c>
      <c r="AB77">
        <v>1.3153632813690987</v>
      </c>
      <c r="AC77">
        <v>1.1886254251550239</v>
      </c>
      <c r="AD77">
        <v>-1.5426208203949414</v>
      </c>
      <c r="AE77">
        <v>-0.76408496155014438</v>
      </c>
      <c r="AF77">
        <v>-0.13561522225944367</v>
      </c>
      <c r="AG77">
        <v>-0.23163740406685535</v>
      </c>
      <c r="AH77">
        <v>-1.1307805308058787</v>
      </c>
      <c r="AI77">
        <v>0.32998326377938214</v>
      </c>
      <c r="AJ77">
        <v>0.49802199414207565</v>
      </c>
      <c r="AK77">
        <v>0.83196797275394085</v>
      </c>
      <c r="AL77">
        <v>-0.37355966190670242</v>
      </c>
      <c r="AM77">
        <v>-2.525967163283112</v>
      </c>
      <c r="AN77">
        <v>0.57906169830934184</v>
      </c>
      <c r="AO77">
        <v>0.76490868516200983</v>
      </c>
      <c r="AP77">
        <v>0.98194971917318719</v>
      </c>
      <c r="AQ77">
        <v>-1.7732121180021048</v>
      </c>
      <c r="AR77">
        <v>1.1714816993509174</v>
      </c>
      <c r="AS77">
        <v>0.71088158375455279</v>
      </c>
      <c r="AT77">
        <v>-1.1776889554945666</v>
      </c>
      <c r="AU77">
        <v>1.777698240278651</v>
      </c>
      <c r="AW77">
        <v>3.1120305985753678</v>
      </c>
    </row>
    <row r="78" spans="3:49" x14ac:dyDescent="0.2">
      <c r="C78" t="s">
        <v>10</v>
      </c>
      <c r="D78">
        <v>1.4854942552103127E-2</v>
      </c>
      <c r="E78">
        <v>0.35404374721431886</v>
      </c>
      <c r="F78">
        <v>0.34414764522818769</v>
      </c>
      <c r="G78">
        <v>-0.83204043925916837</v>
      </c>
      <c r="H78">
        <v>0.73299979178993269</v>
      </c>
      <c r="I78">
        <v>0.56931936670382011</v>
      </c>
      <c r="J78">
        <v>-0.66718094782169102</v>
      </c>
      <c r="K78">
        <v>-2.2027822753376367</v>
      </c>
      <c r="L78">
        <v>-2.0432503440510783</v>
      </c>
      <c r="M78">
        <v>6.5047779081018113</v>
      </c>
      <c r="N78">
        <v>-0.10367116736730245</v>
      </c>
      <c r="O78">
        <v>-1.9314949076342651</v>
      </c>
      <c r="P78">
        <v>1.2051206059336774</v>
      </c>
      <c r="Q78">
        <v>0.23156241179683809</v>
      </c>
      <c r="R78">
        <v>-0.54908342952520151</v>
      </c>
      <c r="S78">
        <v>-0.55859026958816982</v>
      </c>
      <c r="T78">
        <v>-1.4109428050489965</v>
      </c>
      <c r="U78">
        <v>-6.4066421735184939E-2</v>
      </c>
      <c r="V78">
        <v>1.2125747246231036</v>
      </c>
      <c r="W78">
        <v>-0.60691356695724741</v>
      </c>
      <c r="X78">
        <v>0.11094805512690634</v>
      </c>
      <c r="Y78">
        <v>0.3736543196033742</v>
      </c>
      <c r="Z78">
        <v>-0.42939440718587096</v>
      </c>
      <c r="AA78">
        <v>0.63841951527437302</v>
      </c>
      <c r="AB78">
        <v>0.34624633214085548</v>
      </c>
      <c r="AC78">
        <v>0.35708073171256044</v>
      </c>
      <c r="AD78">
        <v>-1.3548438817025217</v>
      </c>
      <c r="AE78">
        <v>-0.82926481997373691</v>
      </c>
      <c r="AF78">
        <v>0.1054116351982663</v>
      </c>
      <c r="AG78">
        <v>1.4773386953061762</v>
      </c>
      <c r="AH78">
        <v>9.0607325336790334E-3</v>
      </c>
      <c r="AI78">
        <v>0.29116446456825901</v>
      </c>
      <c r="AJ78">
        <v>-1.0484154380717372</v>
      </c>
      <c r="AK78">
        <v>1.0995656727979619</v>
      </c>
      <c r="AL78">
        <v>0.20532293960476158</v>
      </c>
      <c r="AM78">
        <v>0.89711899148237662</v>
      </c>
      <c r="AN78">
        <v>-0.25838678543140875</v>
      </c>
      <c r="AO78">
        <v>0.61407912320232305</v>
      </c>
      <c r="AP78">
        <v>-0.92939586450767631</v>
      </c>
      <c r="AQ78">
        <v>-0.30191767089156263</v>
      </c>
      <c r="AR78">
        <v>-0.12345428919533269</v>
      </c>
      <c r="AS78">
        <v>-1.0806063098084819</v>
      </c>
      <c r="AT78">
        <v>1.1618500832748719</v>
      </c>
      <c r="AU78">
        <v>-1.2771322953524296</v>
      </c>
      <c r="AW78">
        <v>2.5504466095375946</v>
      </c>
    </row>
    <row r="79" spans="3:49" x14ac:dyDescent="0.2">
      <c r="C79" t="s">
        <v>11</v>
      </c>
      <c r="D79">
        <v>0.41362034276683451</v>
      </c>
      <c r="E79">
        <v>-0.9269758101189165</v>
      </c>
      <c r="F79">
        <v>-5.5659711680942275E-2</v>
      </c>
      <c r="G79">
        <v>-0.27517178785634822</v>
      </c>
      <c r="H79">
        <v>0.75553487393101237</v>
      </c>
      <c r="I79">
        <v>-8.73039487260754E-2</v>
      </c>
      <c r="J79">
        <v>-0.77631811855951283</v>
      </c>
      <c r="K79">
        <v>-0.77496217877852125</v>
      </c>
      <c r="L79">
        <v>-1.0920784746776884</v>
      </c>
      <c r="M79">
        <v>-0.10367116736730354</v>
      </c>
      <c r="N79">
        <v>6.5330068359506281</v>
      </c>
      <c r="O79">
        <v>-0.96861882416513645</v>
      </c>
      <c r="P79">
        <v>-1.7934911213465692</v>
      </c>
      <c r="Q79">
        <v>-0.81001636440864011</v>
      </c>
      <c r="R79">
        <v>0.27478073123901131</v>
      </c>
      <c r="S79">
        <v>-0.46545876615508469</v>
      </c>
      <c r="T79">
        <v>7.9562619487407275E-3</v>
      </c>
      <c r="U79">
        <v>-0.7690159779216249</v>
      </c>
      <c r="V79">
        <v>1.0106142533669098</v>
      </c>
      <c r="W79">
        <v>6.7281736007062734E-2</v>
      </c>
      <c r="X79">
        <v>-2.6290295167859212</v>
      </c>
      <c r="Y79">
        <v>1.5394074741039789</v>
      </c>
      <c r="Z79">
        <v>0.68849293108677201</v>
      </c>
      <c r="AA79">
        <v>-0.35613083981227522</v>
      </c>
      <c r="AB79">
        <v>-0.4528956422150906</v>
      </c>
      <c r="AC79">
        <v>-0.28158647613875548</v>
      </c>
      <c r="AD79">
        <v>0.5688180060037924</v>
      </c>
      <c r="AE79">
        <v>-0.46662335235843444</v>
      </c>
      <c r="AF79">
        <v>-0.17266289846179986</v>
      </c>
      <c r="AG79">
        <v>5.2021341412385708E-2</v>
      </c>
      <c r="AH79">
        <v>0.71560303117716417</v>
      </c>
      <c r="AI79">
        <v>0.80565848325328904</v>
      </c>
      <c r="AJ79">
        <v>-0.63730306211386167</v>
      </c>
      <c r="AK79">
        <v>0.82348484708793668</v>
      </c>
      <c r="AL79">
        <v>-1.4178292147328233</v>
      </c>
      <c r="AM79">
        <v>-0.33070115855291171</v>
      </c>
      <c r="AN79">
        <v>-0.10618334089193834</v>
      </c>
      <c r="AO79">
        <v>1.1947636719514201</v>
      </c>
      <c r="AP79">
        <v>0.48218495972829245</v>
      </c>
      <c r="AQ79">
        <v>4.3725113668135376E-2</v>
      </c>
      <c r="AR79">
        <v>-0.8797040236582877</v>
      </c>
      <c r="AS79">
        <v>-0.49172249320028616</v>
      </c>
      <c r="AT79">
        <v>-4.9026511376454127E-2</v>
      </c>
      <c r="AU79">
        <v>0.5333943070608963</v>
      </c>
      <c r="AW79">
        <v>2.5559747330422944</v>
      </c>
    </row>
    <row r="80" spans="3:49" x14ac:dyDescent="0.2">
      <c r="C80" t="s">
        <v>12</v>
      </c>
      <c r="D80">
        <v>-0.37340327212484786</v>
      </c>
      <c r="E80">
        <v>1.5487998300863439</v>
      </c>
      <c r="F80">
        <v>-0.11045324940803088</v>
      </c>
      <c r="G80">
        <v>1.0825218748315386</v>
      </c>
      <c r="H80">
        <v>3.5435615189683581E-3</v>
      </c>
      <c r="I80">
        <v>-0.8244532186833079</v>
      </c>
      <c r="J80">
        <v>0.98355740420154392</v>
      </c>
      <c r="K80">
        <v>-1.8220228953730382</v>
      </c>
      <c r="L80">
        <v>0.35893367789908071</v>
      </c>
      <c r="M80">
        <v>-1.9314949076342631</v>
      </c>
      <c r="N80">
        <v>-0.96861882416513778</v>
      </c>
      <c r="O80">
        <v>7.5961569016390342</v>
      </c>
      <c r="P80">
        <v>-2.798318322713091</v>
      </c>
      <c r="Q80">
        <v>1.0066187580070927</v>
      </c>
      <c r="R80">
        <v>0.11955320396952683</v>
      </c>
      <c r="S80">
        <v>-0.81333555564649151</v>
      </c>
      <c r="T80">
        <v>0.56369741559692044</v>
      </c>
      <c r="U80">
        <v>0.37890435072289669</v>
      </c>
      <c r="V80">
        <v>-1.315247996616655</v>
      </c>
      <c r="W80">
        <v>1.1430523081208401</v>
      </c>
      <c r="X80">
        <v>-1.1094034046451051</v>
      </c>
      <c r="Y80">
        <v>-1.2040428724997894</v>
      </c>
      <c r="Z80">
        <v>-5.801653116966618E-2</v>
      </c>
      <c r="AA80">
        <v>-0.1472669084282999</v>
      </c>
      <c r="AB80">
        <v>0.62448201709035422</v>
      </c>
      <c r="AC80">
        <v>-0.15832325205017578</v>
      </c>
      <c r="AD80">
        <v>0.70573811426482513</v>
      </c>
      <c r="AE80">
        <v>-0.16229603784419416</v>
      </c>
      <c r="AF80">
        <v>-0.67610598268730393</v>
      </c>
      <c r="AG80">
        <v>0.95995865232854627</v>
      </c>
      <c r="AH80">
        <v>-0.1702741836228939</v>
      </c>
      <c r="AI80">
        <v>0.68495688282459688</v>
      </c>
      <c r="AJ80">
        <v>-0.93479961723926575</v>
      </c>
      <c r="AK80">
        <v>0.26230209075293759</v>
      </c>
      <c r="AL80">
        <v>0.38821721662408082</v>
      </c>
      <c r="AM80">
        <v>-1.9926487378393674</v>
      </c>
      <c r="AN80">
        <v>0.86876785033479031</v>
      </c>
      <c r="AO80">
        <v>-0.38185833422405974</v>
      </c>
      <c r="AP80">
        <v>-0.96558870940896946</v>
      </c>
      <c r="AQ80">
        <v>0.87552571781062249</v>
      </c>
      <c r="AR80">
        <v>9.3841832005487052E-3</v>
      </c>
      <c r="AS80">
        <v>-0.52652567553063001</v>
      </c>
      <c r="AT80">
        <v>-1.3508592655912883</v>
      </c>
      <c r="AU80">
        <v>0.16385880691627577</v>
      </c>
      <c r="AW80">
        <v>2.7561126431332652</v>
      </c>
    </row>
    <row r="81" spans="3:49" x14ac:dyDescent="0.2">
      <c r="C81" t="s">
        <v>13</v>
      </c>
      <c r="D81">
        <v>1.3106361013923327</v>
      </c>
      <c r="E81">
        <v>-0.73609608219293277</v>
      </c>
      <c r="F81">
        <v>-0.48983821208378769</v>
      </c>
      <c r="G81">
        <v>0.18577967534017686</v>
      </c>
      <c r="H81">
        <v>-2.0982309779254855</v>
      </c>
      <c r="I81">
        <v>-0.87377871638456028</v>
      </c>
      <c r="J81">
        <v>-1.3585219732936937</v>
      </c>
      <c r="K81">
        <v>-0.69265304782775072</v>
      </c>
      <c r="L81">
        <v>0.77641654239531921</v>
      </c>
      <c r="M81">
        <v>1.2051206059336754</v>
      </c>
      <c r="N81">
        <v>-1.7934911213465696</v>
      </c>
      <c r="O81">
        <v>-2.7983183227130928</v>
      </c>
      <c r="P81">
        <v>6.6721007999025712</v>
      </c>
      <c r="Q81">
        <v>-3.1649432516424034E-2</v>
      </c>
      <c r="R81">
        <v>-0.96094302492356931</v>
      </c>
      <c r="S81">
        <v>0.50417855292876002</v>
      </c>
      <c r="T81">
        <v>7.0775988728978917E-2</v>
      </c>
      <c r="U81">
        <v>-0.31537720692920013</v>
      </c>
      <c r="V81">
        <v>0.86076943382078863</v>
      </c>
      <c r="W81">
        <v>0.63330282884224098</v>
      </c>
      <c r="X81">
        <v>-0.10470469958390276</v>
      </c>
      <c r="Y81">
        <v>0.50830537543112331</v>
      </c>
      <c r="Z81">
        <v>-9.3782439570023121E-2</v>
      </c>
      <c r="AA81">
        <v>-0.17532954057216463</v>
      </c>
      <c r="AB81">
        <v>-0.9973772652782974</v>
      </c>
      <c r="AC81">
        <v>1.1105035684238702</v>
      </c>
      <c r="AD81">
        <v>-1.0289623773050949</v>
      </c>
      <c r="AE81">
        <v>0.68822732570972656</v>
      </c>
      <c r="AF81">
        <v>0.93061034374723706</v>
      </c>
      <c r="AG81">
        <v>-1.04524438978287</v>
      </c>
      <c r="AH81">
        <v>-1.0566063592292212</v>
      </c>
      <c r="AI81">
        <v>0.35548602534599644</v>
      </c>
      <c r="AJ81">
        <v>0.72531319185545307</v>
      </c>
      <c r="AK81">
        <v>0.92314279530336241</v>
      </c>
      <c r="AL81">
        <v>-0.95277554798452169</v>
      </c>
      <c r="AM81">
        <v>-0.22346583897658387</v>
      </c>
      <c r="AN81">
        <v>1.1358473672262048</v>
      </c>
      <c r="AO81">
        <v>0.58459310432390443</v>
      </c>
      <c r="AP81">
        <v>0.11563039427227383</v>
      </c>
      <c r="AQ81">
        <v>-1.6016050416687919</v>
      </c>
      <c r="AR81">
        <v>-0.30520638851969162</v>
      </c>
      <c r="AS81">
        <v>0.5573358627609708</v>
      </c>
      <c r="AT81">
        <v>3.1530267223158666E-2</v>
      </c>
      <c r="AU81">
        <v>-0.48401893505645111</v>
      </c>
      <c r="AW81">
        <v>2.5830409984943272</v>
      </c>
    </row>
    <row r="82" spans="3:49" x14ac:dyDescent="0.2">
      <c r="C82" t="s">
        <v>14</v>
      </c>
      <c r="D82">
        <v>0.26580778348280948</v>
      </c>
      <c r="E82">
        <v>1.1046531794080112</v>
      </c>
      <c r="F82">
        <v>0.25580629167136576</v>
      </c>
      <c r="G82">
        <v>0.76180505602377036</v>
      </c>
      <c r="H82">
        <v>-1.3172304556943244</v>
      </c>
      <c r="I82">
        <v>0.69238678945798193</v>
      </c>
      <c r="J82">
        <v>-2.1907791686931279</v>
      </c>
      <c r="K82">
        <v>-2.2472315555876534</v>
      </c>
      <c r="L82">
        <v>2.3188243060231324</v>
      </c>
      <c r="M82">
        <v>0.23156241179684081</v>
      </c>
      <c r="N82">
        <v>-0.81001636440863811</v>
      </c>
      <c r="O82">
        <v>1.0066187580070931</v>
      </c>
      <c r="P82">
        <v>-3.1649432516422361E-2</v>
      </c>
      <c r="Q82">
        <v>5.9230372661545649</v>
      </c>
      <c r="R82">
        <v>-3.3230452654966021</v>
      </c>
      <c r="S82">
        <v>-1.0260412021582488</v>
      </c>
      <c r="T82">
        <v>0.480093332665956</v>
      </c>
      <c r="U82">
        <v>-0.49118375896540523</v>
      </c>
      <c r="V82">
        <v>-0.65223919939289698</v>
      </c>
      <c r="W82">
        <v>0.11949732685039874</v>
      </c>
      <c r="X82">
        <v>0.28031338417912266</v>
      </c>
      <c r="Y82">
        <v>-0.81491994412699931</v>
      </c>
      <c r="Z82">
        <v>0.38898178724512256</v>
      </c>
      <c r="AA82">
        <v>-0.6083458436758975</v>
      </c>
      <c r="AB82">
        <v>0.60775682079115967</v>
      </c>
      <c r="AC82">
        <v>1.3850272516560795</v>
      </c>
      <c r="AD82">
        <v>-0.56971686368707497</v>
      </c>
      <c r="AE82">
        <v>-0.69757212903630861</v>
      </c>
      <c r="AF82">
        <v>0.62300246285265992</v>
      </c>
      <c r="AG82">
        <v>-1.4434993364004131E-2</v>
      </c>
      <c r="AH82">
        <v>-1.5167948940954705</v>
      </c>
      <c r="AI82">
        <v>0.42383059534543294</v>
      </c>
      <c r="AJ82">
        <v>-9.2819475845997094E-3</v>
      </c>
      <c r="AK82">
        <v>0.55897992228497217</v>
      </c>
      <c r="AL82">
        <v>1.1473969417128496</v>
      </c>
      <c r="AM82">
        <v>-0.69182711481953008</v>
      </c>
      <c r="AN82">
        <v>-0.61351417180232204</v>
      </c>
      <c r="AO82">
        <v>0.14530877535190873</v>
      </c>
      <c r="AP82">
        <v>0.78297096548395528</v>
      </c>
      <c r="AQ82">
        <v>-0.87906161402868055</v>
      </c>
      <c r="AR82">
        <v>0.57635669552673763</v>
      </c>
      <c r="AS82">
        <v>1.5791341092178439</v>
      </c>
      <c r="AT82">
        <v>-0.68706473067918927</v>
      </c>
      <c r="AU82">
        <v>-1.3315118313892922</v>
      </c>
      <c r="AW82">
        <v>2.4337290864339369</v>
      </c>
    </row>
    <row r="83" spans="3:49" x14ac:dyDescent="0.2">
      <c r="C83" t="s">
        <v>15</v>
      </c>
      <c r="D83">
        <v>-1.1535339367744391</v>
      </c>
      <c r="E83">
        <v>-0.48560066929429074</v>
      </c>
      <c r="F83">
        <v>-0.22148847945642636</v>
      </c>
      <c r="G83">
        <v>-1.1194096006595895</v>
      </c>
      <c r="H83">
        <v>1.3561591715831325</v>
      </c>
      <c r="I83">
        <v>0.36249860703648484</v>
      </c>
      <c r="J83">
        <v>2.2325285042286929</v>
      </c>
      <c r="K83">
        <v>2.1905224909708312</v>
      </c>
      <c r="L83">
        <v>-2.8114272993417515</v>
      </c>
      <c r="M83">
        <v>-0.54908342952520228</v>
      </c>
      <c r="N83">
        <v>0.27478073123901375</v>
      </c>
      <c r="O83">
        <v>0.11955320396952585</v>
      </c>
      <c r="P83">
        <v>-0.9609430249235692</v>
      </c>
      <c r="Q83">
        <v>-3.3230452654966034</v>
      </c>
      <c r="R83">
        <v>6.7691036097783908</v>
      </c>
      <c r="S83">
        <v>-0.85136728373362158</v>
      </c>
      <c r="T83">
        <v>-2.6510305518354369</v>
      </c>
      <c r="U83">
        <v>1.2665981106117812</v>
      </c>
      <c r="V83">
        <v>0.63342246202857633</v>
      </c>
      <c r="W83">
        <v>-1.4716044571254798</v>
      </c>
      <c r="X83">
        <v>0.63215473870164907</v>
      </c>
      <c r="Y83">
        <v>0.14212548826756533</v>
      </c>
      <c r="Z83">
        <v>0.39179225777991133</v>
      </c>
      <c r="AA83">
        <v>0.50870125019833823</v>
      </c>
      <c r="AB83">
        <v>-0.49950294415180752</v>
      </c>
      <c r="AC83">
        <v>-0.78034420976024788</v>
      </c>
      <c r="AD83">
        <v>-0.16637239526215677</v>
      </c>
      <c r="AE83">
        <v>0.56842173400818463</v>
      </c>
      <c r="AF83">
        <v>-1.3187365223922105</v>
      </c>
      <c r="AG83">
        <v>-0.38032000052535769</v>
      </c>
      <c r="AH83">
        <v>1.1880645494134132</v>
      </c>
      <c r="AI83">
        <v>-0.97620698163713915</v>
      </c>
      <c r="AJ83">
        <v>0.76803512654064043</v>
      </c>
      <c r="AK83">
        <v>-2.805140311567599</v>
      </c>
      <c r="AL83">
        <v>1.3340182770930191</v>
      </c>
      <c r="AM83">
        <v>1.9928926504385303</v>
      </c>
      <c r="AN83">
        <v>-0.58739743346713846</v>
      </c>
      <c r="AO83">
        <v>-0.63224627918093479</v>
      </c>
      <c r="AP83">
        <v>-0.58083443378036692</v>
      </c>
      <c r="AQ83">
        <v>0.86376969795111214</v>
      </c>
      <c r="AR83">
        <v>-0.74952272662824004</v>
      </c>
      <c r="AS83">
        <v>1.0942280318326858</v>
      </c>
      <c r="AT83">
        <v>-0.10068720257068436</v>
      </c>
      <c r="AU83">
        <v>0.14834266656351774</v>
      </c>
      <c r="AW83">
        <v>2.6017501051750513</v>
      </c>
    </row>
    <row r="84" spans="3:49" x14ac:dyDescent="0.2">
      <c r="C84" t="s">
        <v>16</v>
      </c>
      <c r="D84">
        <v>0.8832321773587416</v>
      </c>
      <c r="E84">
        <v>-0.6049190878157038</v>
      </c>
      <c r="F84">
        <v>0.37716629516418021</v>
      </c>
      <c r="G84">
        <v>0.5154317244527995</v>
      </c>
      <c r="H84">
        <v>-0.34890958304464859</v>
      </c>
      <c r="I84">
        <v>-0.73263632687029223</v>
      </c>
      <c r="J84">
        <v>0.25679323728506864</v>
      </c>
      <c r="K84">
        <v>1.3807303111932869</v>
      </c>
      <c r="L84">
        <v>-0.340491107965677</v>
      </c>
      <c r="M84">
        <v>-0.55859026958816893</v>
      </c>
      <c r="N84">
        <v>-0.46545876615508802</v>
      </c>
      <c r="O84">
        <v>-0.81333555564649085</v>
      </c>
      <c r="P84">
        <v>0.50417855292875591</v>
      </c>
      <c r="Q84">
        <v>-1.0260412021582497</v>
      </c>
      <c r="R84">
        <v>-0.85136728373362147</v>
      </c>
      <c r="S84">
        <v>3.8063698756142386</v>
      </c>
      <c r="T84">
        <v>0.19187029049654319</v>
      </c>
      <c r="U84">
        <v>-0.55859259811572104</v>
      </c>
      <c r="V84">
        <v>-0.63233026733247621</v>
      </c>
      <c r="W84">
        <v>0.45014189610018401</v>
      </c>
      <c r="X84">
        <v>0.2521991019713607</v>
      </c>
      <c r="Y84">
        <v>0.26729432439913153</v>
      </c>
      <c r="Z84">
        <v>-7.8648670866138179E-2</v>
      </c>
      <c r="AA84">
        <v>1.105435404989597E-2</v>
      </c>
      <c r="AB84">
        <v>-0.39944784616364004</v>
      </c>
      <c r="AC84">
        <v>-0.59918797755222741</v>
      </c>
      <c r="AD84">
        <v>0.79266888553453874</v>
      </c>
      <c r="AE84">
        <v>-0.20278041328641341</v>
      </c>
      <c r="AF84">
        <v>0.49405112794437228</v>
      </c>
      <c r="AG84">
        <v>-0.3803094336361833</v>
      </c>
      <c r="AH84">
        <v>0.14697535511779433</v>
      </c>
      <c r="AI84">
        <v>-0.6600851316387617</v>
      </c>
      <c r="AJ84">
        <v>0.36299204812901875</v>
      </c>
      <c r="AK84">
        <v>-1.0225519315063984</v>
      </c>
      <c r="AL84">
        <v>-0.18763010030564495</v>
      </c>
      <c r="AM84">
        <v>0.74477805705804212</v>
      </c>
      <c r="AN84">
        <v>-0.35092206710399715</v>
      </c>
      <c r="AO84">
        <v>0.21913394571220443</v>
      </c>
      <c r="AP84">
        <v>-0.41303965037733298</v>
      </c>
      <c r="AQ84">
        <v>0.51372542022198131</v>
      </c>
      <c r="AR84">
        <v>-0.29359469447172648</v>
      </c>
      <c r="AS84">
        <v>-1.1147573632784715</v>
      </c>
      <c r="AT84">
        <v>-1.3724480573355697E-2</v>
      </c>
      <c r="AU84">
        <v>0.80819113431636624</v>
      </c>
      <c r="AW84">
        <v>1.9509920234624842</v>
      </c>
    </row>
    <row r="85" spans="3:49" x14ac:dyDescent="0.2">
      <c r="C85" t="s">
        <v>17</v>
      </c>
      <c r="D85">
        <v>0.58619530332297543</v>
      </c>
      <c r="E85">
        <v>-0.79206748562516238</v>
      </c>
      <c r="F85">
        <v>-0.23116129758623735</v>
      </c>
      <c r="G85">
        <v>0.9739201152640119</v>
      </c>
      <c r="H85">
        <v>9.5013817570715031E-2</v>
      </c>
      <c r="I85">
        <v>-0.49920746768003366</v>
      </c>
      <c r="J85">
        <v>-0.88386507392342473</v>
      </c>
      <c r="K85">
        <v>-1.0086148717292676</v>
      </c>
      <c r="L85">
        <v>2.9183419594519706</v>
      </c>
      <c r="M85">
        <v>-1.4109428050489945</v>
      </c>
      <c r="N85">
        <v>7.9562619487407067E-3</v>
      </c>
      <c r="O85">
        <v>0.56369741559692044</v>
      </c>
      <c r="P85">
        <v>7.077598872897839E-2</v>
      </c>
      <c r="Q85">
        <v>0.48009333266595916</v>
      </c>
      <c r="R85">
        <v>-2.6510305518354382</v>
      </c>
      <c r="S85">
        <v>0.19187029049654317</v>
      </c>
      <c r="T85">
        <v>4.2134326905656039</v>
      </c>
      <c r="U85">
        <v>-0.78030776488643483</v>
      </c>
      <c r="V85">
        <v>1.6068907954032888E-2</v>
      </c>
      <c r="W85">
        <v>1.1303621593108266</v>
      </c>
      <c r="X85">
        <v>-0.73559442011137877</v>
      </c>
      <c r="Y85">
        <v>-0.18783139056307249</v>
      </c>
      <c r="Z85">
        <v>-0.92641852660775348</v>
      </c>
      <c r="AA85">
        <v>-0.95194631730533852</v>
      </c>
      <c r="AB85">
        <v>0.6215091193049791</v>
      </c>
      <c r="AC85">
        <v>0.33883804321507427</v>
      </c>
      <c r="AD85">
        <v>-0.19666733222628596</v>
      </c>
      <c r="AE85">
        <v>-0.77059865374127512</v>
      </c>
      <c r="AF85">
        <v>0.81346861066454057</v>
      </c>
      <c r="AG85">
        <v>-0.37023614767990987</v>
      </c>
      <c r="AH85">
        <v>0.13971916930638595</v>
      </c>
      <c r="AI85">
        <v>-0.22717652688776335</v>
      </c>
      <c r="AJ85">
        <v>-1.8833500115826927E-3</v>
      </c>
      <c r="AK85">
        <v>0.66227479228739505</v>
      </c>
      <c r="AL85">
        <v>-1.25237802064076</v>
      </c>
      <c r="AM85">
        <v>-0.81588337722456894</v>
      </c>
      <c r="AN85">
        <v>0.18495782015358853</v>
      </c>
      <c r="AO85">
        <v>9.0820362104915134E-2</v>
      </c>
      <c r="AP85">
        <v>0.29955861520484245</v>
      </c>
      <c r="AQ85">
        <v>7.4939516013636437E-2</v>
      </c>
      <c r="AR85">
        <v>9.4680842662355463E-2</v>
      </c>
      <c r="AS85">
        <v>-0.57374866964660409</v>
      </c>
      <c r="AT85">
        <v>0.46746175141126567</v>
      </c>
      <c r="AU85">
        <v>0.52252362973692756</v>
      </c>
      <c r="AW85">
        <v>2.0526647779327249</v>
      </c>
    </row>
    <row r="86" spans="3:49" x14ac:dyDescent="0.2">
      <c r="C86" t="s">
        <v>18</v>
      </c>
      <c r="D86">
        <v>-1.0616713739026182</v>
      </c>
      <c r="E86">
        <v>0.69132612204986488</v>
      </c>
      <c r="F86">
        <v>-0.37170401694051941</v>
      </c>
      <c r="G86">
        <v>-8.4406545802976726E-2</v>
      </c>
      <c r="H86">
        <v>-0.50630920016737946</v>
      </c>
      <c r="I86">
        <v>-1.6673761231368406E-2</v>
      </c>
      <c r="J86">
        <v>0.84219587617053682</v>
      </c>
      <c r="K86">
        <v>0.20601145616740554</v>
      </c>
      <c r="L86">
        <v>0.21371067354436776</v>
      </c>
      <c r="M86">
        <v>-6.4066421735182941E-2</v>
      </c>
      <c r="N86">
        <v>-0.76901597792162224</v>
      </c>
      <c r="O86">
        <v>0.37890435072289552</v>
      </c>
      <c r="P86">
        <v>-0.31537720692920096</v>
      </c>
      <c r="Q86">
        <v>-0.49118375896540412</v>
      </c>
      <c r="R86">
        <v>1.2665981106117814</v>
      </c>
      <c r="S86">
        <v>-0.55859259811572248</v>
      </c>
      <c r="T86">
        <v>-0.78030776488643439</v>
      </c>
      <c r="U86">
        <v>3.0353129874753089</v>
      </c>
      <c r="V86">
        <v>-0.62841876908644412</v>
      </c>
      <c r="W86">
        <v>-0.33101761192937057</v>
      </c>
      <c r="X86">
        <v>1.8009959154021244</v>
      </c>
      <c r="Y86">
        <v>-0.84224613570120788</v>
      </c>
      <c r="Z86">
        <v>-2.2336606552599704E-2</v>
      </c>
      <c r="AA86">
        <v>3.3606696223578885E-3</v>
      </c>
      <c r="AB86">
        <v>0.67476397947391165</v>
      </c>
      <c r="AC86">
        <v>-1.1532030066570189</v>
      </c>
      <c r="AD86">
        <v>0.57392648046162986</v>
      </c>
      <c r="AE86">
        <v>-0.15567955610502651</v>
      </c>
      <c r="AF86">
        <v>-1.1037210162599753</v>
      </c>
      <c r="AG86">
        <v>0.24493218499844424</v>
      </c>
      <c r="AH86">
        <v>-0.22903898031205588</v>
      </c>
      <c r="AI86">
        <v>-0.31254304610837663</v>
      </c>
      <c r="AJ86">
        <v>0.19310691470611085</v>
      </c>
      <c r="AK86">
        <v>-1.0345072196821308</v>
      </c>
      <c r="AL86">
        <v>1.5943244106353243</v>
      </c>
      <c r="AM86">
        <v>0.54835369936696232</v>
      </c>
      <c r="AN86">
        <v>0.17498252495970026</v>
      </c>
      <c r="AO86">
        <v>0.19489780997563297</v>
      </c>
      <c r="AP86">
        <v>-0.71343671352889015</v>
      </c>
      <c r="AQ86">
        <v>-3.576504206402982E-2</v>
      </c>
      <c r="AR86">
        <v>-0.24122892580233865</v>
      </c>
      <c r="AS86">
        <v>-9.1858439735910749E-2</v>
      </c>
      <c r="AT86">
        <v>-0.23084489037927985</v>
      </c>
      <c r="AU86">
        <v>-0.11321904895447077</v>
      </c>
      <c r="AW86">
        <v>1.7422149659199089</v>
      </c>
    </row>
    <row r="87" spans="3:49" x14ac:dyDescent="0.2">
      <c r="C87" t="s">
        <v>19</v>
      </c>
      <c r="D87">
        <v>1.0715960319800519</v>
      </c>
      <c r="E87">
        <v>-1.4743679408075221</v>
      </c>
      <c r="F87">
        <v>-0.28758926522980977</v>
      </c>
      <c r="G87">
        <v>-0.21018045780486838</v>
      </c>
      <c r="H87">
        <v>0.5973883746173434</v>
      </c>
      <c r="I87">
        <v>-0.28911210083328714</v>
      </c>
      <c r="J87">
        <v>-0.51226619076602464</v>
      </c>
      <c r="K87">
        <v>-0.69485752371065113</v>
      </c>
      <c r="L87">
        <v>-1.5339791859990206</v>
      </c>
      <c r="M87">
        <v>1.2125747246231</v>
      </c>
      <c r="N87">
        <v>1.0106142533669071</v>
      </c>
      <c r="O87">
        <v>-1.3152479966166535</v>
      </c>
      <c r="P87">
        <v>0.86076943382078974</v>
      </c>
      <c r="Q87">
        <v>-0.6522391993928992</v>
      </c>
      <c r="R87">
        <v>0.63342246202857622</v>
      </c>
      <c r="S87">
        <v>-0.63233026733247322</v>
      </c>
      <c r="T87">
        <v>1.6068907954033072E-2</v>
      </c>
      <c r="U87">
        <v>-0.62841876908644456</v>
      </c>
      <c r="V87">
        <v>4.9321208432189065</v>
      </c>
      <c r="W87">
        <v>-1.6640204503203582</v>
      </c>
      <c r="X87">
        <v>-2.2875339573309312</v>
      </c>
      <c r="Y87">
        <v>0.1459690777169613</v>
      </c>
      <c r="Z87">
        <v>0.62968839630485962</v>
      </c>
      <c r="AA87">
        <v>-0.13413191189830154</v>
      </c>
      <c r="AB87">
        <v>-0.57620467254361052</v>
      </c>
      <c r="AC87">
        <v>0.24721657216355497</v>
      </c>
      <c r="AD87">
        <v>-5.7180862304719436E-2</v>
      </c>
      <c r="AE87">
        <v>0.9570584500471605</v>
      </c>
      <c r="AF87">
        <v>0.57590854997229135</v>
      </c>
      <c r="AG87">
        <v>-0.45332130668179088</v>
      </c>
      <c r="AH87">
        <v>0.45604405133744208</v>
      </c>
      <c r="AI87">
        <v>-0.48622370231789758</v>
      </c>
      <c r="AJ87">
        <v>-6.3971919418420231E-2</v>
      </c>
      <c r="AK87">
        <v>0.63884496250753553</v>
      </c>
      <c r="AL87">
        <v>-1.1752907344766717</v>
      </c>
      <c r="AM87">
        <v>9.3269977677571406E-2</v>
      </c>
      <c r="AN87">
        <v>0.10818581112104805</v>
      </c>
      <c r="AO87">
        <v>0.397655460996931</v>
      </c>
      <c r="AP87">
        <v>-0.48661493613066503</v>
      </c>
      <c r="AQ87">
        <v>-0.16485787979914676</v>
      </c>
      <c r="AR87">
        <v>-0.25859121820406994</v>
      </c>
      <c r="AS87">
        <v>0.54971338029089212</v>
      </c>
      <c r="AT87">
        <v>0.52566926525398117</v>
      </c>
      <c r="AU87">
        <v>-0.45157660509575215</v>
      </c>
      <c r="AW87">
        <v>2.2208378696381477</v>
      </c>
    </row>
    <row r="88" spans="3:49" x14ac:dyDescent="0.2">
      <c r="C88" t="s">
        <v>20</v>
      </c>
      <c r="D88">
        <v>0.56783503325011164</v>
      </c>
      <c r="E88">
        <v>-0.15550457776079385</v>
      </c>
      <c r="F88">
        <v>-4.8958194586949458E-2</v>
      </c>
      <c r="G88">
        <v>0.85452965600052244</v>
      </c>
      <c r="H88">
        <v>-0.4914873420840653</v>
      </c>
      <c r="I88">
        <v>-0.22110069399384322</v>
      </c>
      <c r="J88">
        <v>-6.8116730665278957E-2</v>
      </c>
      <c r="K88">
        <v>-1.2558403967817724</v>
      </c>
      <c r="L88">
        <v>0.67451236262225056</v>
      </c>
      <c r="M88">
        <v>-0.60691356695724852</v>
      </c>
      <c r="N88">
        <v>6.7281736007060361E-2</v>
      </c>
      <c r="O88">
        <v>1.1430523081208426</v>
      </c>
      <c r="P88">
        <v>0.6333028288422401</v>
      </c>
      <c r="Q88">
        <v>0.11949732685039931</v>
      </c>
      <c r="R88">
        <v>-1.4716044571254814</v>
      </c>
      <c r="S88">
        <v>0.45014189610018507</v>
      </c>
      <c r="T88">
        <v>1.130362159310828</v>
      </c>
      <c r="U88">
        <v>-0.3310176119293699</v>
      </c>
      <c r="V88">
        <v>-1.6640204503203604</v>
      </c>
      <c r="W88">
        <v>4.754887035962132</v>
      </c>
      <c r="X88">
        <v>-2.128905985486429</v>
      </c>
      <c r="Y88">
        <v>0.68762168276051705</v>
      </c>
      <c r="Z88">
        <v>-1.154853134203262</v>
      </c>
      <c r="AA88">
        <v>-0.34476863133691199</v>
      </c>
      <c r="AB88">
        <v>-0.60829762544385102</v>
      </c>
      <c r="AC88">
        <v>0.15924547189356936</v>
      </c>
      <c r="AD88">
        <v>0.46760290801272214</v>
      </c>
      <c r="AE88">
        <v>-0.47500547335447185</v>
      </c>
      <c r="AF88">
        <v>0.7553195192201474</v>
      </c>
      <c r="AG88">
        <v>-0.19101297439928847</v>
      </c>
      <c r="AH88">
        <v>8.0753764235220446E-2</v>
      </c>
      <c r="AI88">
        <v>-0.18068978938454994</v>
      </c>
      <c r="AJ88">
        <v>-0.55534757141527713</v>
      </c>
      <c r="AK88">
        <v>1.0307711108416537</v>
      </c>
      <c r="AL88">
        <v>-1.124485992064139</v>
      </c>
      <c r="AM88">
        <v>-1.3398592105467004</v>
      </c>
      <c r="AN88">
        <v>0.95787947854158273</v>
      </c>
      <c r="AO88">
        <v>0.61829403156191209</v>
      </c>
      <c r="AP88">
        <v>-7.0622193181947499E-2</v>
      </c>
      <c r="AQ88">
        <v>-0.23304937502035059</v>
      </c>
      <c r="AR88">
        <v>0.17053571218684394</v>
      </c>
      <c r="AS88">
        <v>-1.4030920953875852</v>
      </c>
      <c r="AT88">
        <v>0.56339843417915336</v>
      </c>
      <c r="AU88">
        <v>0.19385685916057557</v>
      </c>
      <c r="AW88">
        <v>2.1805703464832615</v>
      </c>
    </row>
    <row r="89" spans="3:49" x14ac:dyDescent="0.2">
      <c r="C89" t="s">
        <v>21</v>
      </c>
      <c r="D89">
        <v>-1.4036578470490757</v>
      </c>
      <c r="E89">
        <v>1.120212920634962</v>
      </c>
      <c r="F89">
        <v>-0.41173604095578331</v>
      </c>
      <c r="G89">
        <v>-6.3685268774782491E-2</v>
      </c>
      <c r="H89">
        <v>-0.84732793034449905</v>
      </c>
      <c r="I89">
        <v>0.64400300389294496</v>
      </c>
      <c r="J89">
        <v>0.93531588939482535</v>
      </c>
      <c r="K89">
        <v>1.7499717079544728</v>
      </c>
      <c r="L89">
        <v>1.3098504197517933</v>
      </c>
      <c r="M89">
        <v>0.11094805512691301</v>
      </c>
      <c r="N89">
        <v>-2.6290295167859146</v>
      </c>
      <c r="O89">
        <v>-1.109403404645112</v>
      </c>
      <c r="P89">
        <v>-0.10470469958390281</v>
      </c>
      <c r="Q89">
        <v>0.28031338417912333</v>
      </c>
      <c r="R89">
        <v>0.63215473870165251</v>
      </c>
      <c r="S89">
        <v>0.25219910197135648</v>
      </c>
      <c r="T89">
        <v>-0.73559442011138154</v>
      </c>
      <c r="U89">
        <v>1.800995915402124</v>
      </c>
      <c r="V89">
        <v>-2.2875339573309277</v>
      </c>
      <c r="W89">
        <v>-2.1289059854864312</v>
      </c>
      <c r="X89">
        <v>7.4933191312725551</v>
      </c>
      <c r="Y89">
        <v>-1.2632109050182512</v>
      </c>
      <c r="Z89">
        <v>-0.36646747797345397</v>
      </c>
      <c r="AA89">
        <v>2.3883935683839036E-2</v>
      </c>
      <c r="AB89">
        <v>1.0510236221470435</v>
      </c>
      <c r="AC89">
        <v>-0.46978217253912152</v>
      </c>
      <c r="AD89">
        <v>-1.6670102147092623</v>
      </c>
      <c r="AE89">
        <v>-0.99195181253645137</v>
      </c>
      <c r="AF89">
        <v>-0.41520931362967595</v>
      </c>
      <c r="AG89">
        <v>-0.14287478663641459</v>
      </c>
      <c r="AH89">
        <v>0.22156228329483291</v>
      </c>
      <c r="AI89">
        <v>-1.5301093939062025</v>
      </c>
      <c r="AJ89">
        <v>1.9570418587937237</v>
      </c>
      <c r="AK89">
        <v>-3.0276262082539191</v>
      </c>
      <c r="AL89">
        <v>2.7563210312081736</v>
      </c>
      <c r="AM89">
        <v>2.6149795171152403</v>
      </c>
      <c r="AN89">
        <v>-1.461496329248219</v>
      </c>
      <c r="AO89">
        <v>-1.047649283941265</v>
      </c>
      <c r="AP89">
        <v>-9.4167324469839941E-2</v>
      </c>
      <c r="AQ89">
        <v>-0.34885935303096893</v>
      </c>
      <c r="AR89">
        <v>0.54052249221645976</v>
      </c>
      <c r="AS89">
        <v>1.4784184756056944</v>
      </c>
      <c r="AT89">
        <v>-0.87847586996119209</v>
      </c>
      <c r="AU89">
        <v>0.19364644853568991</v>
      </c>
      <c r="AW89">
        <v>2.7373927616022797</v>
      </c>
    </row>
    <row r="90" spans="3:49" x14ac:dyDescent="0.2">
      <c r="C90" t="s">
        <v>22</v>
      </c>
      <c r="D90">
        <v>-0.17345884895266137</v>
      </c>
      <c r="E90">
        <v>-0.52756919437663097</v>
      </c>
      <c r="F90">
        <v>-0.34675729469643518</v>
      </c>
      <c r="G90">
        <v>0.42453894140039877</v>
      </c>
      <c r="H90">
        <v>0.31772076170912511</v>
      </c>
      <c r="I90">
        <v>1.7524576787496526E-2</v>
      </c>
      <c r="J90">
        <v>-0.37731798007075851</v>
      </c>
      <c r="K90">
        <v>0.38128263076826152</v>
      </c>
      <c r="L90">
        <v>-0.68546780064365942</v>
      </c>
      <c r="M90">
        <v>0.37365431960337281</v>
      </c>
      <c r="N90">
        <v>1.5394074741039756</v>
      </c>
      <c r="O90">
        <v>-1.2040428724997891</v>
      </c>
      <c r="P90">
        <v>0.50830537543112431</v>
      </c>
      <c r="Q90">
        <v>-0.8149199441269982</v>
      </c>
      <c r="R90">
        <v>0.14212548826756111</v>
      </c>
      <c r="S90">
        <v>0.26729432439913298</v>
      </c>
      <c r="T90">
        <v>-0.18783139056307044</v>
      </c>
      <c r="U90">
        <v>-0.84224613570120832</v>
      </c>
      <c r="V90">
        <v>0.14596907771695958</v>
      </c>
      <c r="W90">
        <v>0.68762168276051827</v>
      </c>
      <c r="X90">
        <v>-1.2632109050182505</v>
      </c>
      <c r="Y90">
        <v>3.5191803789627389</v>
      </c>
      <c r="Z90">
        <v>-1.0574484088745106</v>
      </c>
      <c r="AA90">
        <v>0.34552318317835501</v>
      </c>
      <c r="AB90">
        <v>-0.98276799435672557</v>
      </c>
      <c r="AC90">
        <v>-0.51305894356784276</v>
      </c>
      <c r="AD90">
        <v>0.19719011337176004</v>
      </c>
      <c r="AE90">
        <v>-6.0184619525536047E-2</v>
      </c>
      <c r="AF90">
        <v>0.62345727190644828</v>
      </c>
      <c r="AG90">
        <v>-0.69768551852439364</v>
      </c>
      <c r="AH90">
        <v>0.77049050187355106</v>
      </c>
      <c r="AI90">
        <v>2.1791700141134993E-2</v>
      </c>
      <c r="AJ90">
        <v>-0.48363246623829542</v>
      </c>
      <c r="AK90">
        <v>0.48777120871512752</v>
      </c>
      <c r="AL90">
        <v>-0.98807731281172728</v>
      </c>
      <c r="AM90">
        <v>0.44590156713408446</v>
      </c>
      <c r="AN90">
        <v>0.45744019018115517</v>
      </c>
      <c r="AO90">
        <v>-0.27405373655011517</v>
      </c>
      <c r="AP90">
        <v>0.59077652267734582</v>
      </c>
      <c r="AQ90">
        <v>-0.7913947818768452</v>
      </c>
      <c r="AR90">
        <v>-2.8089848877397666E-2</v>
      </c>
      <c r="AS90">
        <v>-0.92551797592758123</v>
      </c>
      <c r="AT90">
        <v>1.056951464398139</v>
      </c>
      <c r="AU90">
        <v>-0.41579236729169805</v>
      </c>
      <c r="AW90">
        <v>1.8759478614723648</v>
      </c>
    </row>
    <row r="91" spans="3:49" x14ac:dyDescent="0.2">
      <c r="C91" t="s">
        <v>23</v>
      </c>
      <c r="D91">
        <v>1.5139225978958715</v>
      </c>
      <c r="E91">
        <v>-0.35003382346139372</v>
      </c>
      <c r="F91">
        <v>0.89006604025408498</v>
      </c>
      <c r="G91">
        <v>-1.043954959558882</v>
      </c>
      <c r="H91">
        <v>-0.38479575285514367</v>
      </c>
      <c r="I91">
        <v>-0.41503049814025339</v>
      </c>
      <c r="J91">
        <v>0.72323553530877205</v>
      </c>
      <c r="K91">
        <v>1.1991063625354701</v>
      </c>
      <c r="L91">
        <v>-1.5408565092807249</v>
      </c>
      <c r="M91">
        <v>-0.42939440718587174</v>
      </c>
      <c r="N91">
        <v>0.68849293108677057</v>
      </c>
      <c r="O91">
        <v>-5.8016531169667575E-2</v>
      </c>
      <c r="P91">
        <v>-9.378243957002054E-2</v>
      </c>
      <c r="Q91">
        <v>0.38898178724512139</v>
      </c>
      <c r="R91">
        <v>0.39179225777991072</v>
      </c>
      <c r="S91">
        <v>-7.8648670866137041E-2</v>
      </c>
      <c r="T91">
        <v>-0.92641852660775337</v>
      </c>
      <c r="U91">
        <v>-2.2336606552599798E-2</v>
      </c>
      <c r="V91">
        <v>0.62968839630485929</v>
      </c>
      <c r="W91">
        <v>-1.1548531342032602</v>
      </c>
      <c r="X91">
        <v>-0.3664674779734538</v>
      </c>
      <c r="Y91">
        <v>-1.0574484088745093</v>
      </c>
      <c r="Z91">
        <v>4.2038845776918707</v>
      </c>
      <c r="AA91">
        <v>-0.47484410236783103</v>
      </c>
      <c r="AB91">
        <v>-0.73089744505694532</v>
      </c>
      <c r="AC91">
        <v>-0.79421358622118732</v>
      </c>
      <c r="AD91">
        <v>0.45596649321031907</v>
      </c>
      <c r="AE91">
        <v>0.71662313366215535</v>
      </c>
      <c r="AF91">
        <v>-0.75968609812491505</v>
      </c>
      <c r="AG91">
        <v>0.32513186019553425</v>
      </c>
      <c r="AH91">
        <v>-0.65245188089933692</v>
      </c>
      <c r="AI91">
        <v>5.5026268476655676E-2</v>
      </c>
      <c r="AJ91">
        <v>0.18007641563298835</v>
      </c>
      <c r="AK91">
        <v>0.33469984522814633</v>
      </c>
      <c r="AL91">
        <v>0.62563934884558758</v>
      </c>
      <c r="AM91">
        <v>-0.22901519346018981</v>
      </c>
      <c r="AN91">
        <v>-0.39957641316361586</v>
      </c>
      <c r="AO91">
        <v>0.60399755263962962</v>
      </c>
      <c r="AP91">
        <v>-0.35953457127047123</v>
      </c>
      <c r="AQ91">
        <v>0.3545670802909287</v>
      </c>
      <c r="AR91">
        <v>-1.1268311962066382</v>
      </c>
      <c r="AS91">
        <v>3.1995649191562024E-2</v>
      </c>
      <c r="AT91">
        <v>-0.65638915427572264</v>
      </c>
      <c r="AU91">
        <v>0.35720100668187749</v>
      </c>
      <c r="AW91">
        <v>2.0503376740653891</v>
      </c>
    </row>
    <row r="92" spans="3:49" x14ac:dyDescent="0.2">
      <c r="C92" t="s">
        <v>24</v>
      </c>
      <c r="D92">
        <v>-0.37904033432951445</v>
      </c>
      <c r="E92">
        <v>0.44505787942809466</v>
      </c>
      <c r="F92">
        <v>-0.40871582104160786</v>
      </c>
      <c r="G92">
        <v>5.6572590615627825E-2</v>
      </c>
      <c r="H92">
        <v>0.54055907181326146</v>
      </c>
      <c r="I92">
        <v>0.63081736681109646</v>
      </c>
      <c r="J92">
        <v>0.31936075051197116</v>
      </c>
      <c r="K92">
        <v>0.2557857692874162</v>
      </c>
      <c r="L92">
        <v>-0.6027378385607961</v>
      </c>
      <c r="M92">
        <v>0.63841951527437157</v>
      </c>
      <c r="N92">
        <v>-0.35613083981227583</v>
      </c>
      <c r="O92">
        <v>-0.14726690842829837</v>
      </c>
      <c r="P92">
        <v>-0.17532954057216485</v>
      </c>
      <c r="Q92">
        <v>-0.60834584367589672</v>
      </c>
      <c r="R92">
        <v>0.50870125019833745</v>
      </c>
      <c r="S92">
        <v>1.1054354049895423E-2</v>
      </c>
      <c r="T92">
        <v>-0.9519463173053373</v>
      </c>
      <c r="U92">
        <v>3.3606696223580689E-3</v>
      </c>
      <c r="V92">
        <v>-0.13413191189830204</v>
      </c>
      <c r="W92">
        <v>-0.3447686313369111</v>
      </c>
      <c r="X92">
        <v>2.3883935683838634E-2</v>
      </c>
      <c r="Y92">
        <v>0.34552318317835484</v>
      </c>
      <c r="Z92">
        <v>-0.4748441023678312</v>
      </c>
      <c r="AA92">
        <v>2.1638606316688587</v>
      </c>
      <c r="AB92">
        <v>-0.87277416619788728</v>
      </c>
      <c r="AC92">
        <v>-0.13380354156501767</v>
      </c>
      <c r="AD92">
        <v>0.10044501356710193</v>
      </c>
      <c r="AE92">
        <v>0.45917361185802352</v>
      </c>
      <c r="AF92">
        <v>-0.3174673555186121</v>
      </c>
      <c r="AG92">
        <v>0.11712274672220591</v>
      </c>
      <c r="AH92">
        <v>0.13116686180241416</v>
      </c>
      <c r="AI92">
        <v>0.42044599913729563</v>
      </c>
      <c r="AJ92">
        <v>-0.48632102216854861</v>
      </c>
      <c r="AK92">
        <v>0.61157383451512526</v>
      </c>
      <c r="AL92">
        <v>-0.36931282078580885</v>
      </c>
      <c r="AM92">
        <v>-0.34195675659184305</v>
      </c>
      <c r="AN92">
        <v>0.1028644781532035</v>
      </c>
      <c r="AO92">
        <v>-0.33497401392194037</v>
      </c>
      <c r="AP92">
        <v>-0.21229799752599821</v>
      </c>
      <c r="AQ92">
        <v>0.15820548088594838</v>
      </c>
      <c r="AR92">
        <v>0.17996272437639585</v>
      </c>
      <c r="AS92">
        <v>-0.1858948325340955</v>
      </c>
      <c r="AT92">
        <v>-0.23105916095468038</v>
      </c>
      <c r="AU92">
        <v>0.12948682717135995</v>
      </c>
      <c r="AW92">
        <v>1.4710066728838651</v>
      </c>
    </row>
    <row r="93" spans="3:49" x14ac:dyDescent="0.2">
      <c r="C93" t="s">
        <v>25</v>
      </c>
      <c r="D93">
        <v>-0.93235603422391644</v>
      </c>
      <c r="E93">
        <v>0.21515054294089406</v>
      </c>
      <c r="F93">
        <v>0.47165411403964491</v>
      </c>
      <c r="G93">
        <v>0.15113628341421242</v>
      </c>
      <c r="H93">
        <v>-0.49883590550090184</v>
      </c>
      <c r="I93">
        <v>-6.3165998562302013E-3</v>
      </c>
      <c r="J93">
        <v>-0.83816272684567361</v>
      </c>
      <c r="K93">
        <v>-0.8221410824093055</v>
      </c>
      <c r="L93">
        <v>1.3153632813690932</v>
      </c>
      <c r="M93">
        <v>0.3462463321408577</v>
      </c>
      <c r="N93">
        <v>-0.45289564221508749</v>
      </c>
      <c r="O93">
        <v>0.62448201709035267</v>
      </c>
      <c r="P93">
        <v>-0.99737726527829762</v>
      </c>
      <c r="Q93">
        <v>0.60775682079115878</v>
      </c>
      <c r="R93">
        <v>-0.49950294415180535</v>
      </c>
      <c r="S93">
        <v>-0.39944784616364104</v>
      </c>
      <c r="T93">
        <v>0.62150911930497754</v>
      </c>
      <c r="U93">
        <v>0.6747639794739112</v>
      </c>
      <c r="V93">
        <v>-0.57620467254360719</v>
      </c>
      <c r="W93">
        <v>-0.60829762544385302</v>
      </c>
      <c r="X93">
        <v>1.0510236221470408</v>
      </c>
      <c r="Y93">
        <v>-0.98276799435672624</v>
      </c>
      <c r="Z93">
        <v>-0.73089744505694254</v>
      </c>
      <c r="AA93">
        <v>-0.87277416619788795</v>
      </c>
      <c r="AB93">
        <v>4.0507274359967127</v>
      </c>
      <c r="AC93">
        <v>6.2972512720698398E-2</v>
      </c>
      <c r="AD93">
        <v>-1.2221722717015122</v>
      </c>
      <c r="AE93">
        <v>0.1415883254695951</v>
      </c>
      <c r="AF93">
        <v>-0.97214483018108233</v>
      </c>
      <c r="AG93">
        <v>0.2518755741260385</v>
      </c>
      <c r="AH93">
        <v>-0.70565563188549885</v>
      </c>
      <c r="AI93">
        <v>-1.3741819316114715E-2</v>
      </c>
      <c r="AJ93">
        <v>0.32936485944082494</v>
      </c>
      <c r="AK93">
        <v>-0.93967697508717407</v>
      </c>
      <c r="AL93">
        <v>0.95892299793429403</v>
      </c>
      <c r="AM93">
        <v>0.37809590586635577</v>
      </c>
      <c r="AN93">
        <v>-0.30386585722073273</v>
      </c>
      <c r="AO93">
        <v>8.5866246351992428E-2</v>
      </c>
      <c r="AP93">
        <v>0.44184376436994754</v>
      </c>
      <c r="AQ93">
        <v>0.16936853216575051</v>
      </c>
      <c r="AR93">
        <v>0.60581501143673977</v>
      </c>
      <c r="AS93">
        <v>-3.6645635304468106E-2</v>
      </c>
      <c r="AT93">
        <v>4.4160378264465706E-2</v>
      </c>
      <c r="AU93">
        <v>9.0740095287511591E-2</v>
      </c>
      <c r="AW93">
        <v>2.012641904561443</v>
      </c>
    </row>
    <row r="94" spans="3:49" x14ac:dyDescent="0.2">
      <c r="C94" t="s">
        <v>26</v>
      </c>
      <c r="D94">
        <v>-0.35732479934921602</v>
      </c>
      <c r="E94">
        <v>0.90878918173124346</v>
      </c>
      <c r="F94">
        <v>-0.79731739321207018</v>
      </c>
      <c r="G94">
        <v>0.33250957896398076</v>
      </c>
      <c r="H94">
        <v>-1.1302753616508356</v>
      </c>
      <c r="I94">
        <v>1.0912418553668013</v>
      </c>
      <c r="J94">
        <v>-1.181492094592375</v>
      </c>
      <c r="K94">
        <v>-2.1354785018918605</v>
      </c>
      <c r="L94">
        <v>1.1886254251550219</v>
      </c>
      <c r="M94">
        <v>0.35708073171256083</v>
      </c>
      <c r="N94">
        <v>-0.28158647613875343</v>
      </c>
      <c r="O94">
        <v>-0.15832325205017531</v>
      </c>
      <c r="P94">
        <v>1.1105035684238704</v>
      </c>
      <c r="Q94">
        <v>1.385027251656078</v>
      </c>
      <c r="R94">
        <v>-0.7803442097602461</v>
      </c>
      <c r="S94">
        <v>-0.59918797755222597</v>
      </c>
      <c r="T94">
        <v>0.33883804321507283</v>
      </c>
      <c r="U94">
        <v>-1.1532030066570194</v>
      </c>
      <c r="V94">
        <v>0.24721657216355661</v>
      </c>
      <c r="W94">
        <v>0.15924547189357038</v>
      </c>
      <c r="X94">
        <v>-0.46978217253912502</v>
      </c>
      <c r="Y94">
        <v>-0.5130589435678421</v>
      </c>
      <c r="Z94">
        <v>-0.79421358622118843</v>
      </c>
      <c r="AA94">
        <v>-0.13380354156501703</v>
      </c>
      <c r="AB94">
        <v>6.2972512720699134E-2</v>
      </c>
      <c r="AC94">
        <v>4.6341450284129193</v>
      </c>
      <c r="AD94">
        <v>-2.0414721202339918</v>
      </c>
      <c r="AE94">
        <v>-0.47117157156411388</v>
      </c>
      <c r="AF94">
        <v>1.0004589033520404</v>
      </c>
      <c r="AG94">
        <v>-0.24726722063467879</v>
      </c>
      <c r="AH94">
        <v>-1.0918572430866511</v>
      </c>
      <c r="AI94">
        <v>0.48312153983547551</v>
      </c>
      <c r="AJ94">
        <v>0.93296080846346285</v>
      </c>
      <c r="AK94">
        <v>0.35673768312864423</v>
      </c>
      <c r="AL94">
        <v>-1.2438531258391574</v>
      </c>
      <c r="AM94">
        <v>-0.74355010935178523</v>
      </c>
      <c r="AN94">
        <v>-0.14112360408043298</v>
      </c>
      <c r="AO94">
        <v>-0.19840303404291881</v>
      </c>
      <c r="AP94">
        <v>0.8253793762933358</v>
      </c>
      <c r="AQ94">
        <v>-0.502948657653433</v>
      </c>
      <c r="AR94">
        <v>0.66610979336385712</v>
      </c>
      <c r="AS94">
        <v>1.7263919307390232</v>
      </c>
      <c r="AT94">
        <v>-0.23788522067404519</v>
      </c>
      <c r="AU94">
        <v>-0.13388813724862117</v>
      </c>
      <c r="AW94">
        <v>2.152706442693225</v>
      </c>
    </row>
    <row r="95" spans="3:49" x14ac:dyDescent="0.2">
      <c r="C95" t="s">
        <v>27</v>
      </c>
      <c r="D95">
        <v>0.65551907918055985</v>
      </c>
      <c r="E95">
        <v>-0.71254288518129427</v>
      </c>
      <c r="F95">
        <v>0.63418435183436173</v>
      </c>
      <c r="G95">
        <v>-0.52334780322196217</v>
      </c>
      <c r="H95">
        <v>0.73970473052114893</v>
      </c>
      <c r="I95">
        <v>-1.4014390966823742</v>
      </c>
      <c r="J95">
        <v>0.89227930268361233</v>
      </c>
      <c r="K95">
        <v>2.1952070826430354</v>
      </c>
      <c r="L95">
        <v>-1.542620820394933</v>
      </c>
      <c r="M95">
        <v>-1.3548438817025221</v>
      </c>
      <c r="N95">
        <v>0.56881800600378629</v>
      </c>
      <c r="O95">
        <v>0.70573811426482769</v>
      </c>
      <c r="P95">
        <v>-1.0289623773050951</v>
      </c>
      <c r="Q95">
        <v>-0.56971686368707142</v>
      </c>
      <c r="R95">
        <v>-0.16637239526216213</v>
      </c>
      <c r="S95">
        <v>0.7926688855345384</v>
      </c>
      <c r="T95">
        <v>-0.19666733222628321</v>
      </c>
      <c r="U95">
        <v>0.57392648046163164</v>
      </c>
      <c r="V95">
        <v>-5.7180862304726049E-2</v>
      </c>
      <c r="W95">
        <v>0.46760290801272214</v>
      </c>
      <c r="X95">
        <v>-1.6670102147092525</v>
      </c>
      <c r="Y95">
        <v>0.19719011337175799</v>
      </c>
      <c r="Z95">
        <v>0.45596649321031801</v>
      </c>
      <c r="AA95">
        <v>0.1004450135671015</v>
      </c>
      <c r="AB95">
        <v>-1.2221722717015109</v>
      </c>
      <c r="AC95">
        <v>-2.0414721202339909</v>
      </c>
      <c r="AD95">
        <v>5.3375566237885774</v>
      </c>
      <c r="AE95">
        <v>-0.48443000791906382</v>
      </c>
      <c r="AF95">
        <v>-0.31531445228405935</v>
      </c>
      <c r="AG95">
        <v>-0.11146515260282243</v>
      </c>
      <c r="AH95">
        <v>0.24656281446125239</v>
      </c>
      <c r="AI95">
        <v>0.30888834775158813</v>
      </c>
      <c r="AJ95">
        <v>-1.1182869882844491</v>
      </c>
      <c r="AK95">
        <v>0.5346561498549729</v>
      </c>
      <c r="AL95">
        <v>-0.44915613995849241</v>
      </c>
      <c r="AM95">
        <v>-0.42655531559694643</v>
      </c>
      <c r="AN95">
        <v>0.57892420969240876</v>
      </c>
      <c r="AO95">
        <v>-0.45478352386105614</v>
      </c>
      <c r="AP95">
        <v>-0.56501392484841062</v>
      </c>
      <c r="AQ95">
        <v>1.1503827167938903</v>
      </c>
      <c r="AR95">
        <v>-0.78024010313348124</v>
      </c>
      <c r="AS95">
        <v>-1.63936575152635</v>
      </c>
      <c r="AT95">
        <v>0.620785967542267</v>
      </c>
      <c r="AU95">
        <v>-0.14793757354429776</v>
      </c>
      <c r="AW95">
        <v>2.3103152650208969</v>
      </c>
    </row>
    <row r="96" spans="3:49" x14ac:dyDescent="0.2">
      <c r="C96" t="s">
        <v>28</v>
      </c>
      <c r="D96">
        <v>5.9520824593826467E-2</v>
      </c>
      <c r="E96">
        <v>0.27743135849798006</v>
      </c>
      <c r="F96">
        <v>0.20248605386892926</v>
      </c>
      <c r="G96">
        <v>-0.88680115488260813</v>
      </c>
      <c r="H96">
        <v>-0.56418292044043572</v>
      </c>
      <c r="I96">
        <v>1.2824898841526624</v>
      </c>
      <c r="J96">
        <v>-0.60516543103738296</v>
      </c>
      <c r="K96">
        <v>-6.6805468484682592E-2</v>
      </c>
      <c r="L96">
        <v>-0.76408496155014605</v>
      </c>
      <c r="M96">
        <v>-0.82926481997374113</v>
      </c>
      <c r="N96">
        <v>-0.46662335235843472</v>
      </c>
      <c r="O96">
        <v>-0.16229603784419225</v>
      </c>
      <c r="P96">
        <v>0.68822732570972545</v>
      </c>
      <c r="Q96">
        <v>-0.69757212903630927</v>
      </c>
      <c r="R96">
        <v>0.56842173400818463</v>
      </c>
      <c r="S96">
        <v>-0.20278041328641153</v>
      </c>
      <c r="T96">
        <v>-0.77059865374127368</v>
      </c>
      <c r="U96">
        <v>-0.1556795561050256</v>
      </c>
      <c r="V96">
        <v>0.95705845004716028</v>
      </c>
      <c r="W96">
        <v>-0.47500547335447096</v>
      </c>
      <c r="X96">
        <v>-0.99195181253645448</v>
      </c>
      <c r="Y96">
        <v>-6.0184619525536186E-2</v>
      </c>
      <c r="Z96">
        <v>0.7166231336621568</v>
      </c>
      <c r="AA96">
        <v>0.45917361185802286</v>
      </c>
      <c r="AB96">
        <v>0.14158832546959296</v>
      </c>
      <c r="AC96">
        <v>-0.47117157156411632</v>
      </c>
      <c r="AD96">
        <v>-0.48443000791905699</v>
      </c>
      <c r="AE96">
        <v>4.976563213887168</v>
      </c>
      <c r="AF96">
        <v>-2.3028336793792823</v>
      </c>
      <c r="AG96">
        <v>0.20274446274883451</v>
      </c>
      <c r="AH96">
        <v>-1.1039696844745366</v>
      </c>
      <c r="AI96">
        <v>0.42149849097533437</v>
      </c>
      <c r="AJ96">
        <v>0.38770520584177298</v>
      </c>
      <c r="AK96">
        <v>0.42925232143963654</v>
      </c>
      <c r="AL96">
        <v>-9.1017397652963627E-2</v>
      </c>
      <c r="AM96">
        <v>-0.82270259290849213</v>
      </c>
      <c r="AN96">
        <v>0.61141556850888545</v>
      </c>
      <c r="AO96">
        <v>0.89559315527619932</v>
      </c>
      <c r="AP96">
        <v>4.4269676793018617E-2</v>
      </c>
      <c r="AQ96">
        <v>-0.81684965422657718</v>
      </c>
      <c r="AR96">
        <v>-0.15841143567870736</v>
      </c>
      <c r="AS96">
        <v>0.39558628316894517</v>
      </c>
      <c r="AT96">
        <v>-0.50728097801080096</v>
      </c>
      <c r="AU96">
        <v>-1.2418802164875856E-2</v>
      </c>
      <c r="AW96">
        <v>2.2308211972023146</v>
      </c>
    </row>
    <row r="97" spans="3:49" x14ac:dyDescent="0.2">
      <c r="C97" t="s">
        <v>29</v>
      </c>
      <c r="D97">
        <v>0.55378092457457417</v>
      </c>
      <c r="E97">
        <v>-0.55271471385097282</v>
      </c>
      <c r="F97">
        <v>-0.54409926783830342</v>
      </c>
      <c r="G97">
        <v>0.94381500614538849</v>
      </c>
      <c r="H97">
        <v>0.1169805858093237</v>
      </c>
      <c r="I97">
        <v>-1.737208161119159</v>
      </c>
      <c r="J97">
        <v>0.52633305460007318</v>
      </c>
      <c r="K97">
        <v>0.24203886569102345</v>
      </c>
      <c r="L97">
        <v>-0.13561522225943759</v>
      </c>
      <c r="M97">
        <v>0.10541163519826646</v>
      </c>
      <c r="N97">
        <v>-0.17266289846180347</v>
      </c>
      <c r="O97">
        <v>-0.67610598268730171</v>
      </c>
      <c r="P97">
        <v>0.93061034374723783</v>
      </c>
      <c r="Q97">
        <v>0.62300246285266025</v>
      </c>
      <c r="R97">
        <v>-1.3187365223922105</v>
      </c>
      <c r="S97">
        <v>0.49405112794437184</v>
      </c>
      <c r="T97">
        <v>0.81346861066454057</v>
      </c>
      <c r="U97">
        <v>-1.1037210162599742</v>
      </c>
      <c r="V97">
        <v>0.57590854997228846</v>
      </c>
      <c r="W97">
        <v>0.75531951922014839</v>
      </c>
      <c r="X97">
        <v>-0.41520931362967289</v>
      </c>
      <c r="Y97">
        <v>0.6234572719064464</v>
      </c>
      <c r="Z97">
        <v>-0.75968609812491761</v>
      </c>
      <c r="AA97">
        <v>-0.31746735551861194</v>
      </c>
      <c r="AB97">
        <v>-0.97214483018107944</v>
      </c>
      <c r="AC97">
        <v>1.0004589033520424</v>
      </c>
      <c r="AD97">
        <v>-0.31531445228406307</v>
      </c>
      <c r="AE97">
        <v>-2.3028336793792814</v>
      </c>
      <c r="AF97">
        <v>4.6676469136409979</v>
      </c>
      <c r="AG97">
        <v>-1.4464380385282096</v>
      </c>
      <c r="AH97">
        <v>1.0043163587886146</v>
      </c>
      <c r="AI97">
        <v>-0.53951466947212678</v>
      </c>
      <c r="AJ97">
        <v>8.9075469927955286E-2</v>
      </c>
      <c r="AK97">
        <v>0.81658851261955334</v>
      </c>
      <c r="AL97">
        <v>-1.7102550219781085</v>
      </c>
      <c r="AM97">
        <v>0.32893812232923469</v>
      </c>
      <c r="AN97">
        <v>4.8566563073953649E-2</v>
      </c>
      <c r="AO97">
        <v>-0.6314966458338771</v>
      </c>
      <c r="AP97">
        <v>-0.13034684792791384</v>
      </c>
      <c r="AQ97">
        <v>5.1853508232700206E-2</v>
      </c>
      <c r="AR97">
        <v>1.0200565056500561</v>
      </c>
      <c r="AS97">
        <v>-0.11392006879783853</v>
      </c>
      <c r="AT97">
        <v>0.94234143340766963</v>
      </c>
      <c r="AU97">
        <v>-0.89025213664917002</v>
      </c>
      <c r="AW97">
        <v>2.1604737706440682</v>
      </c>
    </row>
    <row r="98" spans="3:49" x14ac:dyDescent="0.2">
      <c r="C98" t="s">
        <v>30</v>
      </c>
      <c r="D98">
        <v>-0.21222371908036319</v>
      </c>
      <c r="E98">
        <v>1.5153047917456046</v>
      </c>
      <c r="F98">
        <v>0.79962141501581452</v>
      </c>
      <c r="G98">
        <v>-0.92025469065647747</v>
      </c>
      <c r="H98">
        <v>0.53884345444194925</v>
      </c>
      <c r="I98">
        <v>0.8939475471778453</v>
      </c>
      <c r="J98">
        <v>-0.81288691723021811</v>
      </c>
      <c r="K98">
        <v>-0.96202541685827325</v>
      </c>
      <c r="L98">
        <v>-0.2316374040668574</v>
      </c>
      <c r="M98">
        <v>1.4773386953061767</v>
      </c>
      <c r="N98">
        <v>5.2021341412387803E-2</v>
      </c>
      <c r="O98">
        <v>0.95995865232854627</v>
      </c>
      <c r="P98">
        <v>-1.0452443897828707</v>
      </c>
      <c r="Q98">
        <v>-1.4434993364003076E-2</v>
      </c>
      <c r="R98">
        <v>-0.38032000052535775</v>
      </c>
      <c r="S98">
        <v>-0.38030943363618508</v>
      </c>
      <c r="T98">
        <v>-0.37023614767991042</v>
      </c>
      <c r="U98">
        <v>0.24493218499844344</v>
      </c>
      <c r="V98">
        <v>-0.45332130668178883</v>
      </c>
      <c r="W98">
        <v>-0.19101297439928952</v>
      </c>
      <c r="X98">
        <v>-0.14287478663641656</v>
      </c>
      <c r="Y98">
        <v>-0.69768551852439342</v>
      </c>
      <c r="Z98">
        <v>0.32513186019553603</v>
      </c>
      <c r="AA98">
        <v>0.11712274672220607</v>
      </c>
      <c r="AB98">
        <v>0.251875574126038</v>
      </c>
      <c r="AC98">
        <v>-0.24726722063467874</v>
      </c>
      <c r="AD98">
        <v>-0.11146515260282265</v>
      </c>
      <c r="AE98">
        <v>0.20274446274883529</v>
      </c>
      <c r="AF98">
        <v>-1.4464380385282112</v>
      </c>
      <c r="AG98">
        <v>3.365566829012685</v>
      </c>
      <c r="AH98">
        <v>-0.620461750930831</v>
      </c>
      <c r="AI98">
        <v>1.0759861558610742</v>
      </c>
      <c r="AJ98">
        <v>-0.90948901688755601</v>
      </c>
      <c r="AK98">
        <v>0.80821466419680466</v>
      </c>
      <c r="AL98">
        <v>0.54718405507005707</v>
      </c>
      <c r="AM98">
        <v>-0.51349836729860521</v>
      </c>
      <c r="AN98">
        <v>-4.6754959129977729E-2</v>
      </c>
      <c r="AO98">
        <v>0.76799728944298595</v>
      </c>
      <c r="AP98">
        <v>-0.80731270133490529</v>
      </c>
      <c r="AQ98">
        <v>0.25408993418322673</v>
      </c>
      <c r="AR98">
        <v>-0.24004704500945281</v>
      </c>
      <c r="AS98">
        <v>-0.95707503760952317</v>
      </c>
      <c r="AT98">
        <v>-0.25157349997670447</v>
      </c>
      <c r="AU98">
        <v>-0.37329439955835142</v>
      </c>
      <c r="AW98">
        <v>1.8345481266548134</v>
      </c>
    </row>
    <row r="99" spans="3:49" x14ac:dyDescent="0.2">
      <c r="C99" t="s">
        <v>31</v>
      </c>
      <c r="D99">
        <v>0.4456813610487842</v>
      </c>
      <c r="E99">
        <v>-0.35237561150098312</v>
      </c>
      <c r="F99">
        <v>-0.38928795006818273</v>
      </c>
      <c r="G99">
        <v>-0.27901039309940001</v>
      </c>
      <c r="H99">
        <v>1.6850300907226849</v>
      </c>
      <c r="I99">
        <v>-0.28458497320642562</v>
      </c>
      <c r="J99">
        <v>1.7140640781191314</v>
      </c>
      <c r="K99">
        <v>0.4392750094752349</v>
      </c>
      <c r="L99">
        <v>-1.1307805308058783</v>
      </c>
      <c r="M99">
        <v>9.0607325336780654E-3</v>
      </c>
      <c r="N99">
        <v>0.71560303117716284</v>
      </c>
      <c r="O99">
        <v>-0.17027418362289354</v>
      </c>
      <c r="P99">
        <v>-1.0566063592292219</v>
      </c>
      <c r="Q99">
        <v>-1.5167948940954707</v>
      </c>
      <c r="R99">
        <v>1.1880645494134139</v>
      </c>
      <c r="S99">
        <v>0.14697535511779292</v>
      </c>
      <c r="T99">
        <v>0.13971916930638634</v>
      </c>
      <c r="U99">
        <v>-0.22903898031205641</v>
      </c>
      <c r="V99">
        <v>0.45604405133744186</v>
      </c>
      <c r="W99">
        <v>8.0753764235220377E-2</v>
      </c>
      <c r="X99">
        <v>0.22156228329483352</v>
      </c>
      <c r="Y99">
        <v>0.77049050187355217</v>
      </c>
      <c r="Z99">
        <v>-0.6524518808993377</v>
      </c>
      <c r="AA99">
        <v>0.13116686180241421</v>
      </c>
      <c r="AB99">
        <v>-0.70565563188549807</v>
      </c>
      <c r="AC99">
        <v>-1.0918572430866513</v>
      </c>
      <c r="AD99">
        <v>0.24656281446125275</v>
      </c>
      <c r="AE99">
        <v>-1.103969684474535</v>
      </c>
      <c r="AF99">
        <v>1.0043163587886159</v>
      </c>
      <c r="AG99">
        <v>-0.62046175093083134</v>
      </c>
      <c r="AH99">
        <v>3.817808013476351</v>
      </c>
      <c r="AI99">
        <v>-2.0184942141769806</v>
      </c>
      <c r="AJ99">
        <v>-0.19450360331817185</v>
      </c>
      <c r="AK99">
        <v>-0.89747189673634853</v>
      </c>
      <c r="AL99">
        <v>-0.47742325331958835</v>
      </c>
      <c r="AM99">
        <v>1.1941864984022943</v>
      </c>
      <c r="AN99">
        <v>-0.76481336372850117</v>
      </c>
      <c r="AO99">
        <v>-0.68160651410065054</v>
      </c>
      <c r="AP99">
        <v>-0.49556482369243088</v>
      </c>
      <c r="AQ99">
        <v>0.45477545594869079</v>
      </c>
      <c r="AR99">
        <v>0.22614558415463859</v>
      </c>
      <c r="AS99">
        <v>-0.6658655175200503</v>
      </c>
      <c r="AT99">
        <v>0.86742489815480073</v>
      </c>
      <c r="AU99">
        <v>4.5499548635365879E-2</v>
      </c>
      <c r="AW99">
        <v>1.9539211891671453</v>
      </c>
    </row>
    <row r="100" spans="3:49" x14ac:dyDescent="0.2">
      <c r="C100" t="s">
        <v>32</v>
      </c>
      <c r="D100">
        <v>-0.48147077067352334</v>
      </c>
      <c r="E100">
        <v>0.27905258303636088</v>
      </c>
      <c r="F100">
        <v>0.57936515451006276</v>
      </c>
      <c r="G100">
        <v>8.798815208402453E-3</v>
      </c>
      <c r="H100">
        <v>-1.112180927928583</v>
      </c>
      <c r="I100">
        <v>5.2513470637620976E-2</v>
      </c>
      <c r="J100">
        <v>-1.755435497959178</v>
      </c>
      <c r="K100">
        <v>-0.41840455273468274</v>
      </c>
      <c r="L100">
        <v>0.32998326377938569</v>
      </c>
      <c r="M100">
        <v>0.2911644645682584</v>
      </c>
      <c r="N100">
        <v>0.80565848325328837</v>
      </c>
      <c r="O100">
        <v>0.68495688282459788</v>
      </c>
      <c r="P100">
        <v>0.35548602534599738</v>
      </c>
      <c r="Q100">
        <v>0.42383059534543399</v>
      </c>
      <c r="R100">
        <v>-0.97620698163714181</v>
      </c>
      <c r="S100">
        <v>-0.66008513163876159</v>
      </c>
      <c r="T100">
        <v>-0.22717652688776188</v>
      </c>
      <c r="U100">
        <v>-0.31254304610837669</v>
      </c>
      <c r="V100">
        <v>-0.48622370231789747</v>
      </c>
      <c r="W100">
        <v>-0.18068978938454944</v>
      </c>
      <c r="X100">
        <v>-1.5301093939062027</v>
      </c>
      <c r="Y100">
        <v>2.1791700141133893E-2</v>
      </c>
      <c r="Z100">
        <v>5.5026268476655198E-2</v>
      </c>
      <c r="AA100">
        <v>0.42044599913729552</v>
      </c>
      <c r="AB100">
        <v>-1.374181931611422E-2</v>
      </c>
      <c r="AC100">
        <v>0.48312153983547579</v>
      </c>
      <c r="AD100">
        <v>0.30888834775158697</v>
      </c>
      <c r="AE100">
        <v>0.42149849097533371</v>
      </c>
      <c r="AF100">
        <v>-0.53951466947212612</v>
      </c>
      <c r="AG100">
        <v>1.0759861558610733</v>
      </c>
      <c r="AH100">
        <v>-2.0184942141769806</v>
      </c>
      <c r="AI100">
        <v>5.0663630531799075</v>
      </c>
      <c r="AJ100">
        <v>-1.7466859908612726</v>
      </c>
      <c r="AK100">
        <v>2.097706166632161</v>
      </c>
      <c r="AL100">
        <v>-0.13577715968281429</v>
      </c>
      <c r="AM100">
        <v>-2.0310837528969512</v>
      </c>
      <c r="AN100">
        <v>1.5387152545583134</v>
      </c>
      <c r="AO100">
        <v>-0.41241710454024022</v>
      </c>
      <c r="AP100">
        <v>1.6584743921594081</v>
      </c>
      <c r="AQ100">
        <v>-0.44983228662369612</v>
      </c>
      <c r="AR100">
        <v>-0.56505841802340184</v>
      </c>
      <c r="AS100">
        <v>-1.3223297374440155</v>
      </c>
      <c r="AT100">
        <v>-0.23693350961116413</v>
      </c>
      <c r="AU100">
        <v>3.7547726943699455E-2</v>
      </c>
      <c r="AW100">
        <v>2.2508582925586205</v>
      </c>
    </row>
    <row r="101" spans="3:49" x14ac:dyDescent="0.2">
      <c r="C101" t="s">
        <v>33</v>
      </c>
      <c r="D101">
        <v>-0.51352879892155656</v>
      </c>
      <c r="E101">
        <v>-0.21687499543971112</v>
      </c>
      <c r="F101">
        <v>-0.32395276715852894</v>
      </c>
      <c r="G101">
        <v>-0.466811324342434</v>
      </c>
      <c r="H101">
        <v>-0.87239023953980954</v>
      </c>
      <c r="I101">
        <v>1.2270388809688355</v>
      </c>
      <c r="J101">
        <v>-0.40061900422099511</v>
      </c>
      <c r="K101">
        <v>0.4868511253252007</v>
      </c>
      <c r="L101">
        <v>0.49802199414207216</v>
      </c>
      <c r="M101">
        <v>-1.0484154380717363</v>
      </c>
      <c r="N101">
        <v>-0.63730306211385768</v>
      </c>
      <c r="O101">
        <v>-0.93479961723926641</v>
      </c>
      <c r="P101">
        <v>0.72531319185545107</v>
      </c>
      <c r="Q101">
        <v>-9.2819475846011787E-3</v>
      </c>
      <c r="R101">
        <v>0.76803512654064321</v>
      </c>
      <c r="S101">
        <v>0.36299204812901936</v>
      </c>
      <c r="T101">
        <v>-1.8833500115844188E-3</v>
      </c>
      <c r="U101">
        <v>0.19310691470611074</v>
      </c>
      <c r="V101">
        <v>-6.3971919418419093E-2</v>
      </c>
      <c r="W101">
        <v>-0.55534757141527702</v>
      </c>
      <c r="X101">
        <v>1.9570418587937202</v>
      </c>
      <c r="Y101">
        <v>-0.48363246623829392</v>
      </c>
      <c r="Z101">
        <v>0.18007641563298854</v>
      </c>
      <c r="AA101">
        <v>-0.48632102216854822</v>
      </c>
      <c r="AB101">
        <v>0.32936485944082411</v>
      </c>
      <c r="AC101">
        <v>0.93296080846346241</v>
      </c>
      <c r="AD101">
        <v>-1.1182869882844479</v>
      </c>
      <c r="AE101">
        <v>0.38770520584177393</v>
      </c>
      <c r="AF101">
        <v>8.9075469927953718E-2</v>
      </c>
      <c r="AG101">
        <v>-0.90948901688755523</v>
      </c>
      <c r="AH101">
        <v>-0.19450360331817146</v>
      </c>
      <c r="AI101">
        <v>-1.7466859908612713</v>
      </c>
      <c r="AJ101">
        <v>3.9255656052343268</v>
      </c>
      <c r="AK101">
        <v>-2.7286210324214237</v>
      </c>
      <c r="AL101">
        <v>0.43488994501308853</v>
      </c>
      <c r="AM101">
        <v>0.9876699501000179</v>
      </c>
      <c r="AN101">
        <v>-0.66677735686953443</v>
      </c>
      <c r="AO101">
        <v>-0.26511244133834355</v>
      </c>
      <c r="AP101">
        <v>-9.6301454565163064E-2</v>
      </c>
      <c r="AQ101">
        <v>-0.22918946353493358</v>
      </c>
      <c r="AR101">
        <v>0.89480835072267451</v>
      </c>
      <c r="AS101">
        <v>2.8285444426662516</v>
      </c>
      <c r="AT101">
        <v>-0.99536983360503084</v>
      </c>
      <c r="AU101">
        <v>8.6093724851611389E-2</v>
      </c>
      <c r="AW101">
        <v>1.9813040163574915</v>
      </c>
    </row>
    <row r="102" spans="3:49" x14ac:dyDescent="0.2">
      <c r="C102" t="s">
        <v>34</v>
      </c>
      <c r="D102">
        <v>1.2721946603970145</v>
      </c>
      <c r="E102">
        <v>0.35518808501325905</v>
      </c>
      <c r="F102">
        <v>-0.10721887986857076</v>
      </c>
      <c r="G102">
        <v>0.38826400329297289</v>
      </c>
      <c r="H102">
        <v>-0.17176524772201307</v>
      </c>
      <c r="I102">
        <v>-0.85066805949694901</v>
      </c>
      <c r="J102">
        <v>-0.47164642814801622</v>
      </c>
      <c r="K102">
        <v>-2.5314790560226008</v>
      </c>
      <c r="L102">
        <v>0.83196797275394896</v>
      </c>
      <c r="M102">
        <v>1.0995656727979588</v>
      </c>
      <c r="N102">
        <v>0.82348484708793124</v>
      </c>
      <c r="O102">
        <v>0.26230209075294048</v>
      </c>
      <c r="P102">
        <v>0.92314279530336607</v>
      </c>
      <c r="Q102">
        <v>0.55897992228497351</v>
      </c>
      <c r="R102">
        <v>-2.8051403115676035</v>
      </c>
      <c r="S102">
        <v>-1.0225519315063962</v>
      </c>
      <c r="T102">
        <v>0.66227479228739916</v>
      </c>
      <c r="U102">
        <v>-1.0345072196821314</v>
      </c>
      <c r="V102">
        <v>0.63884496250753464</v>
      </c>
      <c r="W102">
        <v>1.0307711108416557</v>
      </c>
      <c r="X102">
        <v>-3.0276262082539174</v>
      </c>
      <c r="Y102">
        <v>0.48777120871512475</v>
      </c>
      <c r="Z102">
        <v>0.33469984522814489</v>
      </c>
      <c r="AA102">
        <v>0.61157383451512481</v>
      </c>
      <c r="AB102">
        <v>-0.93967697508717363</v>
      </c>
      <c r="AC102">
        <v>0.35673768312864579</v>
      </c>
      <c r="AD102">
        <v>0.53465614985497034</v>
      </c>
      <c r="AE102">
        <v>0.42925232143963643</v>
      </c>
      <c r="AF102">
        <v>0.81658851261955545</v>
      </c>
      <c r="AG102">
        <v>0.80821466419680332</v>
      </c>
      <c r="AH102">
        <v>-0.89747189673634897</v>
      </c>
      <c r="AI102">
        <v>2.0977061666321579</v>
      </c>
      <c r="AJ102">
        <v>-2.7286210324214215</v>
      </c>
      <c r="AK102">
        <v>7.5013045091614394</v>
      </c>
      <c r="AL102">
        <v>-4.0456069727113375</v>
      </c>
      <c r="AM102">
        <v>-2.8518990019423009</v>
      </c>
      <c r="AN102">
        <v>1.4203175404636323</v>
      </c>
      <c r="AO102">
        <v>1.0405085298893839</v>
      </c>
      <c r="AP102">
        <v>-0.3286782460525654</v>
      </c>
      <c r="AQ102">
        <v>-0.77232588502820476</v>
      </c>
      <c r="AR102">
        <v>-0.18388108810576154</v>
      </c>
      <c r="AS102">
        <v>-2.670667501465394</v>
      </c>
      <c r="AT102">
        <v>0.75462542642416497</v>
      </c>
      <c r="AU102">
        <v>9.0364065893555057E-2</v>
      </c>
      <c r="AW102">
        <v>2.7388509468683102</v>
      </c>
    </row>
    <row r="103" spans="3:49" x14ac:dyDescent="0.2">
      <c r="C103" t="s">
        <v>35</v>
      </c>
      <c r="D103">
        <v>-1.2088457195979538</v>
      </c>
      <c r="E103">
        <v>0.84997763188689368</v>
      </c>
      <c r="F103">
        <v>0.89617006901021301</v>
      </c>
      <c r="G103">
        <v>-0.29357223092487217</v>
      </c>
      <c r="H103">
        <v>-0.53543388701584227</v>
      </c>
      <c r="I103">
        <v>1.0502921176759541</v>
      </c>
      <c r="J103">
        <v>-0.32579620834455653</v>
      </c>
      <c r="K103">
        <v>1.1653832591018987</v>
      </c>
      <c r="L103">
        <v>-0.37355966190670753</v>
      </c>
      <c r="M103">
        <v>0.20532293960476425</v>
      </c>
      <c r="N103">
        <v>-1.4178292147328175</v>
      </c>
      <c r="O103">
        <v>0.38821721662407804</v>
      </c>
      <c r="P103">
        <v>-0.95277554798452357</v>
      </c>
      <c r="Q103">
        <v>1.1473969417128489</v>
      </c>
      <c r="R103">
        <v>1.3340182770930218</v>
      </c>
      <c r="S103">
        <v>-0.18763010030564703</v>
      </c>
      <c r="T103">
        <v>-1.2523780206407615</v>
      </c>
      <c r="U103">
        <v>1.5943244106353229</v>
      </c>
      <c r="V103">
        <v>-1.175290734476669</v>
      </c>
      <c r="W103">
        <v>-1.124485992064141</v>
      </c>
      <c r="X103">
        <v>2.756321031208171</v>
      </c>
      <c r="Y103">
        <v>-0.98807731281172551</v>
      </c>
      <c r="Z103">
        <v>0.62563934884558947</v>
      </c>
      <c r="AA103">
        <v>-0.36931282078580896</v>
      </c>
      <c r="AB103">
        <v>0.95892299793429303</v>
      </c>
      <c r="AC103">
        <v>-1.2438531258391567</v>
      </c>
      <c r="AD103">
        <v>-0.44915613995849235</v>
      </c>
      <c r="AE103">
        <v>-9.1017397652963725E-2</v>
      </c>
      <c r="AF103">
        <v>-1.7102550219781094</v>
      </c>
      <c r="AG103">
        <v>0.54718405507005707</v>
      </c>
      <c r="AH103">
        <v>-0.47742325331958702</v>
      </c>
      <c r="AI103">
        <v>-0.13577715968281304</v>
      </c>
      <c r="AJ103">
        <v>0.43488994501308786</v>
      </c>
      <c r="AK103">
        <v>-4.0456069727113348</v>
      </c>
      <c r="AL103">
        <v>6.1532220946241853</v>
      </c>
      <c r="AM103">
        <v>1.2052677639371756</v>
      </c>
      <c r="AN103">
        <v>-0.70987152124237041</v>
      </c>
      <c r="AO103">
        <v>-0.28729944812478925</v>
      </c>
      <c r="AP103">
        <v>0.31288947248758359</v>
      </c>
      <c r="AQ103">
        <v>6.6485348730382379E-2</v>
      </c>
      <c r="AR103">
        <v>-0.79340279413117809</v>
      </c>
      <c r="AS103">
        <v>0.66418498408942661</v>
      </c>
      <c r="AT103">
        <v>-0.41156179817191962</v>
      </c>
      <c r="AU103">
        <v>-0.55707911421951462</v>
      </c>
      <c r="AW103">
        <v>2.480568905437659</v>
      </c>
    </row>
    <row r="104" spans="3:49" x14ac:dyDescent="0.2">
      <c r="C104" t="s">
        <v>36</v>
      </c>
      <c r="D104">
        <v>-0.24935130601915115</v>
      </c>
      <c r="E104">
        <v>-0.64126702802266677</v>
      </c>
      <c r="F104">
        <v>0.1184004936245648</v>
      </c>
      <c r="G104">
        <v>-0.90395271675127453</v>
      </c>
      <c r="H104">
        <v>1.2646247079884014</v>
      </c>
      <c r="I104">
        <v>-0.58681785721181312</v>
      </c>
      <c r="J104">
        <v>1.1304671055999707</v>
      </c>
      <c r="K104">
        <v>2.6967626684241837</v>
      </c>
      <c r="L104">
        <v>-2.5259671632831195</v>
      </c>
      <c r="M104">
        <v>0.89711899148237995</v>
      </c>
      <c r="N104">
        <v>-0.33070115855290977</v>
      </c>
      <c r="O104">
        <v>-1.9926487378393707</v>
      </c>
      <c r="P104">
        <v>-0.2234658389765844</v>
      </c>
      <c r="Q104">
        <v>-0.69182711481953152</v>
      </c>
      <c r="R104">
        <v>1.992892650438532</v>
      </c>
      <c r="S104">
        <v>0.74477805705804045</v>
      </c>
      <c r="T104">
        <v>-0.81588337722457149</v>
      </c>
      <c r="U104">
        <v>0.54835369936696166</v>
      </c>
      <c r="V104">
        <v>9.3269977677572544E-2</v>
      </c>
      <c r="W104">
        <v>-1.3398592105467015</v>
      </c>
      <c r="X104">
        <v>2.6149795171152386</v>
      </c>
      <c r="Y104">
        <v>0.4459015671340863</v>
      </c>
      <c r="Z104">
        <v>-0.22901519346018975</v>
      </c>
      <c r="AA104">
        <v>-0.34195675659184144</v>
      </c>
      <c r="AB104">
        <v>0.37809590586635478</v>
      </c>
      <c r="AC104">
        <v>-0.743550109351785</v>
      </c>
      <c r="AD104">
        <v>-0.42655531559694554</v>
      </c>
      <c r="AE104">
        <v>-0.82270259290849135</v>
      </c>
      <c r="AF104">
        <v>0.32893812232923647</v>
      </c>
      <c r="AG104">
        <v>-0.51349836729860499</v>
      </c>
      <c r="AH104">
        <v>1.1941864984022943</v>
      </c>
      <c r="AI104">
        <v>-2.031083752896949</v>
      </c>
      <c r="AJ104">
        <v>0.98766995010001679</v>
      </c>
      <c r="AK104">
        <v>-2.8518990019422983</v>
      </c>
      <c r="AL104">
        <v>1.2052677639371736</v>
      </c>
      <c r="AM104">
        <v>5.271932468323798</v>
      </c>
      <c r="AN104">
        <v>-2.1297696341134182</v>
      </c>
      <c r="AO104">
        <v>-0.42580775681250521</v>
      </c>
      <c r="AP104">
        <v>-0.46362577175617192</v>
      </c>
      <c r="AQ104">
        <v>0.86900755401324825</v>
      </c>
      <c r="AR104">
        <v>-0.56922088436086471</v>
      </c>
      <c r="AS104">
        <v>0.47848279112774</v>
      </c>
      <c r="AT104">
        <v>0.64086638239460525</v>
      </c>
      <c r="AU104">
        <v>-0.91716200894670163</v>
      </c>
      <c r="AW104">
        <v>2.2960689162836116</v>
      </c>
    </row>
    <row r="105" spans="3:49" x14ac:dyDescent="0.2">
      <c r="C105" t="s">
        <v>37</v>
      </c>
      <c r="D105">
        <v>-0.34738567901047601</v>
      </c>
      <c r="E105">
        <v>-0.20662832441109014</v>
      </c>
      <c r="F105">
        <v>-0.21683271819317851</v>
      </c>
      <c r="G105">
        <v>0.42400691279612451</v>
      </c>
      <c r="H105">
        <v>-0.99707430837850053</v>
      </c>
      <c r="I105">
        <v>-0.69566645660102511</v>
      </c>
      <c r="J105">
        <v>9.2709247970478623E-2</v>
      </c>
      <c r="K105">
        <v>-0.54110053861801766</v>
      </c>
      <c r="L105">
        <v>0.57906169830934784</v>
      </c>
      <c r="M105">
        <v>-0.25838678543141103</v>
      </c>
      <c r="N105">
        <v>-0.10618334089194155</v>
      </c>
      <c r="O105">
        <v>0.86876785033479098</v>
      </c>
      <c r="P105">
        <v>1.1358473672262055</v>
      </c>
      <c r="Q105">
        <v>-0.61351417180231949</v>
      </c>
      <c r="R105">
        <v>-0.58739743346714057</v>
      </c>
      <c r="S105">
        <v>-0.35092206710399632</v>
      </c>
      <c r="T105">
        <v>0.18495782015359052</v>
      </c>
      <c r="U105">
        <v>0.17498252495970154</v>
      </c>
      <c r="V105">
        <v>0.10818581112104524</v>
      </c>
      <c r="W105">
        <v>0.95787947854158273</v>
      </c>
      <c r="X105">
        <v>-1.4614963292482159</v>
      </c>
      <c r="Y105">
        <v>0.45744019018115351</v>
      </c>
      <c r="Z105">
        <v>-0.39957641316361692</v>
      </c>
      <c r="AA105">
        <v>0.10286447815320272</v>
      </c>
      <c r="AB105">
        <v>-0.30386585722073151</v>
      </c>
      <c r="AC105">
        <v>-0.14112360408043306</v>
      </c>
      <c r="AD105">
        <v>0.57892420969240876</v>
      </c>
      <c r="AE105">
        <v>0.61141556850888401</v>
      </c>
      <c r="AF105">
        <v>4.8566563073953128E-2</v>
      </c>
      <c r="AG105">
        <v>-4.6754959129977534E-2</v>
      </c>
      <c r="AH105">
        <v>-0.7648133637285025</v>
      </c>
      <c r="AI105">
        <v>1.5387152545583134</v>
      </c>
      <c r="AJ105">
        <v>-0.66677735686953366</v>
      </c>
      <c r="AK105">
        <v>1.4203175404636306</v>
      </c>
      <c r="AL105">
        <v>-0.70987152124236796</v>
      </c>
      <c r="AM105">
        <v>-2.1297696341134191</v>
      </c>
      <c r="AN105">
        <v>3.1754764910987143</v>
      </c>
      <c r="AO105">
        <v>-6.8047979989986726E-2</v>
      </c>
      <c r="AP105">
        <v>7.5100549548915915E-2</v>
      </c>
      <c r="AQ105">
        <v>-0.58966896001135938</v>
      </c>
      <c r="AR105">
        <v>-7.7675609324402345E-2</v>
      </c>
      <c r="AS105">
        <v>-0.87697262122447028</v>
      </c>
      <c r="AT105">
        <v>0.21164808792541653</v>
      </c>
      <c r="AU105">
        <v>-0.46494299706070841</v>
      </c>
      <c r="AW105">
        <v>1.7819866697309255</v>
      </c>
    </row>
    <row r="106" spans="3:49" x14ac:dyDescent="0.2">
      <c r="C106" t="s">
        <v>38</v>
      </c>
      <c r="D106">
        <v>0.33276698650102871</v>
      </c>
      <c r="E106">
        <v>1.1375251406662095</v>
      </c>
      <c r="F106">
        <v>-0.31005086283997479</v>
      </c>
      <c r="G106">
        <v>0.24849317497775117</v>
      </c>
      <c r="H106">
        <v>-0.39851507398701036</v>
      </c>
      <c r="I106">
        <v>-0.14680366889867305</v>
      </c>
      <c r="J106">
        <v>-0.49161597488337772</v>
      </c>
      <c r="K106">
        <v>-1.9085418526287923</v>
      </c>
      <c r="L106">
        <v>0.7649086851620035</v>
      </c>
      <c r="M106">
        <v>0.6140791232023235</v>
      </c>
      <c r="N106">
        <v>1.1947636719514219</v>
      </c>
      <c r="O106">
        <v>-0.38185833422405807</v>
      </c>
      <c r="P106">
        <v>0.58459310432390243</v>
      </c>
      <c r="Q106">
        <v>0.14530877535190564</v>
      </c>
      <c r="R106">
        <v>-0.6322462791809329</v>
      </c>
      <c r="S106">
        <v>0.21913394571220648</v>
      </c>
      <c r="T106">
        <v>9.082036210491419E-2</v>
      </c>
      <c r="U106">
        <v>0.19489780997563247</v>
      </c>
      <c r="V106">
        <v>0.3976554609969325</v>
      </c>
      <c r="W106">
        <v>0.61829403156191243</v>
      </c>
      <c r="X106">
        <v>-1.0476492839412688</v>
      </c>
      <c r="Y106">
        <v>-0.27405373655011467</v>
      </c>
      <c r="Z106">
        <v>0.60399755263963073</v>
      </c>
      <c r="AA106">
        <v>-0.33497401392194037</v>
      </c>
      <c r="AB106">
        <v>8.5866246351991221E-2</v>
      </c>
      <c r="AC106">
        <v>-0.19840303404292103</v>
      </c>
      <c r="AD106">
        <v>-0.45478352386105259</v>
      </c>
      <c r="AE106">
        <v>0.89559315527619998</v>
      </c>
      <c r="AF106">
        <v>-0.63149664583387821</v>
      </c>
      <c r="AG106">
        <v>0.76799728944298651</v>
      </c>
      <c r="AH106">
        <v>-0.68160651410064887</v>
      </c>
      <c r="AI106">
        <v>-0.41241710454024122</v>
      </c>
      <c r="AJ106">
        <v>-0.26511244133834472</v>
      </c>
      <c r="AK106">
        <v>1.0405085298893826</v>
      </c>
      <c r="AL106">
        <v>-0.28729944812478919</v>
      </c>
      <c r="AM106">
        <v>-0.4258077568125041</v>
      </c>
      <c r="AN106">
        <v>-6.8047979989985991E-2</v>
      </c>
      <c r="AO106">
        <v>4.2857583511684361</v>
      </c>
      <c r="AP106">
        <v>-2.1730008923507769</v>
      </c>
      <c r="AQ106">
        <v>-0.76883438657368464</v>
      </c>
      <c r="AR106">
        <v>-0.70067660581275304</v>
      </c>
      <c r="AS106">
        <v>-0.62424486509506438</v>
      </c>
      <c r="AT106">
        <v>-0.37570944525229516</v>
      </c>
      <c r="AU106">
        <v>0.10689152383064351</v>
      </c>
      <c r="AW106">
        <v>2.0702073208179987</v>
      </c>
    </row>
    <row r="107" spans="3:49" x14ac:dyDescent="0.2">
      <c r="C107" t="s">
        <v>39</v>
      </c>
      <c r="D107">
        <v>-4.0724780732560903E-2</v>
      </c>
      <c r="E107">
        <v>-0.81505481028001758</v>
      </c>
      <c r="F107">
        <v>0.14523229509560059</v>
      </c>
      <c r="G107">
        <v>-5.4917276311935763E-2</v>
      </c>
      <c r="H107">
        <v>-0.94575183079497105</v>
      </c>
      <c r="I107">
        <v>1.1551677315358058</v>
      </c>
      <c r="J107">
        <v>-1.9824164923343972</v>
      </c>
      <c r="K107">
        <v>0.3633451925028392</v>
      </c>
      <c r="L107">
        <v>0.98194971917318863</v>
      </c>
      <c r="M107">
        <v>-0.92939586450767664</v>
      </c>
      <c r="N107">
        <v>0.48218495972829389</v>
      </c>
      <c r="O107">
        <v>-0.96558870940897035</v>
      </c>
      <c r="P107">
        <v>0.11563039427227458</v>
      </c>
      <c r="Q107">
        <v>0.78297096548395617</v>
      </c>
      <c r="R107">
        <v>-0.58083443378036803</v>
      </c>
      <c r="S107">
        <v>-0.41303965037733226</v>
      </c>
      <c r="T107">
        <v>0.29955861520484228</v>
      </c>
      <c r="U107">
        <v>-0.71343671352889004</v>
      </c>
      <c r="V107">
        <v>-0.48661493613066426</v>
      </c>
      <c r="W107">
        <v>-7.0622193181947193E-2</v>
      </c>
      <c r="X107">
        <v>-9.4167324469840538E-2</v>
      </c>
      <c r="Y107">
        <v>0.59077652267734515</v>
      </c>
      <c r="Z107">
        <v>-0.35953457127047067</v>
      </c>
      <c r="AA107">
        <v>-0.21229799752599796</v>
      </c>
      <c r="AB107">
        <v>0.44184376436994738</v>
      </c>
      <c r="AC107">
        <v>0.82537937629333546</v>
      </c>
      <c r="AD107">
        <v>-0.56501392484841151</v>
      </c>
      <c r="AE107">
        <v>4.4269676793019713E-2</v>
      </c>
      <c r="AF107">
        <v>-0.13034684792791376</v>
      </c>
      <c r="AG107">
        <v>-0.80731270133490574</v>
      </c>
      <c r="AH107">
        <v>-0.49556482369243138</v>
      </c>
      <c r="AI107">
        <v>1.6584743921594078</v>
      </c>
      <c r="AJ107">
        <v>-9.6301454565163647E-2</v>
      </c>
      <c r="AK107">
        <v>-0.32867824605256291</v>
      </c>
      <c r="AL107">
        <v>0.3128894724875822</v>
      </c>
      <c r="AM107">
        <v>-0.46362577175617242</v>
      </c>
      <c r="AN107">
        <v>7.510054954891518E-2</v>
      </c>
      <c r="AO107">
        <v>-2.1730008923507729</v>
      </c>
      <c r="AP107">
        <v>4.9288019240020997</v>
      </c>
      <c r="AQ107">
        <v>-1.5547098545379991</v>
      </c>
      <c r="AR107">
        <v>0.48790875883757567</v>
      </c>
      <c r="AS107">
        <v>1.162140279865131</v>
      </c>
      <c r="AT107">
        <v>-0.14232039115739331</v>
      </c>
      <c r="AU107">
        <v>0.37509341850468003</v>
      </c>
      <c r="AW107">
        <v>2.2200905215783657</v>
      </c>
    </row>
    <row r="108" spans="3:49" x14ac:dyDescent="0.2">
      <c r="C108" t="s">
        <v>40</v>
      </c>
      <c r="D108">
        <v>-0.22671132352982634</v>
      </c>
      <c r="E108">
        <v>-0.43830383935277617</v>
      </c>
      <c r="F108">
        <v>0.68332572030924743</v>
      </c>
      <c r="G108">
        <v>-0.14340851752153708</v>
      </c>
      <c r="H108">
        <v>1.3078889851809445</v>
      </c>
      <c r="I108">
        <v>-0.94651984370484432</v>
      </c>
      <c r="J108">
        <v>1.7807308038013119</v>
      </c>
      <c r="K108">
        <v>1.5002508215156372</v>
      </c>
      <c r="L108">
        <v>-1.7732121180021057</v>
      </c>
      <c r="M108">
        <v>-0.30191767089156279</v>
      </c>
      <c r="N108">
        <v>4.3725113668134148E-2</v>
      </c>
      <c r="O108">
        <v>0.87552571781062405</v>
      </c>
      <c r="P108">
        <v>-1.6016050416687933</v>
      </c>
      <c r="Q108">
        <v>-0.87906161402867977</v>
      </c>
      <c r="R108">
        <v>0.86376969795111236</v>
      </c>
      <c r="S108">
        <v>0.51372542022197931</v>
      </c>
      <c r="T108">
        <v>7.4939516013636284E-2</v>
      </c>
      <c r="U108">
        <v>-3.5765042064030174E-2</v>
      </c>
      <c r="V108">
        <v>-0.16485787979914768</v>
      </c>
      <c r="W108">
        <v>-0.23304937502035128</v>
      </c>
      <c r="X108">
        <v>-0.34885935303096777</v>
      </c>
      <c r="Y108">
        <v>-0.79139478187684431</v>
      </c>
      <c r="Z108">
        <v>0.35456708029092876</v>
      </c>
      <c r="AA108">
        <v>0.15820548088594857</v>
      </c>
      <c r="AB108">
        <v>0.16936853216574974</v>
      </c>
      <c r="AC108">
        <v>-0.50294865765343233</v>
      </c>
      <c r="AD108">
        <v>1.1503827167938911</v>
      </c>
      <c r="AE108">
        <v>-0.81684965422657918</v>
      </c>
      <c r="AF108">
        <v>5.185350823270183E-2</v>
      </c>
      <c r="AG108">
        <v>0.25408993418322662</v>
      </c>
      <c r="AH108">
        <v>0.45477545594869129</v>
      </c>
      <c r="AI108">
        <v>-0.44983228662369501</v>
      </c>
      <c r="AJ108">
        <v>-0.22918946353493397</v>
      </c>
      <c r="AK108">
        <v>-0.77232588502820454</v>
      </c>
      <c r="AL108">
        <v>6.6485348730382157E-2</v>
      </c>
      <c r="AM108">
        <v>0.86900755401324803</v>
      </c>
      <c r="AN108">
        <v>-0.58966896001135927</v>
      </c>
      <c r="AO108">
        <v>-0.76883438657368897</v>
      </c>
      <c r="AP108">
        <v>-1.5547098545379969</v>
      </c>
      <c r="AQ108">
        <v>3.5159291956824203</v>
      </c>
      <c r="AR108">
        <v>-0.58322628035673341</v>
      </c>
      <c r="AS108">
        <v>-0.49925692678203626</v>
      </c>
      <c r="AT108">
        <v>0.32533209858328871</v>
      </c>
      <c r="AU108">
        <v>5.1838700849732716E-2</v>
      </c>
      <c r="AW108">
        <v>1.8750811170939834</v>
      </c>
    </row>
    <row r="109" spans="3:49" x14ac:dyDescent="0.2">
      <c r="C109" t="s">
        <v>41</v>
      </c>
      <c r="D109">
        <v>-0.6543550535878685</v>
      </c>
      <c r="E109">
        <v>0.36517210171476805</v>
      </c>
      <c r="F109">
        <v>-0.39916299767634567</v>
      </c>
      <c r="G109">
        <v>0.41358581232295039</v>
      </c>
      <c r="H109">
        <v>-7.814653678572149E-2</v>
      </c>
      <c r="I109">
        <v>0.53248490026889539</v>
      </c>
      <c r="J109">
        <v>-1.1845388362389284</v>
      </c>
      <c r="K109">
        <v>-0.2291345887174861</v>
      </c>
      <c r="L109">
        <v>1.1714816993509207</v>
      </c>
      <c r="M109">
        <v>-0.12345428919533284</v>
      </c>
      <c r="N109">
        <v>-0.87970402365828715</v>
      </c>
      <c r="O109">
        <v>9.3841832005498345E-3</v>
      </c>
      <c r="P109">
        <v>-0.30520638851969129</v>
      </c>
      <c r="Q109">
        <v>0.57635669552673885</v>
      </c>
      <c r="R109">
        <v>-0.7495227266282396</v>
      </c>
      <c r="S109">
        <v>-0.29359469447172692</v>
      </c>
      <c r="T109">
        <v>9.4680842662355408E-2</v>
      </c>
      <c r="U109">
        <v>-0.2412289258023379</v>
      </c>
      <c r="V109">
        <v>-0.25859121820406983</v>
      </c>
      <c r="W109">
        <v>0.17053571218684388</v>
      </c>
      <c r="X109">
        <v>0.54052249221645943</v>
      </c>
      <c r="Y109">
        <v>-2.8089848877399039E-2</v>
      </c>
      <c r="Z109">
        <v>-1.1268311962066377</v>
      </c>
      <c r="AA109">
        <v>0.17996272437639504</v>
      </c>
      <c r="AB109">
        <v>0.60581501143674155</v>
      </c>
      <c r="AC109">
        <v>0.66610979336385701</v>
      </c>
      <c r="AD109">
        <v>-0.78024010313348269</v>
      </c>
      <c r="AE109">
        <v>-0.15841143567870478</v>
      </c>
      <c r="AF109">
        <v>1.0200565056500528</v>
      </c>
      <c r="AG109">
        <v>-0.24004704500945148</v>
      </c>
      <c r="AH109">
        <v>0.22614558415463654</v>
      </c>
      <c r="AI109">
        <v>-0.56505841802340195</v>
      </c>
      <c r="AJ109">
        <v>0.89480835072267562</v>
      </c>
      <c r="AK109">
        <v>-0.18388108810576295</v>
      </c>
      <c r="AL109">
        <v>-0.79340279413117565</v>
      </c>
      <c r="AM109">
        <v>-0.56922088436086571</v>
      </c>
      <c r="AN109">
        <v>-7.7675609324402733E-2</v>
      </c>
      <c r="AO109">
        <v>-0.70067660581275026</v>
      </c>
      <c r="AP109">
        <v>0.48790875883757584</v>
      </c>
      <c r="AQ109">
        <v>-0.58322628035673463</v>
      </c>
      <c r="AR109">
        <v>3.2034095718024296</v>
      </c>
      <c r="AS109">
        <v>0.96030628662231454</v>
      </c>
      <c r="AT109">
        <v>-0.47123450530254501</v>
      </c>
      <c r="AU109">
        <v>0.28074460665344492</v>
      </c>
      <c r="AW109">
        <v>1.7898071325711129</v>
      </c>
    </row>
    <row r="110" spans="3:49" x14ac:dyDescent="0.2">
      <c r="C110" t="s">
        <v>42</v>
      </c>
      <c r="D110">
        <v>-0.46947026997639474</v>
      </c>
      <c r="E110">
        <v>0.12528134095416085</v>
      </c>
      <c r="F110">
        <v>-0.41314721447939268</v>
      </c>
      <c r="G110">
        <v>-0.62696852367310008</v>
      </c>
      <c r="H110">
        <v>-0.67555315780363967</v>
      </c>
      <c r="I110">
        <v>1.2440991908080115</v>
      </c>
      <c r="J110">
        <v>-0.30867939899932029</v>
      </c>
      <c r="K110">
        <v>-0.23617409384065735</v>
      </c>
      <c r="L110">
        <v>0.71088158375454791</v>
      </c>
      <c r="M110">
        <v>-1.0806063098084826</v>
      </c>
      <c r="N110">
        <v>-0.49172249320028077</v>
      </c>
      <c r="O110">
        <v>-0.52652567553063012</v>
      </c>
      <c r="P110">
        <v>0.55733586276096969</v>
      </c>
      <c r="Q110">
        <v>1.5791341092178413</v>
      </c>
      <c r="R110">
        <v>1.0942280318326916</v>
      </c>
      <c r="S110">
        <v>-1.1147573632784697</v>
      </c>
      <c r="T110">
        <v>-0.57374866964660731</v>
      </c>
      <c r="U110">
        <v>-9.1858439735910805E-2</v>
      </c>
      <c r="V110">
        <v>0.54971338029089512</v>
      </c>
      <c r="W110">
        <v>-1.4030920953875845</v>
      </c>
      <c r="X110">
        <v>1.4784184756056902</v>
      </c>
      <c r="Y110">
        <v>-0.92551797592757834</v>
      </c>
      <c r="Z110">
        <v>3.1995649191563183E-2</v>
      </c>
      <c r="AA110">
        <v>-0.18589483253409564</v>
      </c>
      <c r="AB110">
        <v>-3.6645635304470431E-2</v>
      </c>
      <c r="AC110">
        <v>1.7263919307390228</v>
      </c>
      <c r="AD110">
        <v>-1.6393657515263471</v>
      </c>
      <c r="AE110">
        <v>0.39558628316894628</v>
      </c>
      <c r="AF110">
        <v>-0.11392006879784021</v>
      </c>
      <c r="AG110">
        <v>-0.95707503760952461</v>
      </c>
      <c r="AH110">
        <v>-0.66586551752004908</v>
      </c>
      <c r="AI110">
        <v>-1.3223297374440166</v>
      </c>
      <c r="AJ110">
        <v>2.8285444426662534</v>
      </c>
      <c r="AK110">
        <v>-2.670667501465398</v>
      </c>
      <c r="AL110">
        <v>0.66418498408942772</v>
      </c>
      <c r="AM110">
        <v>0.47848279112774206</v>
      </c>
      <c r="AN110">
        <v>-0.87697262122447195</v>
      </c>
      <c r="AO110">
        <v>-0.62424486509506238</v>
      </c>
      <c r="AP110">
        <v>1.1621402798651312</v>
      </c>
      <c r="AQ110">
        <v>-0.49925692678203631</v>
      </c>
      <c r="AR110">
        <v>0.9603062866223131</v>
      </c>
      <c r="AS110">
        <v>7.0440833918552217</v>
      </c>
      <c r="AT110">
        <v>-3.0258166771020654</v>
      </c>
      <c r="AU110">
        <v>-0.69721798034957094</v>
      </c>
      <c r="AW110">
        <v>2.6540692138403665</v>
      </c>
    </row>
    <row r="111" spans="3:49" x14ac:dyDescent="0.2">
      <c r="C111" t="s">
        <v>43</v>
      </c>
      <c r="D111">
        <v>-0.16361803041393219</v>
      </c>
      <c r="E111">
        <v>-0.85827542494962461</v>
      </c>
      <c r="F111">
        <v>0.22547461003231814</v>
      </c>
      <c r="G111">
        <v>-0.4489646575135175</v>
      </c>
      <c r="H111">
        <v>0.75455759613429552</v>
      </c>
      <c r="I111">
        <v>-8.7164983856786074E-2</v>
      </c>
      <c r="J111">
        <v>0.57813134766568286</v>
      </c>
      <c r="K111">
        <v>0.4591679527671419</v>
      </c>
      <c r="L111">
        <v>-1.1776889554945627</v>
      </c>
      <c r="M111">
        <v>1.1618500832748715</v>
      </c>
      <c r="N111">
        <v>-4.9026511376457672E-2</v>
      </c>
      <c r="O111">
        <v>-1.3508592655912883</v>
      </c>
      <c r="P111">
        <v>3.1530267223159443E-2</v>
      </c>
      <c r="Q111">
        <v>-0.68706473067918783</v>
      </c>
      <c r="R111">
        <v>-0.10068720257068814</v>
      </c>
      <c r="S111">
        <v>-1.3724480573356637E-2</v>
      </c>
      <c r="T111">
        <v>0.4674617514112675</v>
      </c>
      <c r="U111">
        <v>-0.23084489037928022</v>
      </c>
      <c r="V111">
        <v>0.52566926525397939</v>
      </c>
      <c r="W111">
        <v>0.5633984341791537</v>
      </c>
      <c r="X111">
        <v>-0.8784758699611902</v>
      </c>
      <c r="Y111">
        <v>1.0569514643981381</v>
      </c>
      <c r="Z111">
        <v>-0.65638915427572364</v>
      </c>
      <c r="AA111">
        <v>-0.23105916095468013</v>
      </c>
      <c r="AB111">
        <v>4.41603782644664E-2</v>
      </c>
      <c r="AC111">
        <v>-0.23788522067404488</v>
      </c>
      <c r="AD111">
        <v>0.62078596754226645</v>
      </c>
      <c r="AE111">
        <v>-0.5072809780108013</v>
      </c>
      <c r="AF111">
        <v>0.94234143340767196</v>
      </c>
      <c r="AG111">
        <v>-0.25157349997670386</v>
      </c>
      <c r="AH111">
        <v>0.86742489815479984</v>
      </c>
      <c r="AI111">
        <v>-0.23693350961116316</v>
      </c>
      <c r="AJ111">
        <v>-0.99536983360503184</v>
      </c>
      <c r="AK111">
        <v>0.75462542642416852</v>
      </c>
      <c r="AL111">
        <v>-0.41156179817192129</v>
      </c>
      <c r="AM111">
        <v>0.64086638239460347</v>
      </c>
      <c r="AN111">
        <v>0.21164808792541756</v>
      </c>
      <c r="AO111">
        <v>-0.37570944525229577</v>
      </c>
      <c r="AP111">
        <v>-0.14232039115739265</v>
      </c>
      <c r="AQ111">
        <v>0.32533209858328782</v>
      </c>
      <c r="AR111">
        <v>-0.47123450530254307</v>
      </c>
      <c r="AS111">
        <v>-3.0258166771020663</v>
      </c>
      <c r="AT111">
        <v>4.2083512896887969</v>
      </c>
      <c r="AU111">
        <v>-0.79081646763290292</v>
      </c>
      <c r="AW111">
        <v>2.0514266474063354</v>
      </c>
    </row>
    <row r="112" spans="3:49" x14ac:dyDescent="0.2">
      <c r="C112" t="s">
        <v>44</v>
      </c>
      <c r="D112">
        <v>0.14142458421603291</v>
      </c>
      <c r="E112">
        <v>-0.81836821307321372</v>
      </c>
      <c r="F112">
        <v>-6.7192710663756719E-2</v>
      </c>
      <c r="G112">
        <v>1.1153062940918161</v>
      </c>
      <c r="H112">
        <v>-0.26793733917443568</v>
      </c>
      <c r="I112">
        <v>0.53226314085028748</v>
      </c>
      <c r="J112">
        <v>-0.90281210395173783</v>
      </c>
      <c r="K112">
        <v>-0.32491311165091652</v>
      </c>
      <c r="L112">
        <v>1.7776982402786499</v>
      </c>
      <c r="M112">
        <v>-1.2771322953524289</v>
      </c>
      <c r="N112">
        <v>0.53339430706089774</v>
      </c>
      <c r="O112">
        <v>0.16385880691627491</v>
      </c>
      <c r="P112">
        <v>-0.48401893505645166</v>
      </c>
      <c r="Q112">
        <v>-1.331511831389294</v>
      </c>
      <c r="R112">
        <v>0.14834266656351919</v>
      </c>
      <c r="S112">
        <v>0.80819113431636602</v>
      </c>
      <c r="T112">
        <v>0.52252362973692768</v>
      </c>
      <c r="U112">
        <v>-0.11321904895447039</v>
      </c>
      <c r="V112">
        <v>-0.4515766050957512</v>
      </c>
      <c r="W112">
        <v>0.19385685916057502</v>
      </c>
      <c r="X112">
        <v>0.19364644853569005</v>
      </c>
      <c r="Y112">
        <v>-0.41579236729169738</v>
      </c>
      <c r="Z112">
        <v>0.35720100668187732</v>
      </c>
      <c r="AA112">
        <v>0.12948682717135981</v>
      </c>
      <c r="AB112">
        <v>9.074009528751234E-2</v>
      </c>
      <c r="AC112">
        <v>-0.13388813724862206</v>
      </c>
      <c r="AD112">
        <v>-0.14793757354429948</v>
      </c>
      <c r="AE112">
        <v>-1.2418802164874666E-2</v>
      </c>
      <c r="AF112">
        <v>-0.8902521366491718</v>
      </c>
      <c r="AG112">
        <v>-0.37329439955835103</v>
      </c>
      <c r="AH112">
        <v>4.5499548635366545E-2</v>
      </c>
      <c r="AI112">
        <v>3.7547726943698484E-2</v>
      </c>
      <c r="AJ112">
        <v>8.6093724851611264E-2</v>
      </c>
      <c r="AK112">
        <v>9.0364065893553822E-2</v>
      </c>
      <c r="AL112">
        <v>-0.55707911421951395</v>
      </c>
      <c r="AM112">
        <v>-0.91716200894669953</v>
      </c>
      <c r="AN112">
        <v>-0.4649429970607088</v>
      </c>
      <c r="AO112">
        <v>0.10689152383064432</v>
      </c>
      <c r="AP112">
        <v>0.37509341850467942</v>
      </c>
      <c r="AQ112">
        <v>5.1838700849733077E-2</v>
      </c>
      <c r="AR112">
        <v>0.28074460665344381</v>
      </c>
      <c r="AS112">
        <v>-0.69721798034957105</v>
      </c>
      <c r="AT112">
        <v>-0.7908164676329027</v>
      </c>
      <c r="AU112">
        <v>3.7446063721383389</v>
      </c>
      <c r="AW112">
        <v>1.9350985432629364</v>
      </c>
    </row>
    <row r="114" spans="3:47" x14ac:dyDescent="0.2">
      <c r="C114" t="s">
        <v>196</v>
      </c>
    </row>
    <row r="116" spans="3:47" x14ac:dyDescent="0.2">
      <c r="D116" t="s">
        <v>1</v>
      </c>
      <c r="E116" t="s">
        <v>2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8</v>
      </c>
      <c r="L116" t="s">
        <v>9</v>
      </c>
      <c r="M116" t="s">
        <v>10</v>
      </c>
      <c r="N116" t="s">
        <v>11</v>
      </c>
      <c r="O116" t="s">
        <v>12</v>
      </c>
      <c r="P116" t="s">
        <v>13</v>
      </c>
      <c r="Q116" t="s">
        <v>14</v>
      </c>
      <c r="R116" t="s">
        <v>15</v>
      </c>
      <c r="S116" t="s">
        <v>16</v>
      </c>
      <c r="T116" t="s">
        <v>17</v>
      </c>
      <c r="U116" t="s">
        <v>18</v>
      </c>
      <c r="V116" t="s">
        <v>19</v>
      </c>
      <c r="W116" t="s">
        <v>20</v>
      </c>
      <c r="X116" t="s">
        <v>21</v>
      </c>
      <c r="Y116" t="s">
        <v>22</v>
      </c>
      <c r="Z116" t="s">
        <v>23</v>
      </c>
      <c r="AA116" t="s">
        <v>24</v>
      </c>
      <c r="AB116" t="s">
        <v>25</v>
      </c>
      <c r="AC116" t="s">
        <v>26</v>
      </c>
      <c r="AD116" t="s">
        <v>27</v>
      </c>
      <c r="AE116" t="s">
        <v>28</v>
      </c>
      <c r="AF116" t="s">
        <v>29</v>
      </c>
      <c r="AG116" t="s">
        <v>30</v>
      </c>
      <c r="AH116" t="s">
        <v>31</v>
      </c>
      <c r="AI116" t="s">
        <v>32</v>
      </c>
      <c r="AJ116" t="s">
        <v>33</v>
      </c>
      <c r="AK116" t="s">
        <v>34</v>
      </c>
      <c r="AL116" t="s">
        <v>35</v>
      </c>
      <c r="AM116" t="s">
        <v>36</v>
      </c>
      <c r="AN116" t="s">
        <v>37</v>
      </c>
      <c r="AO116" t="s">
        <v>38</v>
      </c>
      <c r="AP116" t="s">
        <v>39</v>
      </c>
      <c r="AQ116" t="s">
        <v>40</v>
      </c>
      <c r="AR116" t="s">
        <v>41</v>
      </c>
      <c r="AS116" t="s">
        <v>42</v>
      </c>
      <c r="AT116" t="s">
        <v>43</v>
      </c>
      <c r="AU116" t="s">
        <v>44</v>
      </c>
    </row>
    <row r="117" spans="3:47" x14ac:dyDescent="0.2">
      <c r="C117" t="s">
        <v>1</v>
      </c>
      <c r="D117">
        <v>1</v>
      </c>
      <c r="E117">
        <v>0.38232557540479911</v>
      </c>
      <c r="F117">
        <v>-0.25703527645270491</v>
      </c>
      <c r="G117">
        <v>0.28464754493402755</v>
      </c>
      <c r="H117">
        <v>-7.2012641692050142E-2</v>
      </c>
      <c r="I117">
        <v>0.12626744098613729</v>
      </c>
      <c r="J117">
        <v>5.5946407015051158E-2</v>
      </c>
      <c r="K117">
        <v>7.072393306264263E-2</v>
      </c>
      <c r="L117">
        <v>0.13606930456545263</v>
      </c>
      <c r="M117">
        <v>-2.6223597803371429E-3</v>
      </c>
      <c r="N117">
        <v>-7.2858943466061796E-2</v>
      </c>
      <c r="O117">
        <v>6.0998434806426589E-2</v>
      </c>
      <c r="P117">
        <v>-0.22844852709241731</v>
      </c>
      <c r="Q117">
        <v>-4.9173712387806698E-2</v>
      </c>
      <c r="R117">
        <v>0.19961920905688676</v>
      </c>
      <c r="S117">
        <v>-0.20382475273999631</v>
      </c>
      <c r="T117">
        <v>-0.1285765710550309</v>
      </c>
      <c r="U117">
        <v>0.27436322731440116</v>
      </c>
      <c r="V117">
        <v>-0.21724599444195591</v>
      </c>
      <c r="W117">
        <v>-0.11724372734799005</v>
      </c>
      <c r="X117">
        <v>0.23086690387322034</v>
      </c>
      <c r="Y117">
        <v>4.1630653825189101E-2</v>
      </c>
      <c r="Z117">
        <v>-0.33244194551422873</v>
      </c>
      <c r="AA117">
        <v>0.11601344384910652</v>
      </c>
      <c r="AB117">
        <v>0.2085704655454724</v>
      </c>
      <c r="AC117">
        <v>7.4733596568611838E-2</v>
      </c>
      <c r="AD117">
        <v>-0.12774726892597912</v>
      </c>
      <c r="AE117">
        <v>-1.2012729894218454E-2</v>
      </c>
      <c r="AF117">
        <v>-0.1154055059393987</v>
      </c>
      <c r="AG117">
        <v>5.2083762158074316E-2</v>
      </c>
      <c r="AH117">
        <v>-0.10269633963206976</v>
      </c>
      <c r="AI117">
        <v>9.6307322363689538E-2</v>
      </c>
      <c r="AJ117">
        <v>0.11669472354398411</v>
      </c>
      <c r="AK117">
        <v>-0.20913306671130796</v>
      </c>
      <c r="AL117">
        <v>0.21941035341637224</v>
      </c>
      <c r="AM117">
        <v>4.88949789354454E-2</v>
      </c>
      <c r="AN117">
        <v>8.776977702834006E-2</v>
      </c>
      <c r="AO117">
        <v>-7.2370892600805009E-2</v>
      </c>
      <c r="AP117">
        <v>8.2589646523498709E-3</v>
      </c>
      <c r="AQ117">
        <v>5.4436561789163986E-2</v>
      </c>
      <c r="AR117">
        <v>0.16460565896338689</v>
      </c>
      <c r="AS117">
        <v>7.9640391444831482E-2</v>
      </c>
      <c r="AT117">
        <v>3.5909776591315321E-2</v>
      </c>
      <c r="AU117">
        <v>-3.2904807917917701E-2</v>
      </c>
    </row>
    <row r="118" spans="3:47" x14ac:dyDescent="0.2">
      <c r="C118" t="s">
        <v>2</v>
      </c>
      <c r="D118">
        <v>0.38232557540479883</v>
      </c>
      <c r="E118">
        <v>1.0000000000000002</v>
      </c>
      <c r="F118">
        <v>0.18038832070052355</v>
      </c>
      <c r="G118">
        <v>4.4395800373317487E-2</v>
      </c>
      <c r="H118">
        <v>0.16775479448217243</v>
      </c>
      <c r="I118">
        <v>-0.13566385598183051</v>
      </c>
      <c r="J118">
        <v>-2.8132455277407407E-2</v>
      </c>
      <c r="K118">
        <v>0.22732277889394678</v>
      </c>
      <c r="L118">
        <v>-0.11983947015268812</v>
      </c>
      <c r="M118">
        <v>-6.4262246233440942E-2</v>
      </c>
      <c r="N118">
        <v>0.16789086033074499</v>
      </c>
      <c r="O118">
        <v>-0.26014383527174784</v>
      </c>
      <c r="P118">
        <v>0.13192236140132085</v>
      </c>
      <c r="Q118">
        <v>-0.21012074117580221</v>
      </c>
      <c r="R118">
        <v>8.640301665294213E-2</v>
      </c>
      <c r="S118">
        <v>0.14353473258608121</v>
      </c>
      <c r="T118">
        <v>0.17863204304717706</v>
      </c>
      <c r="U118">
        <v>-0.18369461993879646</v>
      </c>
      <c r="V118">
        <v>0.30732948923285114</v>
      </c>
      <c r="W118">
        <v>3.3013250423167967E-2</v>
      </c>
      <c r="X118">
        <v>-0.18944304807659576</v>
      </c>
      <c r="Y118">
        <v>0.13018887507271984</v>
      </c>
      <c r="Z118">
        <v>7.9031428125687281E-2</v>
      </c>
      <c r="AA118">
        <v>-0.14006094790265802</v>
      </c>
      <c r="AB118">
        <v>-4.9487002112981821E-2</v>
      </c>
      <c r="AC118">
        <v>-0.19543104203368822</v>
      </c>
      <c r="AD118">
        <v>0.14277592090478688</v>
      </c>
      <c r="AE118">
        <v>-5.7571294630525287E-2</v>
      </c>
      <c r="AF118">
        <v>0.11843150214144402</v>
      </c>
      <c r="AG118">
        <v>-0.38237201264168291</v>
      </c>
      <c r="AH118">
        <v>8.3486068462059915E-2</v>
      </c>
      <c r="AI118">
        <v>-5.7392230383358243E-2</v>
      </c>
      <c r="AJ118">
        <v>5.0672644852291844E-2</v>
      </c>
      <c r="AK118">
        <v>-6.0035094779737806E-2</v>
      </c>
      <c r="AL118">
        <v>-0.1586249182369758</v>
      </c>
      <c r="AM118">
        <v>0.1292912698377508</v>
      </c>
      <c r="AN118">
        <v>5.367852983443553E-2</v>
      </c>
      <c r="AO118">
        <v>-0.2543679404082746</v>
      </c>
      <c r="AP118">
        <v>0.16995398100204492</v>
      </c>
      <c r="AQ118">
        <v>0.10821075429235684</v>
      </c>
      <c r="AR118">
        <v>-9.4451001295569992E-2</v>
      </c>
      <c r="AS118">
        <v>-2.1851907757906686E-2</v>
      </c>
      <c r="AT118">
        <v>0.1936804987021607</v>
      </c>
      <c r="AU118">
        <v>0.19577664237854422</v>
      </c>
    </row>
    <row r="119" spans="3:47" x14ac:dyDescent="0.2">
      <c r="C119" t="s">
        <v>3</v>
      </c>
      <c r="D119">
        <v>-0.2570352764527053</v>
      </c>
      <c r="E119">
        <v>0.18038832070052366</v>
      </c>
      <c r="F119">
        <v>1</v>
      </c>
      <c r="G119">
        <v>0.41406779413418665</v>
      </c>
      <c r="H119">
        <v>-5.2054083811178861E-2</v>
      </c>
      <c r="I119">
        <v>-1.6107256213053967E-2</v>
      </c>
      <c r="J119">
        <v>8.166844376406493E-2</v>
      </c>
      <c r="K119">
        <v>-0.18434631626959802</v>
      </c>
      <c r="L119">
        <v>0.26923466660818957</v>
      </c>
      <c r="M119">
        <v>-7.9799111677214998E-2</v>
      </c>
      <c r="N119">
        <v>1.2878162092160174E-2</v>
      </c>
      <c r="O119">
        <v>2.3700146171464532E-2</v>
      </c>
      <c r="P119">
        <v>0.1121478243781103</v>
      </c>
      <c r="Q119">
        <v>-6.2159638549291997E-2</v>
      </c>
      <c r="R119">
        <v>5.0344850080001856E-2</v>
      </c>
      <c r="S119">
        <v>-0.11432649075092075</v>
      </c>
      <c r="T119">
        <v>6.6598827675865016E-2</v>
      </c>
      <c r="U119">
        <v>0.12617258631739492</v>
      </c>
      <c r="V119">
        <v>7.6581753789305387E-2</v>
      </c>
      <c r="W119">
        <v>1.3277759051267334E-2</v>
      </c>
      <c r="X119">
        <v>8.8951087234924592E-2</v>
      </c>
      <c r="Y119">
        <v>0.10931363429222807</v>
      </c>
      <c r="Z119">
        <v>-0.25672391703393238</v>
      </c>
      <c r="AA119">
        <v>0.16431465429891792</v>
      </c>
      <c r="AB119">
        <v>-0.13858831268319829</v>
      </c>
      <c r="AC119">
        <v>0.21903621121826872</v>
      </c>
      <c r="AD119">
        <v>-0.1623355980218591</v>
      </c>
      <c r="AE119">
        <v>-5.3678434982363438E-2</v>
      </c>
      <c r="AF119">
        <v>0.14893563947090535</v>
      </c>
      <c r="AG119">
        <v>-0.25776550507631657</v>
      </c>
      <c r="AH119">
        <v>0.11782390418569626</v>
      </c>
      <c r="AI119">
        <v>-0.15222069778216132</v>
      </c>
      <c r="AJ119">
        <v>9.6694119958587385E-2</v>
      </c>
      <c r="AK119">
        <v>2.3151138813783115E-2</v>
      </c>
      <c r="AL119">
        <v>-0.2136528205479678</v>
      </c>
      <c r="AM119">
        <v>-3.0495663359800702E-2</v>
      </c>
      <c r="AN119">
        <v>7.1959784522091758E-2</v>
      </c>
      <c r="AO119">
        <v>8.8570397808759138E-2</v>
      </c>
      <c r="AP119">
        <v>-3.8686728792166343E-2</v>
      </c>
      <c r="AQ119">
        <v>-0.21551484905046162</v>
      </c>
      <c r="AR119">
        <v>0.13189050527856719</v>
      </c>
      <c r="AS119">
        <v>9.2058114517114778E-2</v>
      </c>
      <c r="AT119">
        <v>-6.4999668680731815E-2</v>
      </c>
      <c r="AU119">
        <v>2.0534709654759609E-2</v>
      </c>
    </row>
    <row r="120" spans="3:47" x14ac:dyDescent="0.2">
      <c r="C120" t="s">
        <v>4</v>
      </c>
      <c r="D120">
        <v>0.28464754493402733</v>
      </c>
      <c r="E120">
        <v>4.4395800373317432E-2</v>
      </c>
      <c r="F120">
        <v>0.41406779413418604</v>
      </c>
      <c r="G120">
        <v>0.99999999999999978</v>
      </c>
      <c r="H120">
        <v>0.29882425114908412</v>
      </c>
      <c r="I120">
        <v>9.4325561097877236E-2</v>
      </c>
      <c r="J120">
        <v>0.21759748900528211</v>
      </c>
      <c r="K120">
        <v>0.23306519040947002</v>
      </c>
      <c r="L120">
        <v>-0.44457543958171536</v>
      </c>
      <c r="M120">
        <v>0.13858403047210952</v>
      </c>
      <c r="N120">
        <v>4.5733278827378786E-2</v>
      </c>
      <c r="O120">
        <v>-0.16684942237648462</v>
      </c>
      <c r="P120">
        <v>-3.0552861402373045E-2</v>
      </c>
      <c r="Q120">
        <v>-0.13297089991006916</v>
      </c>
      <c r="R120">
        <v>0.18277148327145765</v>
      </c>
      <c r="S120">
        <v>-0.11222784961965569</v>
      </c>
      <c r="T120">
        <v>-0.2015534773732939</v>
      </c>
      <c r="U120">
        <v>2.0580663770400378E-2</v>
      </c>
      <c r="V120">
        <v>4.0203185803387373E-2</v>
      </c>
      <c r="W120">
        <v>-0.16647231817478567</v>
      </c>
      <c r="X120">
        <v>9.8829559876918074E-3</v>
      </c>
      <c r="Y120">
        <v>-9.61350504739137E-2</v>
      </c>
      <c r="Z120">
        <v>0.21629244994142605</v>
      </c>
      <c r="AA120">
        <v>-1.6337154408235351E-2</v>
      </c>
      <c r="AB120">
        <v>-3.1899745436118745E-2</v>
      </c>
      <c r="AC120">
        <v>-6.5615182367948069E-2</v>
      </c>
      <c r="AD120">
        <v>9.6228595627390348E-2</v>
      </c>
      <c r="AE120">
        <v>0.16886765686380426</v>
      </c>
      <c r="AF120">
        <v>-0.18557645308298151</v>
      </c>
      <c r="AG120">
        <v>0.21309041748961349</v>
      </c>
      <c r="AH120">
        <v>6.0659430439194778E-2</v>
      </c>
      <c r="AI120">
        <v>-1.6605847017896252E-3</v>
      </c>
      <c r="AJ120">
        <v>0.10008644251683764</v>
      </c>
      <c r="AK120">
        <v>-6.0220411679186035E-2</v>
      </c>
      <c r="AL120">
        <v>5.0274605053040461E-2</v>
      </c>
      <c r="AM120">
        <v>0.16724216651075116</v>
      </c>
      <c r="AN120">
        <v>-0.10107726359955672</v>
      </c>
      <c r="AO120">
        <v>-5.0990070781169343E-2</v>
      </c>
      <c r="AP120">
        <v>1.050807821911369E-2</v>
      </c>
      <c r="AQ120">
        <v>3.2489264203922417E-2</v>
      </c>
      <c r="AR120">
        <v>-9.8162223604221596E-2</v>
      </c>
      <c r="AS120">
        <v>0.10035025571081052</v>
      </c>
      <c r="AT120">
        <v>9.2969640569126377E-2</v>
      </c>
      <c r="AU120">
        <v>-0.24483644045443126</v>
      </c>
    </row>
    <row r="121" spans="3:47" x14ac:dyDescent="0.2">
      <c r="C121" t="s">
        <v>5</v>
      </c>
      <c r="D121">
        <v>-7.2012641692050156E-2</v>
      </c>
      <c r="E121">
        <v>0.16775479448217229</v>
      </c>
      <c r="F121">
        <v>-5.2054083811178861E-2</v>
      </c>
      <c r="G121">
        <v>0.2988242511490844</v>
      </c>
      <c r="H121">
        <v>0.99999999999999978</v>
      </c>
      <c r="I121">
        <v>-8.595884070059321E-3</v>
      </c>
      <c r="J121">
        <v>-0.18848332907163476</v>
      </c>
      <c r="K121">
        <v>-0.17411569213159026</v>
      </c>
      <c r="L121">
        <v>0.37803232295205591</v>
      </c>
      <c r="M121">
        <v>-0.13066955864469512</v>
      </c>
      <c r="N121">
        <v>-0.13439551271003211</v>
      </c>
      <c r="O121">
        <v>-5.8456098075770479E-4</v>
      </c>
      <c r="P121">
        <v>0.36932508345481585</v>
      </c>
      <c r="Q121">
        <v>0.24608001262247259</v>
      </c>
      <c r="R121">
        <v>-0.23699102214717208</v>
      </c>
      <c r="S121">
        <v>8.1310047257958637E-2</v>
      </c>
      <c r="T121">
        <v>-2.1045320656162027E-2</v>
      </c>
      <c r="U121">
        <v>0.13212983371580628</v>
      </c>
      <c r="V121">
        <v>-0.12230007458558805</v>
      </c>
      <c r="W121">
        <v>0.10247762341092599</v>
      </c>
      <c r="X121">
        <v>0.14073470825956477</v>
      </c>
      <c r="Y121">
        <v>-7.7003708400295037E-2</v>
      </c>
      <c r="Z121">
        <v>8.532802383292383E-2</v>
      </c>
      <c r="AA121">
        <v>-0.16707648383634194</v>
      </c>
      <c r="AB121">
        <v>0.11268808653592317</v>
      </c>
      <c r="AC121">
        <v>0.23871860043240531</v>
      </c>
      <c r="AD121">
        <v>-0.14557069582014107</v>
      </c>
      <c r="AE121">
        <v>0.11498520969497077</v>
      </c>
      <c r="AF121">
        <v>-2.461793401250522E-2</v>
      </c>
      <c r="AG121">
        <v>-0.13354274894209917</v>
      </c>
      <c r="AH121">
        <v>-0.39209150012956562</v>
      </c>
      <c r="AI121">
        <v>0.2246539706231441</v>
      </c>
      <c r="AJ121">
        <v>0.20019189359303305</v>
      </c>
      <c r="AK121">
        <v>2.8513708913092822E-2</v>
      </c>
      <c r="AL121">
        <v>9.8138941119357503E-2</v>
      </c>
      <c r="AM121">
        <v>-0.25041685272255915</v>
      </c>
      <c r="AN121">
        <v>0.25439576924620033</v>
      </c>
      <c r="AO121">
        <v>8.7522098647145885E-2</v>
      </c>
      <c r="AP121">
        <v>0.19368380904776741</v>
      </c>
      <c r="AQ121">
        <v>-0.31713022188726592</v>
      </c>
      <c r="AR121">
        <v>1.9851362099492249E-2</v>
      </c>
      <c r="AS121">
        <v>0.1157268397086756</v>
      </c>
      <c r="AT121">
        <v>-0.16723347430847529</v>
      </c>
      <c r="AU121">
        <v>6.2953077200518043E-2</v>
      </c>
    </row>
    <row r="122" spans="3:47" x14ac:dyDescent="0.2">
      <c r="C122" t="s">
        <v>6</v>
      </c>
      <c r="D122">
        <v>0.12626744098613632</v>
      </c>
      <c r="E122">
        <v>-0.13566385598182995</v>
      </c>
      <c r="F122">
        <v>-1.6107256213054387E-2</v>
      </c>
      <c r="G122">
        <v>9.4325561097877708E-2</v>
      </c>
      <c r="H122">
        <v>-8.5958840700601138E-3</v>
      </c>
      <c r="I122">
        <v>1</v>
      </c>
      <c r="J122">
        <v>0.50723502696703748</v>
      </c>
      <c r="K122">
        <v>0.34598341073445021</v>
      </c>
      <c r="L122">
        <v>-2.5069083578495972E-2</v>
      </c>
      <c r="M122">
        <v>-7.9994309681054032E-2</v>
      </c>
      <c r="N122">
        <v>1.2240430849050877E-2</v>
      </c>
      <c r="O122">
        <v>0.10719843088411424</v>
      </c>
      <c r="P122">
        <v>0.12122425852113462</v>
      </c>
      <c r="Q122">
        <v>-0.10195203865187261</v>
      </c>
      <c r="R122">
        <v>-4.9929835496639478E-2</v>
      </c>
      <c r="S122">
        <v>0.13457126315406481</v>
      </c>
      <c r="T122">
        <v>8.7153015244650411E-2</v>
      </c>
      <c r="U122">
        <v>3.4296611342547888E-3</v>
      </c>
      <c r="V122">
        <v>4.6651841241299979E-2</v>
      </c>
      <c r="W122">
        <v>3.6336189168153218E-2</v>
      </c>
      <c r="X122">
        <v>-8.4308265104884483E-2</v>
      </c>
      <c r="Y122">
        <v>-3.3476970440875359E-3</v>
      </c>
      <c r="Z122">
        <v>7.2539405804581528E-2</v>
      </c>
      <c r="AA122">
        <v>-0.15367682253203499</v>
      </c>
      <c r="AB122">
        <v>1.1246987935092953E-3</v>
      </c>
      <c r="AC122">
        <v>-0.18165843928792563</v>
      </c>
      <c r="AD122">
        <v>0.21738138695159132</v>
      </c>
      <c r="AE122">
        <v>-0.2060196095029185</v>
      </c>
      <c r="AF122">
        <v>0.28815239709452573</v>
      </c>
      <c r="AG122">
        <v>-0.17462334443988306</v>
      </c>
      <c r="AH122">
        <v>5.2194446429745633E-2</v>
      </c>
      <c r="AI122">
        <v>-8.3606865554378771E-3</v>
      </c>
      <c r="AJ122">
        <v>-0.22193539902678761</v>
      </c>
      <c r="AK122">
        <v>0.11130408467652098</v>
      </c>
      <c r="AL122">
        <v>-0.15173235018960854</v>
      </c>
      <c r="AM122">
        <v>9.1587831380786688E-2</v>
      </c>
      <c r="AN122">
        <v>0.13989944325822387</v>
      </c>
      <c r="AO122">
        <v>2.5412210459839369E-2</v>
      </c>
      <c r="AP122">
        <v>-0.1864634605940502</v>
      </c>
      <c r="AQ122">
        <v>0.18089603048272646</v>
      </c>
      <c r="AR122">
        <v>-0.10661552170885226</v>
      </c>
      <c r="AS122">
        <v>-0.16798176385335181</v>
      </c>
      <c r="AT122">
        <v>1.5226687524178059E-2</v>
      </c>
      <c r="AU122">
        <v>-9.8569528763426936E-2</v>
      </c>
    </row>
    <row r="123" spans="3:47" x14ac:dyDescent="0.2">
      <c r="C123" t="s">
        <v>7</v>
      </c>
      <c r="D123">
        <v>5.5946407015052269E-2</v>
      </c>
      <c r="E123">
        <v>-2.813245527740808E-2</v>
      </c>
      <c r="F123">
        <v>8.1668443764065374E-2</v>
      </c>
      <c r="G123">
        <v>0.21759748900528161</v>
      </c>
      <c r="H123">
        <v>-0.18848332907163409</v>
      </c>
      <c r="I123">
        <v>0.50723502696703771</v>
      </c>
      <c r="J123">
        <v>1</v>
      </c>
      <c r="K123">
        <v>-0.31998881334126233</v>
      </c>
      <c r="L123">
        <v>0.34878274403343223</v>
      </c>
      <c r="M123">
        <v>8.6436095261736956E-2</v>
      </c>
      <c r="N123">
        <v>0.10035774770401638</v>
      </c>
      <c r="O123">
        <v>-0.11791538919220848</v>
      </c>
      <c r="P123">
        <v>0.17378132646699182</v>
      </c>
      <c r="Q123">
        <v>0.2974363960151154</v>
      </c>
      <c r="R123">
        <v>-0.28353010045562893</v>
      </c>
      <c r="S123">
        <v>-4.3490642983561777E-2</v>
      </c>
      <c r="T123">
        <v>0.14227732221896403</v>
      </c>
      <c r="U123">
        <v>-0.15972728528834365</v>
      </c>
      <c r="V123">
        <v>7.6216074947373771E-2</v>
      </c>
      <c r="W123">
        <v>1.0321704786429858E-2</v>
      </c>
      <c r="X123">
        <v>-0.1128986991264659</v>
      </c>
      <c r="Y123">
        <v>6.6459103267572761E-2</v>
      </c>
      <c r="Z123">
        <v>-0.11655263725070489</v>
      </c>
      <c r="AA123">
        <v>-7.1735583863462044E-2</v>
      </c>
      <c r="AB123">
        <v>0.13760352933686765</v>
      </c>
      <c r="AC123">
        <v>0.18134840888642503</v>
      </c>
      <c r="AD123">
        <v>-0.12761370320094551</v>
      </c>
      <c r="AE123">
        <v>8.963488988745115E-2</v>
      </c>
      <c r="AF123">
        <v>-8.0496942917553299E-2</v>
      </c>
      <c r="AG123">
        <v>0.14640933386694679</v>
      </c>
      <c r="AH123">
        <v>-0.28985964158439692</v>
      </c>
      <c r="AI123">
        <v>0.25769409230157725</v>
      </c>
      <c r="AJ123">
        <v>6.681103001318249E-2</v>
      </c>
      <c r="AK123">
        <v>5.690047501844895E-2</v>
      </c>
      <c r="AL123">
        <v>4.3397276006543618E-2</v>
      </c>
      <c r="AM123">
        <v>-0.16268246732939462</v>
      </c>
      <c r="AN123">
        <v>-1.7190414446710493E-2</v>
      </c>
      <c r="AO123">
        <v>7.8465705995089036E-2</v>
      </c>
      <c r="AP123">
        <v>0.29504751379949029</v>
      </c>
      <c r="AQ123">
        <v>-0.31379495072991226</v>
      </c>
      <c r="AR123">
        <v>0.21868087835268096</v>
      </c>
      <c r="AS123">
        <v>3.8429359100199866E-2</v>
      </c>
      <c r="AT123">
        <v>-9.3118991955106645E-2</v>
      </c>
      <c r="AU123">
        <v>0.15415656587048707</v>
      </c>
    </row>
    <row r="124" spans="3:47" x14ac:dyDescent="0.2">
      <c r="C124" t="s">
        <v>8</v>
      </c>
      <c r="D124">
        <v>7.0723933062643518E-2</v>
      </c>
      <c r="E124">
        <v>0.22732277889394617</v>
      </c>
      <c r="F124">
        <v>-0.18434631626959766</v>
      </c>
      <c r="G124">
        <v>0.23306519040946938</v>
      </c>
      <c r="H124">
        <v>-0.17411569213158948</v>
      </c>
      <c r="I124">
        <v>0.34598341073444994</v>
      </c>
      <c r="J124">
        <v>-0.31998881334126206</v>
      </c>
      <c r="K124">
        <v>1</v>
      </c>
      <c r="L124">
        <v>0.37866260154832271</v>
      </c>
      <c r="M124">
        <v>0.28906346971394459</v>
      </c>
      <c r="N124">
        <v>0.10147564629951634</v>
      </c>
      <c r="O124">
        <v>0.2212558392902664</v>
      </c>
      <c r="P124">
        <v>8.9747492763982514E-2</v>
      </c>
      <c r="Q124">
        <v>0.30903912581246074</v>
      </c>
      <c r="R124">
        <v>-0.28178638813946572</v>
      </c>
      <c r="S124">
        <v>-0.23685973542106192</v>
      </c>
      <c r="T124">
        <v>0.16445429177504944</v>
      </c>
      <c r="U124">
        <v>-3.9575599867220673E-2</v>
      </c>
      <c r="V124">
        <v>0.10471690179381586</v>
      </c>
      <c r="W124">
        <v>0.19275347738777865</v>
      </c>
      <c r="X124">
        <v>-0.21395960502900835</v>
      </c>
      <c r="Y124">
        <v>-6.8024307983125837E-2</v>
      </c>
      <c r="Z124">
        <v>-0.19573576621098504</v>
      </c>
      <c r="AA124">
        <v>-5.8196867705665609E-2</v>
      </c>
      <c r="AB124">
        <v>0.13671548715235565</v>
      </c>
      <c r="AC124">
        <v>0.33200778533483405</v>
      </c>
      <c r="AD124">
        <v>-0.31801098513994008</v>
      </c>
      <c r="AE124">
        <v>1.0022709110965882E-2</v>
      </c>
      <c r="AF124">
        <v>-3.7495054177174816E-2</v>
      </c>
      <c r="AG124">
        <v>0.17550735112400903</v>
      </c>
      <c r="AH124">
        <v>-7.5243212390447664E-2</v>
      </c>
      <c r="AI124">
        <v>6.2213713109038449E-2</v>
      </c>
      <c r="AJ124">
        <v>-8.2239968040984532E-2</v>
      </c>
      <c r="AK124">
        <v>0.30934550899786456</v>
      </c>
      <c r="AL124">
        <v>-0.15723721910571697</v>
      </c>
      <c r="AM124">
        <v>-0.39309333738708763</v>
      </c>
      <c r="AN124">
        <v>0.10162753455584653</v>
      </c>
      <c r="AO124">
        <v>0.3085501221270554</v>
      </c>
      <c r="AP124">
        <v>-5.4775532755384444E-2</v>
      </c>
      <c r="AQ124">
        <v>-0.26778218909290413</v>
      </c>
      <c r="AR124">
        <v>4.2847184801643214E-2</v>
      </c>
      <c r="AS124">
        <v>2.9782276268529001E-2</v>
      </c>
      <c r="AT124">
        <v>-7.4912355204027781E-2</v>
      </c>
      <c r="AU124">
        <v>5.6195562919276486E-2</v>
      </c>
    </row>
    <row r="125" spans="3:47" x14ac:dyDescent="0.2">
      <c r="C125" t="s">
        <v>9</v>
      </c>
      <c r="D125">
        <v>0.1360693045654526</v>
      </c>
      <c r="E125">
        <v>-0.11983947015268805</v>
      </c>
      <c r="F125">
        <v>0.26923466660818951</v>
      </c>
      <c r="G125">
        <v>-0.44457543958171558</v>
      </c>
      <c r="H125">
        <v>0.37803232295205558</v>
      </c>
      <c r="I125">
        <v>-2.5069083578497058E-2</v>
      </c>
      <c r="J125">
        <v>0.34878274403343318</v>
      </c>
      <c r="K125">
        <v>0.37866260154832376</v>
      </c>
      <c r="L125">
        <v>1</v>
      </c>
      <c r="M125">
        <v>0.25743138053600489</v>
      </c>
      <c r="N125">
        <v>0.13729459246041381</v>
      </c>
      <c r="O125">
        <v>-4.1847872829551477E-2</v>
      </c>
      <c r="P125">
        <v>-9.6587210161588319E-2</v>
      </c>
      <c r="Q125">
        <v>-0.30616232903276608</v>
      </c>
      <c r="R125">
        <v>0.34723014230253818</v>
      </c>
      <c r="S125">
        <v>5.6079795643276205E-2</v>
      </c>
      <c r="T125">
        <v>-0.45685069579596688</v>
      </c>
      <c r="U125">
        <v>-3.941673199767462E-2</v>
      </c>
      <c r="V125">
        <v>0.22195184218276662</v>
      </c>
      <c r="W125">
        <v>-9.9397612665830526E-2</v>
      </c>
      <c r="X125">
        <v>-0.15375906542064213</v>
      </c>
      <c r="Y125">
        <v>0.11741469023138189</v>
      </c>
      <c r="Z125">
        <v>0.24148655008226488</v>
      </c>
      <c r="AA125">
        <v>0.13166488225580827</v>
      </c>
      <c r="AB125">
        <v>-0.21000776115857006</v>
      </c>
      <c r="AC125">
        <v>-0.17742562619836799</v>
      </c>
      <c r="AD125">
        <v>0.21455768888478338</v>
      </c>
      <c r="AE125">
        <v>0.11006089273366415</v>
      </c>
      <c r="AF125">
        <v>2.0170449819596953E-2</v>
      </c>
      <c r="AG125">
        <v>4.0572869249486138E-2</v>
      </c>
      <c r="AH125">
        <v>0.18596337580301753</v>
      </c>
      <c r="AI125">
        <v>-4.7108567834921282E-2</v>
      </c>
      <c r="AJ125">
        <v>-8.0770643802124939E-2</v>
      </c>
      <c r="AK125">
        <v>-9.7610008775749088E-2</v>
      </c>
      <c r="AL125">
        <v>4.8391024835573067E-2</v>
      </c>
      <c r="AM125">
        <v>0.35350773659920592</v>
      </c>
      <c r="AN125">
        <v>-0.10441827883925812</v>
      </c>
      <c r="AO125">
        <v>-0.1187276559677765</v>
      </c>
      <c r="AP125">
        <v>-0.14212638476587272</v>
      </c>
      <c r="AQ125">
        <v>0.30387625942267099</v>
      </c>
      <c r="AR125">
        <v>-0.21032234513491146</v>
      </c>
      <c r="AS125">
        <v>-8.6067890884973394E-2</v>
      </c>
      <c r="AT125">
        <v>0.18447212524593207</v>
      </c>
      <c r="AU125">
        <v>-0.29519642800256213</v>
      </c>
    </row>
    <row r="126" spans="3:47" x14ac:dyDescent="0.2">
      <c r="C126" t="s">
        <v>10</v>
      </c>
      <c r="D126">
        <v>-2.6223597803376564E-3</v>
      </c>
      <c r="E126">
        <v>-6.4262246233440512E-2</v>
      </c>
      <c r="F126">
        <v>-7.9799111677215151E-2</v>
      </c>
      <c r="G126">
        <v>0.13858403047211013</v>
      </c>
      <c r="H126">
        <v>-0.13066955864469562</v>
      </c>
      <c r="I126">
        <v>-7.999430968105406E-2</v>
      </c>
      <c r="J126">
        <v>8.6436095261736706E-2</v>
      </c>
      <c r="K126">
        <v>0.28906346971394464</v>
      </c>
      <c r="L126">
        <v>0.25743138053600556</v>
      </c>
      <c r="M126">
        <v>1</v>
      </c>
      <c r="N126">
        <v>1.5903224727967322E-2</v>
      </c>
      <c r="O126">
        <v>0.27477699365237962</v>
      </c>
      <c r="P126">
        <v>-0.18292917527550598</v>
      </c>
      <c r="Q126">
        <v>-3.7306078104331994E-2</v>
      </c>
      <c r="R126">
        <v>8.2747812223539802E-2</v>
      </c>
      <c r="S126">
        <v>0.11225912061859812</v>
      </c>
      <c r="T126">
        <v>0.26951016037070097</v>
      </c>
      <c r="U126">
        <v>1.441824801146189E-2</v>
      </c>
      <c r="V126">
        <v>-0.21407966694793371</v>
      </c>
      <c r="W126">
        <v>0.10912908339320307</v>
      </c>
      <c r="X126">
        <v>-1.5891553069781617E-2</v>
      </c>
      <c r="Y126">
        <v>-7.8096758244716485E-2</v>
      </c>
      <c r="Z126">
        <v>8.2113536180132729E-2</v>
      </c>
      <c r="AA126">
        <v>-0.17016697348435458</v>
      </c>
      <c r="AB126">
        <v>-6.7453180845576569E-2</v>
      </c>
      <c r="AC126">
        <v>-6.5037729125015584E-2</v>
      </c>
      <c r="AD126">
        <v>0.22993324595179968</v>
      </c>
      <c r="AE126">
        <v>0.14575123474014592</v>
      </c>
      <c r="AF126">
        <v>-1.9130367619035624E-2</v>
      </c>
      <c r="AG126">
        <v>-0.31574372437601345</v>
      </c>
      <c r="AH126">
        <v>-1.8181932092678362E-3</v>
      </c>
      <c r="AI126">
        <v>-5.0719385077715735E-2</v>
      </c>
      <c r="AJ126">
        <v>0.20747513264750406</v>
      </c>
      <c r="AK126">
        <v>-0.15741152951657697</v>
      </c>
      <c r="AL126">
        <v>-3.2454127758849566E-2</v>
      </c>
      <c r="AM126">
        <v>-0.15319651814916407</v>
      </c>
      <c r="AN126">
        <v>5.6852505837922361E-2</v>
      </c>
      <c r="AO126">
        <v>-0.11630389418389007</v>
      </c>
      <c r="AP126">
        <v>0.16413976846986378</v>
      </c>
      <c r="AQ126">
        <v>6.3132390722878559E-2</v>
      </c>
      <c r="AR126">
        <v>2.7044796150344871E-2</v>
      </c>
      <c r="AS126">
        <v>0.15963900718882434</v>
      </c>
      <c r="AT126">
        <v>-0.22206384963162418</v>
      </c>
      <c r="AU126">
        <v>0.25877157233666331</v>
      </c>
    </row>
    <row r="127" spans="3:47" x14ac:dyDescent="0.2">
      <c r="C127" t="s">
        <v>11</v>
      </c>
      <c r="D127">
        <v>-7.2858943466062462E-2</v>
      </c>
      <c r="E127">
        <v>0.1678908603307456</v>
      </c>
      <c r="F127">
        <v>1.2878162092159952E-2</v>
      </c>
      <c r="G127">
        <v>4.5733278827378973E-2</v>
      </c>
      <c r="H127">
        <v>-0.13439551271003222</v>
      </c>
      <c r="I127">
        <v>1.2240430849052337E-2</v>
      </c>
      <c r="J127">
        <v>0.1003577477040153</v>
      </c>
      <c r="K127">
        <v>0.10147564629951557</v>
      </c>
      <c r="L127">
        <v>0.13729459246041451</v>
      </c>
      <c r="M127">
        <v>1.5903224727967489E-2</v>
      </c>
      <c r="N127">
        <v>1</v>
      </c>
      <c r="O127">
        <v>0.13749895111049035</v>
      </c>
      <c r="P127">
        <v>0.27165104204181939</v>
      </c>
      <c r="Q127">
        <v>0.13021619593733938</v>
      </c>
      <c r="R127">
        <v>-4.1320363921095504E-2</v>
      </c>
      <c r="S127">
        <v>9.3340293860106768E-2</v>
      </c>
      <c r="T127">
        <v>-1.5164723168018584E-3</v>
      </c>
      <c r="U127">
        <v>0.17269392761992836</v>
      </c>
      <c r="V127">
        <v>-0.17803771361179879</v>
      </c>
      <c r="W127">
        <v>-1.2071758273441891E-2</v>
      </c>
      <c r="X127">
        <v>0.37575242425989197</v>
      </c>
      <c r="Y127">
        <v>-0.32105265866888111</v>
      </c>
      <c r="Z127">
        <v>-0.131376454597328</v>
      </c>
      <c r="AA127">
        <v>9.4719279253834207E-2</v>
      </c>
      <c r="AB127">
        <v>8.8038994710085292E-2</v>
      </c>
      <c r="AC127">
        <v>5.1176481759586487E-2</v>
      </c>
      <c r="AD127">
        <v>-9.632644477987376E-2</v>
      </c>
      <c r="AE127">
        <v>8.1836142639680018E-2</v>
      </c>
      <c r="AF127">
        <v>3.1267522616125226E-2</v>
      </c>
      <c r="AG127">
        <v>-1.1094197194681757E-2</v>
      </c>
      <c r="AH127">
        <v>-0.14328758814954037</v>
      </c>
      <c r="AI127">
        <v>-0.14003812076347391</v>
      </c>
      <c r="AJ127">
        <v>0.12584568497787638</v>
      </c>
      <c r="AK127">
        <v>-0.11763340223262364</v>
      </c>
      <c r="AL127">
        <v>0.22362279388788645</v>
      </c>
      <c r="AM127">
        <v>5.6350041581011277E-2</v>
      </c>
      <c r="AN127">
        <v>2.3312850483904673E-2</v>
      </c>
      <c r="AO127">
        <v>-0.22579359203887148</v>
      </c>
      <c r="AP127">
        <v>-8.4974070130773294E-2</v>
      </c>
      <c r="AQ127">
        <v>-9.1233498837975102E-3</v>
      </c>
      <c r="AR127">
        <v>0.19229756618120594</v>
      </c>
      <c r="AS127">
        <v>7.2485522582373882E-2</v>
      </c>
      <c r="AT127">
        <v>9.3501470692648869E-3</v>
      </c>
      <c r="AU127">
        <v>-0.10784219872355473</v>
      </c>
    </row>
    <row r="128" spans="3:47" x14ac:dyDescent="0.2">
      <c r="C128" t="s">
        <v>12</v>
      </c>
      <c r="D128">
        <v>6.099843480642695E-2</v>
      </c>
      <c r="E128">
        <v>-0.26014383527174789</v>
      </c>
      <c r="F128">
        <v>2.3700146171464764E-2</v>
      </c>
      <c r="G128">
        <v>-0.16684942237648462</v>
      </c>
      <c r="H128">
        <v>-5.8456098075734537E-4</v>
      </c>
      <c r="I128">
        <v>0.10719843088411427</v>
      </c>
      <c r="J128">
        <v>-0.11791538919220843</v>
      </c>
      <c r="K128">
        <v>0.22125583929026613</v>
      </c>
      <c r="L128">
        <v>-4.1847872829551568E-2</v>
      </c>
      <c r="M128">
        <v>0.27477699365237934</v>
      </c>
      <c r="N128">
        <v>0.13749895111049054</v>
      </c>
      <c r="O128">
        <v>0.99999999999999978</v>
      </c>
      <c r="P128">
        <v>0.39306905385913188</v>
      </c>
      <c r="Q128">
        <v>-0.15007067058535817</v>
      </c>
      <c r="R128">
        <v>-1.6672421273090311E-2</v>
      </c>
      <c r="S128">
        <v>0.15125763341396573</v>
      </c>
      <c r="T128">
        <v>-9.9639387713281805E-2</v>
      </c>
      <c r="U128">
        <v>-7.8909790182300307E-2</v>
      </c>
      <c r="V128">
        <v>0.21487892923909471</v>
      </c>
      <c r="W128">
        <v>-0.19019497552090514</v>
      </c>
      <c r="X128">
        <v>0.14704674533592871</v>
      </c>
      <c r="Y128">
        <v>0.23287572718022953</v>
      </c>
      <c r="Z128">
        <v>1.0266665289587121E-2</v>
      </c>
      <c r="AA128">
        <v>3.6323991353713697E-2</v>
      </c>
      <c r="AB128">
        <v>-0.11257876047115947</v>
      </c>
      <c r="AC128">
        <v>2.6684737072770619E-2</v>
      </c>
      <c r="AD128">
        <v>-0.11083460087665029</v>
      </c>
      <c r="AE128">
        <v>2.6396490609229873E-2</v>
      </c>
      <c r="AF128">
        <v>0.11354520989659159</v>
      </c>
      <c r="AG128">
        <v>-0.18985693029846812</v>
      </c>
      <c r="AH128">
        <v>3.1618757575376535E-2</v>
      </c>
      <c r="AI128">
        <v>-0.11041246779387552</v>
      </c>
      <c r="AJ128">
        <v>0.17118686658262744</v>
      </c>
      <c r="AK128">
        <v>-3.4748526332742287E-2</v>
      </c>
      <c r="AL128">
        <v>-5.6784072014960663E-2</v>
      </c>
      <c r="AM128">
        <v>0.3148827472697992</v>
      </c>
      <c r="AN128">
        <v>-0.17688961094318612</v>
      </c>
      <c r="AO128">
        <v>6.692547624492394E-2</v>
      </c>
      <c r="AP128">
        <v>0.15780637109216122</v>
      </c>
      <c r="AQ128">
        <v>-0.16941500931132319</v>
      </c>
      <c r="AR128">
        <v>-1.902362514900338E-3</v>
      </c>
      <c r="AS128">
        <v>7.197975204790015E-2</v>
      </c>
      <c r="AT128">
        <v>0.23892255482639707</v>
      </c>
      <c r="AU128">
        <v>-3.0723432816173377E-2</v>
      </c>
    </row>
    <row r="129" spans="3:47" x14ac:dyDescent="0.2">
      <c r="C129" t="s">
        <v>13</v>
      </c>
      <c r="D129">
        <v>-0.22844852709241734</v>
      </c>
      <c r="E129">
        <v>0.13192236140132094</v>
      </c>
      <c r="F129">
        <v>0.11214782437811013</v>
      </c>
      <c r="G129">
        <v>-3.0552861402372927E-2</v>
      </c>
      <c r="H129">
        <v>0.36932508345481568</v>
      </c>
      <c r="I129">
        <v>0.1212242585211343</v>
      </c>
      <c r="J129">
        <v>0.17378132646699157</v>
      </c>
      <c r="K129">
        <v>8.9747492763982709E-2</v>
      </c>
      <c r="L129">
        <v>-9.6587210161588555E-2</v>
      </c>
      <c r="M129">
        <v>-0.18292917527550567</v>
      </c>
      <c r="N129">
        <v>0.27165104204181945</v>
      </c>
      <c r="O129">
        <v>0.3930690538591321</v>
      </c>
      <c r="P129">
        <v>1</v>
      </c>
      <c r="Q129">
        <v>5.034570136822035E-3</v>
      </c>
      <c r="R129">
        <v>0.14298838419443979</v>
      </c>
      <c r="S129">
        <v>-0.10004550349070321</v>
      </c>
      <c r="T129">
        <v>-1.3348627543273879E-2</v>
      </c>
      <c r="U129">
        <v>7.0080511520952835E-2</v>
      </c>
      <c r="V129">
        <v>-0.15005092701134842</v>
      </c>
      <c r="W129">
        <v>-0.11243720123138411</v>
      </c>
      <c r="X129">
        <v>1.4808046213382582E-2</v>
      </c>
      <c r="Y129">
        <v>-0.10489931186668801</v>
      </c>
      <c r="Z129">
        <v>1.7707809235336599E-2</v>
      </c>
      <c r="AA129">
        <v>4.6143353348739063E-2</v>
      </c>
      <c r="AB129">
        <v>0.19184993406969039</v>
      </c>
      <c r="AC129">
        <v>-0.1997118562970796</v>
      </c>
      <c r="AD129">
        <v>0.17242369534366572</v>
      </c>
      <c r="AE129">
        <v>-0.11943616501410821</v>
      </c>
      <c r="AF129">
        <v>-0.16675834560679167</v>
      </c>
      <c r="AG129">
        <v>0.22057558334916771</v>
      </c>
      <c r="AH129">
        <v>0.20935092212053097</v>
      </c>
      <c r="AI129">
        <v>-6.1142484101020189E-2</v>
      </c>
      <c r="AJ129">
        <v>-0.14172392029502021</v>
      </c>
      <c r="AK129">
        <v>-0.13048758314664641</v>
      </c>
      <c r="AL129">
        <v>0.14869898635679721</v>
      </c>
      <c r="AM129">
        <v>3.7678614407174245E-2</v>
      </c>
      <c r="AN129">
        <v>-0.24676537724159969</v>
      </c>
      <c r="AO129">
        <v>-0.1093222468043001</v>
      </c>
      <c r="AP129">
        <v>-2.0163690580354953E-2</v>
      </c>
      <c r="AQ129">
        <v>0.33067705984103785</v>
      </c>
      <c r="AR129">
        <v>6.6017045783668113E-2</v>
      </c>
      <c r="AS129">
        <v>-8.1296798940790449E-2</v>
      </c>
      <c r="AT129">
        <v>-5.9503205117821048E-3</v>
      </c>
      <c r="AU129">
        <v>9.683402104498566E-2</v>
      </c>
    </row>
    <row r="130" spans="3:47" x14ac:dyDescent="0.2">
      <c r="C130" t="s">
        <v>14</v>
      </c>
      <c r="D130">
        <v>-4.9173712387807107E-2</v>
      </c>
      <c r="E130">
        <v>-0.21012074117580215</v>
      </c>
      <c r="F130">
        <v>-6.2159638549291768E-2</v>
      </c>
      <c r="G130">
        <v>-0.13297089991006922</v>
      </c>
      <c r="H130">
        <v>0.24608001262247289</v>
      </c>
      <c r="I130">
        <v>-0.10195203865187297</v>
      </c>
      <c r="J130">
        <v>0.29743639601511573</v>
      </c>
      <c r="K130">
        <v>0.30903912581246146</v>
      </c>
      <c r="L130">
        <v>-0.30616232903276608</v>
      </c>
      <c r="M130">
        <v>-3.7306078104332438E-2</v>
      </c>
      <c r="N130">
        <v>0.13021619593733907</v>
      </c>
      <c r="O130">
        <v>-0.15007067058535822</v>
      </c>
      <c r="P130">
        <v>5.0345701368217687E-3</v>
      </c>
      <c r="Q130">
        <v>1</v>
      </c>
      <c r="R130">
        <v>0.5248055797166874</v>
      </c>
      <c r="S130">
        <v>0.21609119664149551</v>
      </c>
      <c r="T130">
        <v>-9.6102660743935822E-2</v>
      </c>
      <c r="U130">
        <v>0.11584306128885888</v>
      </c>
      <c r="V130">
        <v>0.1206751394250811</v>
      </c>
      <c r="W130">
        <v>-2.2517276246075017E-2</v>
      </c>
      <c r="X130">
        <v>-4.207600397952025E-2</v>
      </c>
      <c r="Y130">
        <v>0.17849331294462548</v>
      </c>
      <c r="Z130">
        <v>-7.7952786328335813E-2</v>
      </c>
      <c r="AA130">
        <v>0.16992750070751991</v>
      </c>
      <c r="AB130">
        <v>-0.12407694684511969</v>
      </c>
      <c r="AC130">
        <v>-0.26436336757981294</v>
      </c>
      <c r="AD130">
        <v>0.10132476253716416</v>
      </c>
      <c r="AE130">
        <v>0.12848491019876063</v>
      </c>
      <c r="AF130">
        <v>-0.11848640776194264</v>
      </c>
      <c r="AG130">
        <v>3.2330710344976323E-3</v>
      </c>
      <c r="AH130">
        <v>0.31896834344403519</v>
      </c>
      <c r="AI130">
        <v>-7.7369879008441084E-2</v>
      </c>
      <c r="AJ130">
        <v>1.924933626178022E-3</v>
      </c>
      <c r="AK130">
        <v>-8.3860139128745792E-2</v>
      </c>
      <c r="AL130">
        <v>-0.1900597527756164</v>
      </c>
      <c r="AM130">
        <v>0.12380563943449874</v>
      </c>
      <c r="AN130">
        <v>0.14146464550463173</v>
      </c>
      <c r="AO130">
        <v>-2.8840698204096051E-2</v>
      </c>
      <c r="AP130">
        <v>-0.14491146346295503</v>
      </c>
      <c r="AQ130">
        <v>0.19263137439895675</v>
      </c>
      <c r="AR130">
        <v>-0.13231615608313874</v>
      </c>
      <c r="AS130">
        <v>-0.2444750465234295</v>
      </c>
      <c r="AT130">
        <v>0.13761615839913088</v>
      </c>
      <c r="AU130">
        <v>0.28272857953561337</v>
      </c>
    </row>
    <row r="131" spans="3:47" x14ac:dyDescent="0.2">
      <c r="C131" t="s">
        <v>15</v>
      </c>
      <c r="D131">
        <v>0.19961920905688699</v>
      </c>
      <c r="E131">
        <v>8.6403016652942269E-2</v>
      </c>
      <c r="F131">
        <v>5.03448500800018E-2</v>
      </c>
      <c r="G131">
        <v>0.1827714832714577</v>
      </c>
      <c r="H131">
        <v>-0.23699102214717235</v>
      </c>
      <c r="I131">
        <v>-4.9929835496639131E-2</v>
      </c>
      <c r="J131">
        <v>-0.28353010045562893</v>
      </c>
      <c r="K131">
        <v>-0.28178638813946649</v>
      </c>
      <c r="L131">
        <v>0.34723014230253874</v>
      </c>
      <c r="M131">
        <v>8.2747812223539913E-2</v>
      </c>
      <c r="N131">
        <v>-4.1320363921095872E-2</v>
      </c>
      <c r="O131">
        <v>-1.6672421273090172E-2</v>
      </c>
      <c r="P131">
        <v>0.14298838419443977</v>
      </c>
      <c r="Q131">
        <v>0.52480557971668762</v>
      </c>
      <c r="R131">
        <v>1</v>
      </c>
      <c r="S131">
        <v>0.16772425926337389</v>
      </c>
      <c r="T131">
        <v>0.49639925583744476</v>
      </c>
      <c r="U131">
        <v>-0.27942902473822229</v>
      </c>
      <c r="V131">
        <v>-0.10962535803750953</v>
      </c>
      <c r="W131">
        <v>0.25939130369198382</v>
      </c>
      <c r="X131">
        <v>-8.8760696710149051E-2</v>
      </c>
      <c r="Y131">
        <v>-2.9119614758047998E-2</v>
      </c>
      <c r="Z131">
        <v>-7.3445446788294233E-2</v>
      </c>
      <c r="AA131">
        <v>-0.13291762767999196</v>
      </c>
      <c r="AB131">
        <v>9.5390683542701152E-2</v>
      </c>
      <c r="AC131">
        <v>0.13932717159673647</v>
      </c>
      <c r="AD131">
        <v>2.767862047625742E-2</v>
      </c>
      <c r="AE131">
        <v>-9.7935542154459959E-2</v>
      </c>
      <c r="AF131">
        <v>0.23460834465906952</v>
      </c>
      <c r="AG131">
        <v>7.9680944777665033E-2</v>
      </c>
      <c r="AH131">
        <v>-0.23370468239799796</v>
      </c>
      <c r="AI131">
        <v>0.16669714990850384</v>
      </c>
      <c r="AJ131">
        <v>-0.14899249145792193</v>
      </c>
      <c r="AK131">
        <v>0.39365938593947103</v>
      </c>
      <c r="AL131">
        <v>-0.20670210700294492</v>
      </c>
      <c r="AM131">
        <v>-0.33360565630428773</v>
      </c>
      <c r="AN131">
        <v>0.12669574011943002</v>
      </c>
      <c r="AO131">
        <v>0.11738344775376128</v>
      </c>
      <c r="AP131">
        <v>0.10055787597238333</v>
      </c>
      <c r="AQ131">
        <v>-0.17705668279336764</v>
      </c>
      <c r="AR131">
        <v>0.16095815697289773</v>
      </c>
      <c r="AS131">
        <v>-0.15846377990748881</v>
      </c>
      <c r="AT131">
        <v>1.8864821554941357E-2</v>
      </c>
      <c r="AU131">
        <v>-2.9464387310727102E-2</v>
      </c>
    </row>
    <row r="132" spans="3:47" x14ac:dyDescent="0.2">
      <c r="C132" t="s">
        <v>16</v>
      </c>
      <c r="D132">
        <v>-0.20382475273999576</v>
      </c>
      <c r="E132">
        <v>0.14353473258608088</v>
      </c>
      <c r="F132">
        <v>-0.11432649075092093</v>
      </c>
      <c r="G132">
        <v>-0.1122278496196556</v>
      </c>
      <c r="H132">
        <v>8.1310047257958235E-2</v>
      </c>
      <c r="I132">
        <v>0.13457126315406473</v>
      </c>
      <c r="J132">
        <v>-4.3490642983562207E-2</v>
      </c>
      <c r="K132">
        <v>-0.23685973542106234</v>
      </c>
      <c r="L132">
        <v>5.6079795643276344E-2</v>
      </c>
      <c r="M132">
        <v>0.11225912061859795</v>
      </c>
      <c r="N132">
        <v>9.3340293860107448E-2</v>
      </c>
      <c r="O132">
        <v>0.15125763341396561</v>
      </c>
      <c r="P132">
        <v>-0.1000455034907024</v>
      </c>
      <c r="Q132">
        <v>0.2160911966414957</v>
      </c>
      <c r="R132">
        <v>0.16772425926337389</v>
      </c>
      <c r="S132">
        <v>1</v>
      </c>
      <c r="T132">
        <v>-4.7910886755592616E-2</v>
      </c>
      <c r="U132">
        <v>0.16433797934327718</v>
      </c>
      <c r="V132">
        <v>0.14593908606456818</v>
      </c>
      <c r="W132">
        <v>-0.10580929977331734</v>
      </c>
      <c r="X132">
        <v>-4.7222712269976402E-2</v>
      </c>
      <c r="Y132">
        <v>-7.3032048024331608E-2</v>
      </c>
      <c r="Z132">
        <v>1.9661221778259543E-2</v>
      </c>
      <c r="AA132">
        <v>-3.8517956066911239E-3</v>
      </c>
      <c r="AB132">
        <v>0.10172743150228422</v>
      </c>
      <c r="AC132">
        <v>0.14266675607144888</v>
      </c>
      <c r="AD132">
        <v>-0.17585919053408094</v>
      </c>
      <c r="AE132">
        <v>4.6591398608425073E-2</v>
      </c>
      <c r="AF132">
        <v>-0.11721073876021045</v>
      </c>
      <c r="AG132">
        <v>0.10625576323306425</v>
      </c>
      <c r="AH132">
        <v>-3.8555113130233347E-2</v>
      </c>
      <c r="AI132">
        <v>0.15031291692227544</v>
      </c>
      <c r="AJ132">
        <v>-9.3905384998677746E-2</v>
      </c>
      <c r="AK132">
        <v>0.19136454704336719</v>
      </c>
      <c r="AL132">
        <v>3.876999290465119E-2</v>
      </c>
      <c r="AM132">
        <v>-0.16625949604947993</v>
      </c>
      <c r="AN132">
        <v>0.10093707935857399</v>
      </c>
      <c r="AO132">
        <v>-5.4255069587033092E-2</v>
      </c>
      <c r="AP132">
        <v>9.5359851911390223E-2</v>
      </c>
      <c r="AQ132">
        <v>-0.14042857923499355</v>
      </c>
      <c r="AR132">
        <v>8.4078794245134592E-2</v>
      </c>
      <c r="AS132">
        <v>0.21528442502953388</v>
      </c>
      <c r="AT132">
        <v>3.4291337954630054E-3</v>
      </c>
      <c r="AU132">
        <v>-0.21406984874814988</v>
      </c>
    </row>
    <row r="133" spans="3:47" x14ac:dyDescent="0.2">
      <c r="C133" t="s">
        <v>17</v>
      </c>
      <c r="D133">
        <v>-0.1285765710550309</v>
      </c>
      <c r="E133">
        <v>0.17863204304717695</v>
      </c>
      <c r="F133">
        <v>6.6598827675864947E-2</v>
      </c>
      <c r="G133">
        <v>-0.20155347737329393</v>
      </c>
      <c r="H133">
        <v>-2.1045320656162068E-2</v>
      </c>
      <c r="I133">
        <v>8.7153015244650162E-2</v>
      </c>
      <c r="J133">
        <v>0.1422773222189643</v>
      </c>
      <c r="K133">
        <v>0.16445429177504989</v>
      </c>
      <c r="L133">
        <v>-0.45685069579596693</v>
      </c>
      <c r="M133">
        <v>0.26951016037070058</v>
      </c>
      <c r="N133">
        <v>-1.5164723168018545E-3</v>
      </c>
      <c r="O133">
        <v>-9.9639387713281805E-2</v>
      </c>
      <c r="P133">
        <v>-1.334862754327378E-2</v>
      </c>
      <c r="Q133">
        <v>-9.6102660743936447E-2</v>
      </c>
      <c r="R133">
        <v>0.49639925583744499</v>
      </c>
      <c r="S133">
        <v>-4.7910886755592609E-2</v>
      </c>
      <c r="T133">
        <v>0.99999999999999978</v>
      </c>
      <c r="U133">
        <v>0.21819568525210128</v>
      </c>
      <c r="V133">
        <v>-3.5249379657492121E-3</v>
      </c>
      <c r="W133">
        <v>-0.25253959422075151</v>
      </c>
      <c r="X133">
        <v>0.13091315258482283</v>
      </c>
      <c r="Y133">
        <v>4.877860541992822E-2</v>
      </c>
      <c r="Z133">
        <v>0.22012218218922772</v>
      </c>
      <c r="AA133">
        <v>0.31526792258994529</v>
      </c>
      <c r="AB133">
        <v>-0.15043987516387386</v>
      </c>
      <c r="AC133">
        <v>-7.6681274789737477E-2</v>
      </c>
      <c r="AD133">
        <v>4.1470851134312384E-2</v>
      </c>
      <c r="AE133">
        <v>0.16828501788038178</v>
      </c>
      <c r="AF133">
        <v>-0.18343143817880542</v>
      </c>
      <c r="AG133">
        <v>9.8317692888523225E-2</v>
      </c>
      <c r="AH133">
        <v>-3.4836211777283757E-2</v>
      </c>
      <c r="AI133">
        <v>4.9169667503608183E-2</v>
      </c>
      <c r="AJ133">
        <v>4.6308625303819351E-4</v>
      </c>
      <c r="AK133">
        <v>-0.11780176489262305</v>
      </c>
      <c r="AL133">
        <v>0.24596092149108351</v>
      </c>
      <c r="AM133">
        <v>0.17311118746710902</v>
      </c>
      <c r="AN133">
        <v>-5.0565023935002534E-2</v>
      </c>
      <c r="AO133">
        <v>-2.1372304781511739E-2</v>
      </c>
      <c r="AP133">
        <v>-6.5734460266742997E-2</v>
      </c>
      <c r="AQ133">
        <v>-1.9470306732964199E-2</v>
      </c>
      <c r="AR133">
        <v>-2.5771390392753474E-2</v>
      </c>
      <c r="AS133">
        <v>0.10531528732112058</v>
      </c>
      <c r="AT133">
        <v>-0.11101254498965195</v>
      </c>
      <c r="AU133">
        <v>-0.13154817239828048</v>
      </c>
    </row>
    <row r="134" spans="3:47" x14ac:dyDescent="0.2">
      <c r="C134" t="s">
        <v>18</v>
      </c>
      <c r="D134">
        <v>0.27436322731440133</v>
      </c>
      <c r="E134">
        <v>-0.18369461993879668</v>
      </c>
      <c r="F134">
        <v>0.12617258631739484</v>
      </c>
      <c r="G134">
        <v>2.0580663770400336E-2</v>
      </c>
      <c r="H134">
        <v>0.13212983371580608</v>
      </c>
      <c r="I134">
        <v>3.429661134254346E-3</v>
      </c>
      <c r="J134">
        <v>-0.15972728528834337</v>
      </c>
      <c r="K134">
        <v>-3.957559986722007E-2</v>
      </c>
      <c r="L134">
        <v>-3.9416731997674571E-2</v>
      </c>
      <c r="M134">
        <v>1.4418248011461441E-2</v>
      </c>
      <c r="N134">
        <v>0.17269392761992775</v>
      </c>
      <c r="O134">
        <v>-7.8909790182300057E-2</v>
      </c>
      <c r="P134">
        <v>7.0080511520953029E-2</v>
      </c>
      <c r="Q134">
        <v>0.11584306128885861</v>
      </c>
      <c r="R134">
        <v>-0.27942902473822234</v>
      </c>
      <c r="S134">
        <v>0.16433797934327762</v>
      </c>
      <c r="T134">
        <v>0.21819568525210117</v>
      </c>
      <c r="U134">
        <v>1</v>
      </c>
      <c r="V134">
        <v>0.16241665176143869</v>
      </c>
      <c r="W134">
        <v>8.7132316290038717E-2</v>
      </c>
      <c r="X134">
        <v>-0.37763642120148666</v>
      </c>
      <c r="Y134">
        <v>0.25770124885277823</v>
      </c>
      <c r="Z134">
        <v>6.2530235251145629E-3</v>
      </c>
      <c r="AA134">
        <v>-1.3113222718648492E-3</v>
      </c>
      <c r="AB134">
        <v>-0.1924348120494298</v>
      </c>
      <c r="AC134">
        <v>0.3074816588112988</v>
      </c>
      <c r="AD134">
        <v>-0.14258809783491608</v>
      </c>
      <c r="AE134">
        <v>4.0055769755464377E-2</v>
      </c>
      <c r="AF134">
        <v>0.29323011720727832</v>
      </c>
      <c r="AG134">
        <v>-7.6632855289866408E-2</v>
      </c>
      <c r="AH134">
        <v>6.7282267425958664E-2</v>
      </c>
      <c r="AI134">
        <v>7.9700298237621287E-2</v>
      </c>
      <c r="AJ134">
        <v>-5.5942898623095004E-2</v>
      </c>
      <c r="AK134">
        <v>0.21680205178570883</v>
      </c>
      <c r="AL134">
        <v>-0.36891274573566057</v>
      </c>
      <c r="AM134">
        <v>-0.13708000714462829</v>
      </c>
      <c r="AN134">
        <v>-5.6362271546266579E-2</v>
      </c>
      <c r="AO134">
        <v>-5.4037018525074081E-2</v>
      </c>
      <c r="AP134">
        <v>0.18445185689804844</v>
      </c>
      <c r="AQ134">
        <v>1.094805422513302E-2</v>
      </c>
      <c r="AR134">
        <v>7.7360881257863806E-2</v>
      </c>
      <c r="AS134">
        <v>1.9865755222137335E-2</v>
      </c>
      <c r="AT134">
        <v>6.4589590852216869E-2</v>
      </c>
      <c r="AU134">
        <v>3.3582627818468977E-2</v>
      </c>
    </row>
    <row r="135" spans="3:47" x14ac:dyDescent="0.2">
      <c r="C135" t="s">
        <v>19</v>
      </c>
      <c r="D135">
        <v>-0.21724599444195625</v>
      </c>
      <c r="E135">
        <v>0.30732948923285142</v>
      </c>
      <c r="F135">
        <v>7.6581753789305415E-2</v>
      </c>
      <c r="G135">
        <v>4.0203185803387394E-2</v>
      </c>
      <c r="H135">
        <v>-0.12230007458558796</v>
      </c>
      <c r="I135">
        <v>4.665184124130109E-2</v>
      </c>
      <c r="J135">
        <v>7.6216074947372814E-2</v>
      </c>
      <c r="K135">
        <v>0.10471690179381486</v>
      </c>
      <c r="L135">
        <v>0.22195184218276692</v>
      </c>
      <c r="M135">
        <v>-0.21407966694793307</v>
      </c>
      <c r="N135">
        <v>-0.17803771361179832</v>
      </c>
      <c r="O135">
        <v>0.21487892923909446</v>
      </c>
      <c r="P135">
        <v>-0.15005092701134862</v>
      </c>
      <c r="Q135">
        <v>0.12067513942508151</v>
      </c>
      <c r="R135">
        <v>-0.10962535803750952</v>
      </c>
      <c r="S135">
        <v>0.14593908606456749</v>
      </c>
      <c r="T135">
        <v>-3.5249379657492524E-3</v>
      </c>
      <c r="U135">
        <v>0.1624166517614388</v>
      </c>
      <c r="V135">
        <v>1</v>
      </c>
      <c r="W135">
        <v>0.34361467485298192</v>
      </c>
      <c r="X135">
        <v>0.37628211872712375</v>
      </c>
      <c r="Y135">
        <v>-3.5036704135203614E-2</v>
      </c>
      <c r="Z135">
        <v>-0.13828766519112298</v>
      </c>
      <c r="AA135">
        <v>4.1058267302727935E-2</v>
      </c>
      <c r="AB135">
        <v>0.12891201907617103</v>
      </c>
      <c r="AC135">
        <v>-5.1710164020891881E-2</v>
      </c>
      <c r="AD135">
        <v>1.1144551572693066E-2</v>
      </c>
      <c r="AE135">
        <v>-0.19317763513954844</v>
      </c>
      <c r="AF135">
        <v>-0.12002941063048644</v>
      </c>
      <c r="AG135">
        <v>0.11126540887746347</v>
      </c>
      <c r="AH135">
        <v>-0.10509520414526215</v>
      </c>
      <c r="AI135">
        <v>9.7268253404380486E-2</v>
      </c>
      <c r="AJ135">
        <v>1.4538560471683054E-2</v>
      </c>
      <c r="AK135">
        <v>-0.10502923986903454</v>
      </c>
      <c r="AL135">
        <v>0.21334239320023837</v>
      </c>
      <c r="AM135">
        <v>-1.8291111585834866E-2</v>
      </c>
      <c r="AN135">
        <v>-2.7336883387755456E-2</v>
      </c>
      <c r="AO135">
        <v>-8.6492063112345918E-2</v>
      </c>
      <c r="AP135">
        <v>9.8695624168242513E-2</v>
      </c>
      <c r="AQ135">
        <v>3.9588841720353762E-2</v>
      </c>
      <c r="AR135">
        <v>6.505649826612267E-2</v>
      </c>
      <c r="AS135">
        <v>-9.3262533553996413E-2</v>
      </c>
      <c r="AT135">
        <v>-0.11538244524663971</v>
      </c>
      <c r="AU135">
        <v>0.10507792639931482</v>
      </c>
    </row>
    <row r="136" spans="3:47" x14ac:dyDescent="0.2">
      <c r="C136" t="s">
        <v>20</v>
      </c>
      <c r="D136">
        <v>-0.11724372734798993</v>
      </c>
      <c r="E136">
        <v>3.301325042316796E-2</v>
      </c>
      <c r="F136">
        <v>1.3277759051267228E-2</v>
      </c>
      <c r="G136">
        <v>-0.16647231817478575</v>
      </c>
      <c r="H136">
        <v>0.10247762341092576</v>
      </c>
      <c r="I136">
        <v>3.6336189168153281E-2</v>
      </c>
      <c r="J136">
        <v>1.0321704786429986E-2</v>
      </c>
      <c r="K136">
        <v>0.19275347738777868</v>
      </c>
      <c r="L136">
        <v>-9.9397612665830873E-2</v>
      </c>
      <c r="M136">
        <v>0.10912908339320326</v>
      </c>
      <c r="N136">
        <v>-1.2071758273441466E-2</v>
      </c>
      <c r="O136">
        <v>-0.19019497552090556</v>
      </c>
      <c r="P136">
        <v>-0.11243720123138394</v>
      </c>
      <c r="Q136">
        <v>-2.2517276246075125E-2</v>
      </c>
      <c r="R136">
        <v>0.2593913036919841</v>
      </c>
      <c r="S136">
        <v>-0.10580929977331759</v>
      </c>
      <c r="T136">
        <v>-0.25253959422075178</v>
      </c>
      <c r="U136">
        <v>8.713231629003855E-2</v>
      </c>
      <c r="V136">
        <v>0.34361467485298236</v>
      </c>
      <c r="W136">
        <v>0.99999999999999978</v>
      </c>
      <c r="X136">
        <v>0.35665578000659309</v>
      </c>
      <c r="Y136">
        <v>-0.16809651017186705</v>
      </c>
      <c r="Z136">
        <v>0.25830407863654431</v>
      </c>
      <c r="AA136">
        <v>0.10748379703375602</v>
      </c>
      <c r="AB136">
        <v>0.13860519512355082</v>
      </c>
      <c r="AC136">
        <v>-3.3924400343983037E-2</v>
      </c>
      <c r="AD136">
        <v>-9.2818779590993564E-2</v>
      </c>
      <c r="AE136">
        <v>9.7648089255838413E-2</v>
      </c>
      <c r="AF136">
        <v>-0.16032882438005722</v>
      </c>
      <c r="AG136">
        <v>4.7748931343935951E-2</v>
      </c>
      <c r="AH136">
        <v>-1.8953334664572628E-2</v>
      </c>
      <c r="AI136">
        <v>3.6814199026151115E-2</v>
      </c>
      <c r="AJ136">
        <v>0.12854158633884222</v>
      </c>
      <c r="AK136">
        <v>-0.17259322288727569</v>
      </c>
      <c r="AL136">
        <v>0.20788954679918545</v>
      </c>
      <c r="AM136">
        <v>0.26761111344337829</v>
      </c>
      <c r="AN136">
        <v>-0.2465110073023066</v>
      </c>
      <c r="AO136">
        <v>-0.13696547638483916</v>
      </c>
      <c r="AP136">
        <v>1.4588156577132812E-2</v>
      </c>
      <c r="AQ136">
        <v>5.6997758968981536E-2</v>
      </c>
      <c r="AR136">
        <v>-4.3695730370747379E-2</v>
      </c>
      <c r="AS136">
        <v>0.24243975236665646</v>
      </c>
      <c r="AT136">
        <v>-0.12594749706142017</v>
      </c>
      <c r="AU136">
        <v>-4.5941797609517124E-2</v>
      </c>
    </row>
    <row r="137" spans="3:47" x14ac:dyDescent="0.2">
      <c r="C137" t="s">
        <v>21</v>
      </c>
      <c r="D137">
        <v>0.23086690387322054</v>
      </c>
      <c r="E137">
        <v>-0.18944304807659612</v>
      </c>
      <c r="F137">
        <v>8.8951087234924425E-2</v>
      </c>
      <c r="G137">
        <v>9.8829559876919739E-3</v>
      </c>
      <c r="H137">
        <v>0.14073470825956477</v>
      </c>
      <c r="I137">
        <v>-8.4308265104885732E-2</v>
      </c>
      <c r="J137">
        <v>-0.1128986991264649</v>
      </c>
      <c r="K137">
        <v>-0.2139596050290074</v>
      </c>
      <c r="L137">
        <v>-0.15375906542064177</v>
      </c>
      <c r="M137">
        <v>-1.5891553069782571E-2</v>
      </c>
      <c r="N137">
        <v>0.37575242425989103</v>
      </c>
      <c r="O137">
        <v>0.14704674533592962</v>
      </c>
      <c r="P137">
        <v>1.4808046213382591E-2</v>
      </c>
      <c r="Q137">
        <v>-4.2076003979520354E-2</v>
      </c>
      <c r="R137">
        <v>-8.8760696710149536E-2</v>
      </c>
      <c r="S137">
        <v>-4.7222712269975611E-2</v>
      </c>
      <c r="T137">
        <v>0.13091315258482333</v>
      </c>
      <c r="U137">
        <v>-0.37763642120148661</v>
      </c>
      <c r="V137">
        <v>0.37628211872712319</v>
      </c>
      <c r="W137">
        <v>0.35665578000659348</v>
      </c>
      <c r="X137">
        <v>1</v>
      </c>
      <c r="Y137">
        <v>0.24599030323677612</v>
      </c>
      <c r="Z137">
        <v>6.529394861353767E-2</v>
      </c>
      <c r="AA137">
        <v>-5.9313579735659847E-3</v>
      </c>
      <c r="AB137">
        <v>-0.19076946062048356</v>
      </c>
      <c r="AC137">
        <v>7.9721343106493953E-2</v>
      </c>
      <c r="AD137">
        <v>0.26359058795754703</v>
      </c>
      <c r="AE137">
        <v>0.1624383982085339</v>
      </c>
      <c r="AF137">
        <v>7.0207090263305891E-2</v>
      </c>
      <c r="AG137">
        <v>2.8450465132126315E-2</v>
      </c>
      <c r="AH137">
        <v>-4.1423965840892779E-2</v>
      </c>
      <c r="AI137">
        <v>0.24833458842204334</v>
      </c>
      <c r="AJ137">
        <v>-0.36083767874724781</v>
      </c>
      <c r="AK137">
        <v>0.40382829341853382</v>
      </c>
      <c r="AL137">
        <v>-0.40592087768822643</v>
      </c>
      <c r="AM137">
        <v>-0.41605070060281901</v>
      </c>
      <c r="AN137">
        <v>0.29960990261178722</v>
      </c>
      <c r="AO137">
        <v>0.18486937199806155</v>
      </c>
      <c r="AP137">
        <v>1.5495030449326796E-2</v>
      </c>
      <c r="AQ137">
        <v>6.7966232407575933E-2</v>
      </c>
      <c r="AR137">
        <v>-0.11032410718391795</v>
      </c>
      <c r="AS137">
        <v>-0.20349231960465275</v>
      </c>
      <c r="AT137">
        <v>0.15643600971121865</v>
      </c>
      <c r="AU137">
        <v>-3.6556897910881958E-2</v>
      </c>
    </row>
    <row r="138" spans="3:47" x14ac:dyDescent="0.2">
      <c r="C138" t="s">
        <v>22</v>
      </c>
      <c r="D138">
        <v>4.16306538251889E-2</v>
      </c>
      <c r="E138">
        <v>0.13018887507271987</v>
      </c>
      <c r="F138">
        <v>0.10931363429222786</v>
      </c>
      <c r="G138">
        <v>-9.6135050473913783E-2</v>
      </c>
      <c r="H138">
        <v>-7.700370840029494E-2</v>
      </c>
      <c r="I138">
        <v>-3.3476970440870064E-3</v>
      </c>
      <c r="J138">
        <v>6.6459103267572692E-2</v>
      </c>
      <c r="K138">
        <v>-6.8024307983126128E-2</v>
      </c>
      <c r="L138">
        <v>0.11741469023138149</v>
      </c>
      <c r="M138">
        <v>-7.8096758244716194E-2</v>
      </c>
      <c r="N138">
        <v>-0.32105265866888039</v>
      </c>
      <c r="O138">
        <v>0.23287572718022947</v>
      </c>
      <c r="P138">
        <v>-0.10489931186668822</v>
      </c>
      <c r="Q138">
        <v>0.17849331294462523</v>
      </c>
      <c r="R138">
        <v>-2.9119614758047134E-2</v>
      </c>
      <c r="S138">
        <v>-7.3032048024331997E-2</v>
      </c>
      <c r="T138">
        <v>4.8778605419927686E-2</v>
      </c>
      <c r="U138">
        <v>0.25770124885277834</v>
      </c>
      <c r="V138">
        <v>-3.5036704135203205E-2</v>
      </c>
      <c r="W138">
        <v>-0.16809651017186736</v>
      </c>
      <c r="X138">
        <v>0.24599030323677598</v>
      </c>
      <c r="Y138">
        <v>1</v>
      </c>
      <c r="Z138">
        <v>0.27492423960015161</v>
      </c>
      <c r="AA138">
        <v>-0.12521079858462419</v>
      </c>
      <c r="AB138">
        <v>0.26029374379796594</v>
      </c>
      <c r="AC138">
        <v>0.12704620249210571</v>
      </c>
      <c r="AD138">
        <v>-4.5498085788477451E-2</v>
      </c>
      <c r="AE138">
        <v>1.4381361166115686E-2</v>
      </c>
      <c r="AF138">
        <v>-0.15382854524766107</v>
      </c>
      <c r="AG138">
        <v>0.20272617933495465</v>
      </c>
      <c r="AH138">
        <v>-0.21020327735489766</v>
      </c>
      <c r="AI138">
        <v>-5.160861408468667E-3</v>
      </c>
      <c r="AJ138">
        <v>0.13011985290146802</v>
      </c>
      <c r="AK138">
        <v>-9.49351411331813E-2</v>
      </c>
      <c r="AL138">
        <v>0.21233367106826451</v>
      </c>
      <c r="AM138">
        <v>-0.10352215777273874</v>
      </c>
      <c r="AN138">
        <v>-0.13683875173744278</v>
      </c>
      <c r="AO138">
        <v>7.0566913751363647E-2</v>
      </c>
      <c r="AP138">
        <v>-0.14185079749406981</v>
      </c>
      <c r="AQ138">
        <v>0.22498437529341467</v>
      </c>
      <c r="AR138">
        <v>8.3660875377000662E-3</v>
      </c>
      <c r="AS138">
        <v>0.18588821200720582</v>
      </c>
      <c r="AT138">
        <v>-0.27464916844075754</v>
      </c>
      <c r="AU138">
        <v>0.11453880900395937</v>
      </c>
    </row>
    <row r="139" spans="3:47" x14ac:dyDescent="0.2">
      <c r="C139" t="s">
        <v>23</v>
      </c>
      <c r="D139">
        <v>-0.33244194551422873</v>
      </c>
      <c r="E139">
        <v>7.903142812568742E-2</v>
      </c>
      <c r="F139">
        <v>-0.25672391703393199</v>
      </c>
      <c r="G139">
        <v>0.2162924499414258</v>
      </c>
      <c r="H139">
        <v>8.5328023832924205E-2</v>
      </c>
      <c r="I139">
        <v>7.2539405804582111E-2</v>
      </c>
      <c r="J139">
        <v>-0.11655263725070553</v>
      </c>
      <c r="K139">
        <v>-0.19573576621098551</v>
      </c>
      <c r="L139">
        <v>0.24148655008226463</v>
      </c>
      <c r="M139">
        <v>8.2113536180132882E-2</v>
      </c>
      <c r="N139">
        <v>-0.13137645459732775</v>
      </c>
      <c r="O139">
        <v>1.0266665289587367E-2</v>
      </c>
      <c r="P139">
        <v>1.770780923533611E-2</v>
      </c>
      <c r="Q139">
        <v>-7.7952786328335577E-2</v>
      </c>
      <c r="R139">
        <v>-7.3445446788294122E-2</v>
      </c>
      <c r="S139">
        <v>1.9661221778259259E-2</v>
      </c>
      <c r="T139">
        <v>0.22012218218922769</v>
      </c>
      <c r="U139">
        <v>6.2530235251145889E-3</v>
      </c>
      <c r="V139">
        <v>-0.1382876651911229</v>
      </c>
      <c r="W139">
        <v>0.25830407863654392</v>
      </c>
      <c r="X139">
        <v>6.5293948613537628E-2</v>
      </c>
      <c r="Y139">
        <v>0.27492423960015122</v>
      </c>
      <c r="Z139">
        <v>0.99999999999999978</v>
      </c>
      <c r="AA139">
        <v>0.15743852554608104</v>
      </c>
      <c r="AB139">
        <v>0.17711875110605832</v>
      </c>
      <c r="AC139">
        <v>0.17993974874345889</v>
      </c>
      <c r="AD139">
        <v>-9.6257879503192062E-2</v>
      </c>
      <c r="AE139">
        <v>-0.15667534853607598</v>
      </c>
      <c r="AF139">
        <v>0.17149828809957218</v>
      </c>
      <c r="AG139">
        <v>-8.6438063313346414E-2</v>
      </c>
      <c r="AH139">
        <v>0.16286060849796305</v>
      </c>
      <c r="AI139">
        <v>-1.1923301257206413E-2</v>
      </c>
      <c r="AJ139">
        <v>-4.4328223406646425E-2</v>
      </c>
      <c r="AK139">
        <v>-5.960212198242637E-2</v>
      </c>
      <c r="AL139">
        <v>-0.12301196845601091</v>
      </c>
      <c r="AM139">
        <v>4.8646767181486507E-2</v>
      </c>
      <c r="AN139">
        <v>0.10936289581973965</v>
      </c>
      <c r="AO139">
        <v>-0.14229706651874</v>
      </c>
      <c r="AP139">
        <v>7.8984992670597387E-2</v>
      </c>
      <c r="AQ139">
        <v>-9.22259121180804E-2</v>
      </c>
      <c r="AR139">
        <v>0.30706282113597122</v>
      </c>
      <c r="AS139">
        <v>-5.8796745839575061E-3</v>
      </c>
      <c r="AT139">
        <v>0.15605583513209773</v>
      </c>
      <c r="AU139">
        <v>-9.0029366961549062E-2</v>
      </c>
    </row>
    <row r="140" spans="3:47" x14ac:dyDescent="0.2">
      <c r="C140" t="s">
        <v>24</v>
      </c>
      <c r="D140">
        <v>0.11601344384910657</v>
      </c>
      <c r="E140">
        <v>-0.14006094790265813</v>
      </c>
      <c r="F140">
        <v>0.16431465429891789</v>
      </c>
      <c r="G140">
        <v>-1.6337154408235507E-2</v>
      </c>
      <c r="H140">
        <v>-0.16707648383634191</v>
      </c>
      <c r="I140">
        <v>-0.1536768225320351</v>
      </c>
      <c r="J140">
        <v>-7.1735583863461932E-2</v>
      </c>
      <c r="K140">
        <v>-5.819686770566556E-2</v>
      </c>
      <c r="L140">
        <v>0.13166488225580794</v>
      </c>
      <c r="M140">
        <v>-0.17016697348435422</v>
      </c>
      <c r="N140">
        <v>9.4719279253834374E-2</v>
      </c>
      <c r="O140">
        <v>3.6323991353713322E-2</v>
      </c>
      <c r="P140">
        <v>4.6143353348739119E-2</v>
      </c>
      <c r="Q140">
        <v>0.16992750070751969</v>
      </c>
      <c r="R140">
        <v>-0.13291762767999177</v>
      </c>
      <c r="S140">
        <v>-3.8517956066909335E-3</v>
      </c>
      <c r="T140">
        <v>0.31526792258994485</v>
      </c>
      <c r="U140">
        <v>-1.3113222718649196E-3</v>
      </c>
      <c r="V140">
        <v>4.1058267302728088E-2</v>
      </c>
      <c r="W140">
        <v>0.10748379703375574</v>
      </c>
      <c r="X140">
        <v>-5.931357973565885E-3</v>
      </c>
      <c r="Y140">
        <v>-0.12521079858462414</v>
      </c>
      <c r="Z140">
        <v>0.15743852554608109</v>
      </c>
      <c r="AA140">
        <v>1</v>
      </c>
      <c r="AB140">
        <v>0.29479541816339744</v>
      </c>
      <c r="AC140">
        <v>4.2254031842832274E-2</v>
      </c>
      <c r="AD140">
        <v>-2.9555784498306509E-2</v>
      </c>
      <c r="AE140">
        <v>-0.13992570909407742</v>
      </c>
      <c r="AF140">
        <v>9.9893086791779509E-2</v>
      </c>
      <c r="AG140">
        <v>-4.3400776192469022E-2</v>
      </c>
      <c r="AH140">
        <v>-4.5635461065633071E-2</v>
      </c>
      <c r="AI140">
        <v>-0.12698353924682368</v>
      </c>
      <c r="AJ140">
        <v>0.16686193689868312</v>
      </c>
      <c r="AK140">
        <v>-0.15179793223544383</v>
      </c>
      <c r="AL140">
        <v>0.10121117023567248</v>
      </c>
      <c r="AM140">
        <v>0.10124454364862798</v>
      </c>
      <c r="AN140">
        <v>-3.9241566283411647E-2</v>
      </c>
      <c r="AO140">
        <v>0.10999745435392008</v>
      </c>
      <c r="AP140">
        <v>6.5007067057145151E-2</v>
      </c>
      <c r="AQ140">
        <v>-5.7357052052947916E-2</v>
      </c>
      <c r="AR140">
        <v>-6.8353645523727941E-2</v>
      </c>
      <c r="AS140">
        <v>4.761463180130017E-2</v>
      </c>
      <c r="AT140">
        <v>7.6568926194846648E-2</v>
      </c>
      <c r="AU140">
        <v>-4.5489154069617468E-2</v>
      </c>
    </row>
    <row r="141" spans="3:47" x14ac:dyDescent="0.2">
      <c r="C141" t="s">
        <v>25</v>
      </c>
      <c r="D141">
        <v>0.20857046554547198</v>
      </c>
      <c r="E141">
        <v>-4.948700211298148E-2</v>
      </c>
      <c r="F141">
        <v>-0.13858831268319852</v>
      </c>
      <c r="G141">
        <v>-3.1899745436118156E-2</v>
      </c>
      <c r="H141">
        <v>0.11268808653592277</v>
      </c>
      <c r="I141">
        <v>1.1246987935089557E-3</v>
      </c>
      <c r="J141">
        <v>0.13760352933686781</v>
      </c>
      <c r="K141">
        <v>0.13671548715235579</v>
      </c>
      <c r="L141">
        <v>-0.21000776115856917</v>
      </c>
      <c r="M141">
        <v>-6.7453180845576999E-2</v>
      </c>
      <c r="N141">
        <v>8.8038994710084681E-2</v>
      </c>
      <c r="O141">
        <v>-0.11257876047115919</v>
      </c>
      <c r="P141">
        <v>0.19184993406969045</v>
      </c>
      <c r="Q141">
        <v>-0.12407694684511951</v>
      </c>
      <c r="R141">
        <v>9.5390683542700749E-2</v>
      </c>
      <c r="S141">
        <v>0.10172743150228448</v>
      </c>
      <c r="T141">
        <v>-0.1504398751638735</v>
      </c>
      <c r="U141">
        <v>-0.19243481204942967</v>
      </c>
      <c r="V141">
        <v>0.12891201907617028</v>
      </c>
      <c r="W141">
        <v>0.13860519512355129</v>
      </c>
      <c r="X141">
        <v>-0.19076946062048308</v>
      </c>
      <c r="Y141">
        <v>0.2602937437979661</v>
      </c>
      <c r="Z141">
        <v>0.17711875110605763</v>
      </c>
      <c r="AA141">
        <v>0.29479541816339766</v>
      </c>
      <c r="AB141">
        <v>1</v>
      </c>
      <c r="AC141">
        <v>-1.4534486788180957E-2</v>
      </c>
      <c r="AD141">
        <v>0.26284194238903108</v>
      </c>
      <c r="AE141">
        <v>-3.1535242301274691E-2</v>
      </c>
      <c r="AF141">
        <v>0.22357099626776045</v>
      </c>
      <c r="AG141">
        <v>-6.8216657099370998E-2</v>
      </c>
      <c r="AH141">
        <v>0.17943999921220877</v>
      </c>
      <c r="AI141">
        <v>3.0333992093323102E-3</v>
      </c>
      <c r="AJ141">
        <v>-8.2596117029074309E-2</v>
      </c>
      <c r="AK141">
        <v>0.1704683183428409</v>
      </c>
      <c r="AL141">
        <v>-0.1920728269045259</v>
      </c>
      <c r="AM141">
        <v>-8.1818317547918532E-2</v>
      </c>
      <c r="AN141">
        <v>8.4724876256579221E-2</v>
      </c>
      <c r="AO141">
        <v>-2.0608298076358528E-2</v>
      </c>
      <c r="AP141">
        <v>-9.8885254786835089E-2</v>
      </c>
      <c r="AQ141">
        <v>-4.4879308084554578E-2</v>
      </c>
      <c r="AR141">
        <v>-0.16817726493084081</v>
      </c>
      <c r="AS141">
        <v>6.8603061972801974E-3</v>
      </c>
      <c r="AT141">
        <v>-1.0695726312385731E-2</v>
      </c>
      <c r="AU141">
        <v>-2.329858975042657E-2</v>
      </c>
    </row>
    <row r="142" spans="3:47" x14ac:dyDescent="0.2">
      <c r="C142" t="s">
        <v>26</v>
      </c>
      <c r="D142">
        <v>7.4733596568611532E-2</v>
      </c>
      <c r="E142">
        <v>-0.19543104203368791</v>
      </c>
      <c r="F142">
        <v>0.21903621121826872</v>
      </c>
      <c r="G142">
        <v>-6.5615182367947902E-2</v>
      </c>
      <c r="H142">
        <v>0.23871860043240511</v>
      </c>
      <c r="I142">
        <v>-0.18165843928792597</v>
      </c>
      <c r="J142">
        <v>0.18134840888642542</v>
      </c>
      <c r="K142">
        <v>0.33200778533483427</v>
      </c>
      <c r="L142">
        <v>-0.17742562619836769</v>
      </c>
      <c r="M142">
        <v>-6.5037729125015653E-2</v>
      </c>
      <c r="N142">
        <v>5.1176481759586112E-2</v>
      </c>
      <c r="O142">
        <v>2.668473707277054E-2</v>
      </c>
      <c r="P142">
        <v>-0.19971185629707963</v>
      </c>
      <c r="Q142">
        <v>-0.2643633675798126</v>
      </c>
      <c r="R142">
        <v>0.13932717159673616</v>
      </c>
      <c r="S142">
        <v>0.14266675607144855</v>
      </c>
      <c r="T142">
        <v>-7.6681274789737144E-2</v>
      </c>
      <c r="U142">
        <v>0.30748165881129891</v>
      </c>
      <c r="V142">
        <v>-5.1710164020892221E-2</v>
      </c>
      <c r="W142">
        <v>-3.3924400343983252E-2</v>
      </c>
      <c r="X142">
        <v>7.9721343106494535E-2</v>
      </c>
      <c r="Y142">
        <v>0.12704620249210555</v>
      </c>
      <c r="Z142">
        <v>0.17993974874345914</v>
      </c>
      <c r="AA142">
        <v>4.2254031842832072E-2</v>
      </c>
      <c r="AB142">
        <v>-1.4534486788181127E-2</v>
      </c>
      <c r="AC142">
        <v>1</v>
      </c>
      <c r="AD142">
        <v>0.41047564601248376</v>
      </c>
      <c r="AE142">
        <v>9.811366660985979E-2</v>
      </c>
      <c r="AF142">
        <v>-0.21511239954598785</v>
      </c>
      <c r="AG142">
        <v>6.2611286477185821E-2</v>
      </c>
      <c r="AH142">
        <v>0.25958166052258297</v>
      </c>
      <c r="AI142">
        <v>-9.970649191824546E-2</v>
      </c>
      <c r="AJ142">
        <v>-0.21873962836511984</v>
      </c>
      <c r="AK142">
        <v>-6.0505628846884714E-2</v>
      </c>
      <c r="AL142">
        <v>0.232934059716388</v>
      </c>
      <c r="AM142">
        <v>0.15043209785506501</v>
      </c>
      <c r="AN142">
        <v>3.6788357450252676E-2</v>
      </c>
      <c r="AO142">
        <v>4.4519436495141444E-2</v>
      </c>
      <c r="AP142">
        <v>-0.17270229933282591</v>
      </c>
      <c r="AQ142">
        <v>0.12460021235391065</v>
      </c>
      <c r="AR142">
        <v>-0.17288398868461935</v>
      </c>
      <c r="AS142">
        <v>-0.30216373664160318</v>
      </c>
      <c r="AT142">
        <v>5.3867479850584661E-2</v>
      </c>
      <c r="AU142">
        <v>3.2140616494822118E-2</v>
      </c>
    </row>
    <row r="143" spans="3:47" x14ac:dyDescent="0.2">
      <c r="C143" t="s">
        <v>27</v>
      </c>
      <c r="D143">
        <v>-0.12774726892597862</v>
      </c>
      <c r="E143">
        <v>0.14277592090478625</v>
      </c>
      <c r="F143">
        <v>-0.16233559802185885</v>
      </c>
      <c r="G143">
        <v>9.6228595627389626E-2</v>
      </c>
      <c r="H143">
        <v>-0.14557069582014029</v>
      </c>
      <c r="I143">
        <v>0.21738138695159195</v>
      </c>
      <c r="J143">
        <v>-0.12761370320094606</v>
      </c>
      <c r="K143">
        <v>-0.31801098513994008</v>
      </c>
      <c r="L143">
        <v>0.21455768888478222</v>
      </c>
      <c r="M143">
        <v>0.22993324595179976</v>
      </c>
      <c r="N143">
        <v>-9.6326444779872733E-2</v>
      </c>
      <c r="O143">
        <v>-0.11083460087665069</v>
      </c>
      <c r="P143">
        <v>0.17242369534366575</v>
      </c>
      <c r="Q143">
        <v>0.10132476253716353</v>
      </c>
      <c r="R143">
        <v>2.7678620476258312E-2</v>
      </c>
      <c r="S143">
        <v>-0.17585919053408089</v>
      </c>
      <c r="T143">
        <v>4.1470851134311808E-2</v>
      </c>
      <c r="U143">
        <v>-0.14258809783491652</v>
      </c>
      <c r="V143">
        <v>1.1144551572694355E-2</v>
      </c>
      <c r="W143">
        <v>-9.2818779590993564E-2</v>
      </c>
      <c r="X143">
        <v>0.26359058795754547</v>
      </c>
      <c r="Y143">
        <v>-4.5498085788476979E-2</v>
      </c>
      <c r="Z143">
        <v>-9.625787950319184E-2</v>
      </c>
      <c r="AA143">
        <v>-2.955578449830638E-2</v>
      </c>
      <c r="AB143">
        <v>0.2628419423890308</v>
      </c>
      <c r="AC143">
        <v>0.4104756460124836</v>
      </c>
      <c r="AD143">
        <v>1</v>
      </c>
      <c r="AE143">
        <v>9.3992895277489233E-2</v>
      </c>
      <c r="AF143">
        <v>6.3171855185569004E-2</v>
      </c>
      <c r="AG143">
        <v>2.629897110876998E-2</v>
      </c>
      <c r="AH143">
        <v>-5.4619697245452813E-2</v>
      </c>
      <c r="AI143">
        <v>-5.9399409012887282E-2</v>
      </c>
      <c r="AJ143">
        <v>0.2443041836256982</v>
      </c>
      <c r="AK143">
        <v>-8.4495760891992469E-2</v>
      </c>
      <c r="AL143">
        <v>7.8374502633334509E-2</v>
      </c>
      <c r="AM143">
        <v>8.0411690329213845E-2</v>
      </c>
      <c r="AN143">
        <v>-0.14061965006850619</v>
      </c>
      <c r="AO143">
        <v>9.5086669209523231E-2</v>
      </c>
      <c r="AP143">
        <v>0.11015829892766821</v>
      </c>
      <c r="AQ143">
        <v>-0.26555289499252754</v>
      </c>
      <c r="AR143">
        <v>0.1886908263847451</v>
      </c>
      <c r="AS143">
        <v>0.26735749647244678</v>
      </c>
      <c r="AT143">
        <v>-0.13098291495797182</v>
      </c>
      <c r="AU143">
        <v>3.3090563095670884E-2</v>
      </c>
    </row>
    <row r="144" spans="3:47" x14ac:dyDescent="0.2">
      <c r="C144" t="s">
        <v>28</v>
      </c>
      <c r="D144">
        <v>-1.2012729894218893E-2</v>
      </c>
      <c r="E144">
        <v>-5.7571294630524801E-2</v>
      </c>
      <c r="F144">
        <v>-5.3678434982363694E-2</v>
      </c>
      <c r="G144">
        <v>0.16886765686380442</v>
      </c>
      <c r="H144">
        <v>0.11498520969497067</v>
      </c>
      <c r="I144">
        <v>-0.20601960950291812</v>
      </c>
      <c r="J144">
        <v>8.9634889887450719E-2</v>
      </c>
      <c r="K144">
        <v>1.0022709110965172E-2</v>
      </c>
      <c r="L144">
        <v>0.11006089273366439</v>
      </c>
      <c r="M144">
        <v>0.14575123474014667</v>
      </c>
      <c r="N144">
        <v>8.183614263968006E-2</v>
      </c>
      <c r="O144">
        <v>2.6396490609229561E-2</v>
      </c>
      <c r="P144">
        <v>-0.11943616501410802</v>
      </c>
      <c r="Q144">
        <v>0.12848491019876074</v>
      </c>
      <c r="R144">
        <v>-9.7935542154459959E-2</v>
      </c>
      <c r="S144">
        <v>4.6591398608424643E-2</v>
      </c>
      <c r="T144">
        <v>0.16828501788038147</v>
      </c>
      <c r="U144">
        <v>4.0055769755464141E-2</v>
      </c>
      <c r="V144">
        <v>-0.19317763513954841</v>
      </c>
      <c r="W144">
        <v>9.7648089255838233E-2</v>
      </c>
      <c r="X144">
        <v>0.16243839820853442</v>
      </c>
      <c r="Y144">
        <v>1.4381361166115719E-2</v>
      </c>
      <c r="Z144">
        <v>-0.15667534853607631</v>
      </c>
      <c r="AA144">
        <v>-0.13992570909407723</v>
      </c>
      <c r="AB144">
        <v>-3.1535242301274212E-2</v>
      </c>
      <c r="AC144">
        <v>9.8113666609860303E-2</v>
      </c>
      <c r="AD144">
        <v>9.3992895277487915E-2</v>
      </c>
      <c r="AE144">
        <v>1</v>
      </c>
      <c r="AF144">
        <v>0.47780293358119624</v>
      </c>
      <c r="AG144">
        <v>-4.9539900503949297E-2</v>
      </c>
      <c r="AH144">
        <v>0.2532709285165412</v>
      </c>
      <c r="AI144">
        <v>-8.3942733551624696E-2</v>
      </c>
      <c r="AJ144">
        <v>-8.7717399924528358E-2</v>
      </c>
      <c r="AK144">
        <v>-7.0255364645258125E-2</v>
      </c>
      <c r="AL144">
        <v>1.6447820441389951E-2</v>
      </c>
      <c r="AM144">
        <v>0.1606176192685787</v>
      </c>
      <c r="AN144">
        <v>-0.15380387576326751</v>
      </c>
      <c r="AO144">
        <v>-0.19392426908022506</v>
      </c>
      <c r="AP144">
        <v>-8.9386288757017027E-3</v>
      </c>
      <c r="AQ144">
        <v>0.19527979331552714</v>
      </c>
      <c r="AR144">
        <v>3.9674871884534314E-2</v>
      </c>
      <c r="AS144">
        <v>-6.6813499167650836E-2</v>
      </c>
      <c r="AT144">
        <v>0.11084798998144407</v>
      </c>
      <c r="AU144">
        <v>2.8768145077970628E-3</v>
      </c>
    </row>
    <row r="145" spans="3:47" x14ac:dyDescent="0.2">
      <c r="C145" t="s">
        <v>29</v>
      </c>
      <c r="D145">
        <v>-0.11540550593939815</v>
      </c>
      <c r="E145">
        <v>0.11843150214144342</v>
      </c>
      <c r="F145">
        <v>0.14893563947090563</v>
      </c>
      <c r="G145">
        <v>-0.18557645308298198</v>
      </c>
      <c r="H145">
        <v>-2.4617934012504797E-2</v>
      </c>
      <c r="I145">
        <v>0.28815239709452545</v>
      </c>
      <c r="J145">
        <v>-8.0496942917552841E-2</v>
      </c>
      <c r="K145">
        <v>-3.7495054177174331E-2</v>
      </c>
      <c r="L145">
        <v>2.0170449819596047E-2</v>
      </c>
      <c r="M145">
        <v>-1.9130367619035655E-2</v>
      </c>
      <c r="N145">
        <v>3.1267522616125885E-2</v>
      </c>
      <c r="O145">
        <v>0.11354520989659121</v>
      </c>
      <c r="P145">
        <v>-0.16675834560679181</v>
      </c>
      <c r="Q145">
        <v>-0.11848640776194271</v>
      </c>
      <c r="R145">
        <v>0.23460834465906952</v>
      </c>
      <c r="S145">
        <v>-0.11721073876021033</v>
      </c>
      <c r="T145">
        <v>-0.18343143817880542</v>
      </c>
      <c r="U145">
        <v>0.29323011720727798</v>
      </c>
      <c r="V145">
        <v>-0.12002941063048583</v>
      </c>
      <c r="W145">
        <v>-0.16032882438005744</v>
      </c>
      <c r="X145">
        <v>7.0207090263305377E-2</v>
      </c>
      <c r="Y145">
        <v>-0.1538285452476606</v>
      </c>
      <c r="Z145">
        <v>0.17149828809957274</v>
      </c>
      <c r="AA145">
        <v>9.9893086791779467E-2</v>
      </c>
      <c r="AB145">
        <v>0.22357099626775978</v>
      </c>
      <c r="AC145">
        <v>-0.21511239954598826</v>
      </c>
      <c r="AD145">
        <v>6.3171855185569753E-2</v>
      </c>
      <c r="AE145">
        <v>0.47780293358119608</v>
      </c>
      <c r="AF145">
        <v>1</v>
      </c>
      <c r="AG145">
        <v>0.36494021785523439</v>
      </c>
      <c r="AH145">
        <v>-0.23791098554036186</v>
      </c>
      <c r="AI145">
        <v>0.110944583894106</v>
      </c>
      <c r="AJ145">
        <v>-2.0809325533057164E-2</v>
      </c>
      <c r="AK145">
        <v>-0.13800215563322338</v>
      </c>
      <c r="AL145">
        <v>0.31912481852828661</v>
      </c>
      <c r="AM145">
        <v>-6.6310192959273803E-2</v>
      </c>
      <c r="AN145">
        <v>-1.2614903180510112E-2</v>
      </c>
      <c r="AO145">
        <v>0.14119138877642223</v>
      </c>
      <c r="AP145">
        <v>2.7175707076368381E-2</v>
      </c>
      <c r="AQ145">
        <v>-1.2799973962371728E-2</v>
      </c>
      <c r="AR145">
        <v>-0.26379648076533296</v>
      </c>
      <c r="AS145">
        <v>1.986730669420125E-2</v>
      </c>
      <c r="AT145">
        <v>-0.21261959970386246</v>
      </c>
      <c r="AU145">
        <v>0.21294180967440171</v>
      </c>
    </row>
    <row r="146" spans="3:47" x14ac:dyDescent="0.2">
      <c r="C146" t="s">
        <v>30</v>
      </c>
      <c r="D146">
        <v>5.2083762158074073E-2</v>
      </c>
      <c r="E146">
        <v>-0.38237201264168275</v>
      </c>
      <c r="F146">
        <v>-0.25776550507631663</v>
      </c>
      <c r="G146">
        <v>0.21309041748961391</v>
      </c>
      <c r="H146">
        <v>-0.13354274894209944</v>
      </c>
      <c r="I146">
        <v>-0.174623344439883</v>
      </c>
      <c r="J146">
        <v>0.14640933386694663</v>
      </c>
      <c r="K146">
        <v>0.17550735112400911</v>
      </c>
      <c r="L146">
        <v>4.0572869249486498E-2</v>
      </c>
      <c r="M146">
        <v>-0.3157437243760135</v>
      </c>
      <c r="N146">
        <v>-1.1094197194682203E-2</v>
      </c>
      <c r="O146">
        <v>-0.18985693029846812</v>
      </c>
      <c r="P146">
        <v>0.22057558334916785</v>
      </c>
      <c r="Q146">
        <v>3.2330710344973964E-3</v>
      </c>
      <c r="R146">
        <v>7.9680944777665033E-2</v>
      </c>
      <c r="S146">
        <v>0.10625576323306475</v>
      </c>
      <c r="T146">
        <v>9.8317692888523378E-2</v>
      </c>
      <c r="U146">
        <v>-7.6632855289866159E-2</v>
      </c>
      <c r="V146">
        <v>0.11126540887746296</v>
      </c>
      <c r="W146">
        <v>4.7748931343936214E-2</v>
      </c>
      <c r="X146">
        <v>2.8450465132126707E-2</v>
      </c>
      <c r="Y146">
        <v>0.20272617933495457</v>
      </c>
      <c r="Z146">
        <v>-8.6438063313346886E-2</v>
      </c>
      <c r="AA146">
        <v>-4.3400776192469077E-2</v>
      </c>
      <c r="AB146">
        <v>-6.8216657099370859E-2</v>
      </c>
      <c r="AC146">
        <v>6.2611286477185807E-2</v>
      </c>
      <c r="AD146">
        <v>2.6298971108770032E-2</v>
      </c>
      <c r="AE146">
        <v>-4.9539900503949491E-2</v>
      </c>
      <c r="AF146">
        <v>0.36494021785523478</v>
      </c>
      <c r="AG146">
        <v>1</v>
      </c>
      <c r="AH146">
        <v>0.17309274376890657</v>
      </c>
      <c r="AI146">
        <v>-0.26057300431561631</v>
      </c>
      <c r="AJ146">
        <v>0.25021724015889213</v>
      </c>
      <c r="AK146">
        <v>-0.16085301989037101</v>
      </c>
      <c r="AL146">
        <v>-0.12024112441906727</v>
      </c>
      <c r="AM146">
        <v>0.12190598797678946</v>
      </c>
      <c r="AN146">
        <v>1.4301912657116391E-2</v>
      </c>
      <c r="AO146">
        <v>-0.20221656920163358</v>
      </c>
      <c r="AP146">
        <v>0.19821749950750733</v>
      </c>
      <c r="AQ146">
        <v>-7.3864930090503517E-2</v>
      </c>
      <c r="AR146">
        <v>7.3107346384881311E-2</v>
      </c>
      <c r="AS146">
        <v>0.1965642960738381</v>
      </c>
      <c r="AT146">
        <v>6.6846671913930192E-2</v>
      </c>
      <c r="AU146">
        <v>0.10515242168745123</v>
      </c>
    </row>
    <row r="147" spans="3:47" x14ac:dyDescent="0.2">
      <c r="C147" t="s">
        <v>31</v>
      </c>
      <c r="D147">
        <v>-0.10269633963206924</v>
      </c>
      <c r="E147">
        <v>8.3486068462059707E-2</v>
      </c>
      <c r="F147">
        <v>0.11782390418569627</v>
      </c>
      <c r="G147">
        <v>6.0659430439194618E-2</v>
      </c>
      <c r="H147">
        <v>-0.39209150012956567</v>
      </c>
      <c r="I147">
        <v>5.2194446429745911E-2</v>
      </c>
      <c r="J147">
        <v>-0.28985964158439692</v>
      </c>
      <c r="K147">
        <v>-7.5243212390448025E-2</v>
      </c>
      <c r="L147">
        <v>0.18596337580301744</v>
      </c>
      <c r="M147">
        <v>-1.8181932092676419E-3</v>
      </c>
      <c r="N147">
        <v>-0.1432875881495401</v>
      </c>
      <c r="O147">
        <v>3.1618757575376466E-2</v>
      </c>
      <c r="P147">
        <v>0.20935092212053111</v>
      </c>
      <c r="Q147">
        <v>0.31896834344403524</v>
      </c>
      <c r="R147">
        <v>-0.23370468239799808</v>
      </c>
      <c r="S147">
        <v>-3.8555113130232979E-2</v>
      </c>
      <c r="T147">
        <v>-3.4836211777283854E-2</v>
      </c>
      <c r="U147">
        <v>6.7282267425958817E-2</v>
      </c>
      <c r="V147">
        <v>-0.10509520414526209</v>
      </c>
      <c r="W147">
        <v>-1.8953334664572611E-2</v>
      </c>
      <c r="X147">
        <v>-4.1423965840892897E-2</v>
      </c>
      <c r="Y147">
        <v>-0.21020327735489797</v>
      </c>
      <c r="Z147">
        <v>0.16286060849796324</v>
      </c>
      <c r="AA147">
        <v>-4.5635461065633091E-2</v>
      </c>
      <c r="AB147">
        <v>0.17943999921220857</v>
      </c>
      <c r="AC147">
        <v>0.25958166052258302</v>
      </c>
      <c r="AD147">
        <v>-5.4619697245452896E-2</v>
      </c>
      <c r="AE147">
        <v>0.25327092851654087</v>
      </c>
      <c r="AF147">
        <v>-0.23791098554036219</v>
      </c>
      <c r="AG147">
        <v>0.17309274376890668</v>
      </c>
      <c r="AH147">
        <v>1</v>
      </c>
      <c r="AI147">
        <v>0.45895733208744882</v>
      </c>
      <c r="AJ147">
        <v>5.0242297276819933E-2</v>
      </c>
      <c r="AK147">
        <v>0.16770477088102914</v>
      </c>
      <c r="AL147">
        <v>9.8502041122331671E-2</v>
      </c>
      <c r="AM147">
        <v>-0.26618292609922667</v>
      </c>
      <c r="AN147">
        <v>0.21965645701782097</v>
      </c>
      <c r="AO147">
        <v>0.16850502234758777</v>
      </c>
      <c r="AP147">
        <v>0.11424119737415968</v>
      </c>
      <c r="AQ147">
        <v>-0.12412804491005769</v>
      </c>
      <c r="AR147">
        <v>-6.4665826816926619E-2</v>
      </c>
      <c r="AS147">
        <v>0.12840065469832082</v>
      </c>
      <c r="AT147">
        <v>-0.21640577621904414</v>
      </c>
      <c r="AU147">
        <v>-1.2033638472082E-2</v>
      </c>
    </row>
    <row r="148" spans="3:47" x14ac:dyDescent="0.2">
      <c r="C148" t="s">
        <v>32</v>
      </c>
      <c r="D148">
        <v>9.6307322363689232E-2</v>
      </c>
      <c r="E148">
        <v>-5.7392230383358188E-2</v>
      </c>
      <c r="F148">
        <v>-0.15222069778216127</v>
      </c>
      <c r="G148">
        <v>-1.6605847017897475E-3</v>
      </c>
      <c r="H148">
        <v>0.22465397062314432</v>
      </c>
      <c r="I148">
        <v>-8.3606865554377574E-3</v>
      </c>
      <c r="J148">
        <v>0.25769409230157714</v>
      </c>
      <c r="K148">
        <v>6.2213713109038823E-2</v>
      </c>
      <c r="L148">
        <v>-4.7108567834921788E-2</v>
      </c>
      <c r="M148">
        <v>-5.0719385077715631E-2</v>
      </c>
      <c r="N148">
        <v>-0.1400381207634738</v>
      </c>
      <c r="O148">
        <v>-0.11041246779387567</v>
      </c>
      <c r="P148">
        <v>-6.1142484101020356E-2</v>
      </c>
      <c r="Q148">
        <v>-7.7369879008441264E-2</v>
      </c>
      <c r="R148">
        <v>0.16669714990850432</v>
      </c>
      <c r="S148">
        <v>0.15031291692227541</v>
      </c>
      <c r="T148">
        <v>4.9169667503607864E-2</v>
      </c>
      <c r="U148">
        <v>7.97002982376213E-2</v>
      </c>
      <c r="V148">
        <v>9.7268253404380459E-2</v>
      </c>
      <c r="W148">
        <v>3.6814199026151011E-2</v>
      </c>
      <c r="X148">
        <v>0.24833458842204337</v>
      </c>
      <c r="Y148">
        <v>-5.1608614084684059E-3</v>
      </c>
      <c r="Z148">
        <v>-1.1923301257206309E-2</v>
      </c>
      <c r="AA148">
        <v>-0.12698353924682365</v>
      </c>
      <c r="AB148">
        <v>3.0333992093322013E-3</v>
      </c>
      <c r="AC148">
        <v>-9.9706491918245516E-2</v>
      </c>
      <c r="AD148">
        <v>-5.939940901288706E-2</v>
      </c>
      <c r="AE148">
        <v>-8.3942733551624571E-2</v>
      </c>
      <c r="AF148">
        <v>0.11094458389410586</v>
      </c>
      <c r="AG148">
        <v>-0.26057300431561609</v>
      </c>
      <c r="AH148">
        <v>0.45895733208744882</v>
      </c>
      <c r="AI148">
        <v>1.0000000000000002</v>
      </c>
      <c r="AJ148">
        <v>0.39166572089475998</v>
      </c>
      <c r="AK148">
        <v>-0.340273480359157</v>
      </c>
      <c r="AL148">
        <v>2.4317967297083173E-2</v>
      </c>
      <c r="AM148">
        <v>0.39300199860060114</v>
      </c>
      <c r="AN148">
        <v>-0.38362389848107831</v>
      </c>
      <c r="AO148">
        <v>8.8506399736466568E-2</v>
      </c>
      <c r="AP148">
        <v>-0.33188676469069534</v>
      </c>
      <c r="AQ148">
        <v>0.10658164265150086</v>
      </c>
      <c r="AR148">
        <v>0.1402616555976986</v>
      </c>
      <c r="AS148">
        <v>0.2213499185078002</v>
      </c>
      <c r="AT148">
        <v>5.1312401525737843E-2</v>
      </c>
      <c r="AU148">
        <v>-8.6204991021631913E-3</v>
      </c>
    </row>
    <row r="149" spans="3:47" x14ac:dyDescent="0.2">
      <c r="C149" t="s">
        <v>33</v>
      </c>
      <c r="D149">
        <v>0.11669472354398404</v>
      </c>
      <c r="E149">
        <v>5.0672644852291907E-2</v>
      </c>
      <c r="F149">
        <v>9.6694119958587191E-2</v>
      </c>
      <c r="G149">
        <v>0.10008644251683775</v>
      </c>
      <c r="H149">
        <v>0.20019189359303283</v>
      </c>
      <c r="I149">
        <v>-0.2219353990267881</v>
      </c>
      <c r="J149">
        <v>6.6811030013183059E-2</v>
      </c>
      <c r="K149">
        <v>-8.2239968040984407E-2</v>
      </c>
      <c r="L149">
        <v>-8.077064380212437E-2</v>
      </c>
      <c r="M149">
        <v>0.20747513264750389</v>
      </c>
      <c r="N149">
        <v>0.12584568497787557</v>
      </c>
      <c r="O149">
        <v>0.17118686658262755</v>
      </c>
      <c r="P149">
        <v>-0.14172392029501982</v>
      </c>
      <c r="Q149">
        <v>1.9249336261783266E-3</v>
      </c>
      <c r="R149">
        <v>-0.14899249145792245</v>
      </c>
      <c r="S149">
        <v>-9.3905384998677899E-2</v>
      </c>
      <c r="T149">
        <v>4.6308625303861792E-4</v>
      </c>
      <c r="U149">
        <v>-5.5942898623094969E-2</v>
      </c>
      <c r="V149">
        <v>1.4538560471682796E-2</v>
      </c>
      <c r="W149">
        <v>0.12854158633884219</v>
      </c>
      <c r="X149">
        <v>-0.36083767874724715</v>
      </c>
      <c r="Y149">
        <v>0.1301198529014676</v>
      </c>
      <c r="Z149">
        <v>-4.4328223406646473E-2</v>
      </c>
      <c r="AA149">
        <v>0.16686193689868301</v>
      </c>
      <c r="AB149">
        <v>-8.2596117029074101E-2</v>
      </c>
      <c r="AC149">
        <v>-0.21873962836511973</v>
      </c>
      <c r="AD149">
        <v>0.24430418362569795</v>
      </c>
      <c r="AE149">
        <v>-8.7717399924528566E-2</v>
      </c>
      <c r="AF149">
        <v>-2.0809325533056797E-2</v>
      </c>
      <c r="AG149">
        <v>0.25021724015889191</v>
      </c>
      <c r="AH149">
        <v>5.0242297276819836E-2</v>
      </c>
      <c r="AI149">
        <v>0.39166572089475971</v>
      </c>
      <c r="AJ149">
        <v>1</v>
      </c>
      <c r="AK149">
        <v>0.50283292215161768</v>
      </c>
      <c r="AL149">
        <v>-8.8486486535183623E-2</v>
      </c>
      <c r="AM149">
        <v>-0.21710798738447845</v>
      </c>
      <c r="AN149">
        <v>0.18885360190968775</v>
      </c>
      <c r="AO149">
        <v>6.4634612443214209E-2</v>
      </c>
      <c r="AP149">
        <v>2.1893290732137437E-2</v>
      </c>
      <c r="AQ149">
        <v>6.1691235475639983E-2</v>
      </c>
      <c r="AR149">
        <v>-0.25233219994941236</v>
      </c>
      <c r="AS149">
        <v>-0.53789764462010703</v>
      </c>
      <c r="AT149">
        <v>0.24489355859915968</v>
      </c>
      <c r="AU149">
        <v>-2.2455218851055586E-2</v>
      </c>
    </row>
    <row r="150" spans="3:47" x14ac:dyDescent="0.2">
      <c r="C150" t="s">
        <v>34</v>
      </c>
      <c r="D150">
        <v>-0.2091330667113081</v>
      </c>
      <c r="E150">
        <v>-6.0035094779737806E-2</v>
      </c>
      <c r="F150">
        <v>2.315113881378348E-2</v>
      </c>
      <c r="G150">
        <v>-6.0220411679186396E-2</v>
      </c>
      <c r="H150">
        <v>2.8513708913093266E-2</v>
      </c>
      <c r="I150">
        <v>0.11130408467652135</v>
      </c>
      <c r="J150">
        <v>5.6900475018448533E-2</v>
      </c>
      <c r="K150">
        <v>0.30934550899786484</v>
      </c>
      <c r="L150">
        <v>-9.7610008775750046E-2</v>
      </c>
      <c r="M150">
        <v>-0.15741152951657653</v>
      </c>
      <c r="N150">
        <v>-0.11763340223262286</v>
      </c>
      <c r="O150">
        <v>-3.4748526332742669E-2</v>
      </c>
      <c r="P150">
        <v>-0.13048758314664693</v>
      </c>
      <c r="Q150">
        <v>-8.3860139128745986E-2</v>
      </c>
      <c r="R150">
        <v>0.39365938593947164</v>
      </c>
      <c r="S150">
        <v>0.19136454704336678</v>
      </c>
      <c r="T150">
        <v>-0.11780176489262378</v>
      </c>
      <c r="U150">
        <v>0.21680205178570897</v>
      </c>
      <c r="V150">
        <v>-0.10502923986903438</v>
      </c>
      <c r="W150">
        <v>-0.17259322288727602</v>
      </c>
      <c r="X150">
        <v>0.4038282934185336</v>
      </c>
      <c r="Y150">
        <v>-9.4935141133180759E-2</v>
      </c>
      <c r="Z150">
        <v>-5.9602121982426114E-2</v>
      </c>
      <c r="AA150">
        <v>-0.15179793223544372</v>
      </c>
      <c r="AB150">
        <v>0.17046831834284082</v>
      </c>
      <c r="AC150">
        <v>-6.0505628846884978E-2</v>
      </c>
      <c r="AD150">
        <v>-8.4495760891992067E-2</v>
      </c>
      <c r="AE150">
        <v>-7.0255364645258112E-2</v>
      </c>
      <c r="AF150">
        <v>-0.13800215563322371</v>
      </c>
      <c r="AG150">
        <v>-0.16085301989037074</v>
      </c>
      <c r="AH150">
        <v>0.16770477088102922</v>
      </c>
      <c r="AI150">
        <v>-0.3402734803591565</v>
      </c>
      <c r="AJ150">
        <v>0.50283292215161723</v>
      </c>
      <c r="AK150">
        <v>1</v>
      </c>
      <c r="AL150">
        <v>0.59547563459717623</v>
      </c>
      <c r="AM150">
        <v>0.45350368900725119</v>
      </c>
      <c r="AN150">
        <v>-0.2910131418488146</v>
      </c>
      <c r="AO150">
        <v>-0.1835115514955529</v>
      </c>
      <c r="AP150">
        <v>5.4054503206652144E-2</v>
      </c>
      <c r="AQ150">
        <v>0.15038763603092087</v>
      </c>
      <c r="AR150">
        <v>3.7511327406268773E-2</v>
      </c>
      <c r="AS150">
        <v>0.36740002325472454</v>
      </c>
      <c r="AT150">
        <v>-0.13430959634798195</v>
      </c>
      <c r="AU150">
        <v>-1.7049995934335174E-2</v>
      </c>
    </row>
    <row r="151" spans="3:47" x14ac:dyDescent="0.2">
      <c r="C151" t="s">
        <v>35</v>
      </c>
      <c r="D151">
        <v>0.21941035341637208</v>
      </c>
      <c r="E151">
        <v>-0.15862491823697586</v>
      </c>
      <c r="F151">
        <v>-0.21365282054796778</v>
      </c>
      <c r="G151">
        <v>5.0274605053040856E-2</v>
      </c>
      <c r="H151">
        <v>9.813894111935717E-2</v>
      </c>
      <c r="I151">
        <v>-0.15173235018960887</v>
      </c>
      <c r="J151">
        <v>4.3397276006543715E-2</v>
      </c>
      <c r="K151">
        <v>-0.15723721910571681</v>
      </c>
      <c r="L151">
        <v>4.8391024835573733E-2</v>
      </c>
      <c r="M151">
        <v>-3.2454127758849989E-2</v>
      </c>
      <c r="N151">
        <v>0.22362279388788553</v>
      </c>
      <c r="O151">
        <v>-5.6784072014960253E-2</v>
      </c>
      <c r="P151">
        <v>0.14869898635679749</v>
      </c>
      <c r="Q151">
        <v>-0.19005975277561629</v>
      </c>
      <c r="R151">
        <v>-0.20670210700294533</v>
      </c>
      <c r="S151">
        <v>3.8769992904651621E-2</v>
      </c>
      <c r="T151">
        <v>0.24596092149108381</v>
      </c>
      <c r="U151">
        <v>-0.3689127457356603</v>
      </c>
      <c r="V151">
        <v>0.2133423932002379</v>
      </c>
      <c r="W151">
        <v>0.20788954679918581</v>
      </c>
      <c r="X151">
        <v>-0.40592087768822604</v>
      </c>
      <c r="Y151">
        <v>0.21233367106826412</v>
      </c>
      <c r="Z151">
        <v>-0.12301196845601128</v>
      </c>
      <c r="AA151">
        <v>0.10121117023567251</v>
      </c>
      <c r="AB151">
        <v>-0.19207282690452568</v>
      </c>
      <c r="AC151">
        <v>0.23293405971638789</v>
      </c>
      <c r="AD151">
        <v>7.8374502633334495E-2</v>
      </c>
      <c r="AE151">
        <v>1.6447820441389968E-2</v>
      </c>
      <c r="AF151">
        <v>0.31912481852828678</v>
      </c>
      <c r="AG151">
        <v>-0.12024112441906727</v>
      </c>
      <c r="AH151">
        <v>9.8502041122331394E-2</v>
      </c>
      <c r="AI151">
        <v>2.4317967297082948E-2</v>
      </c>
      <c r="AJ151">
        <v>-8.8486486535183484E-2</v>
      </c>
      <c r="AK151">
        <v>0.59547563459717578</v>
      </c>
      <c r="AL151">
        <v>1</v>
      </c>
      <c r="AM151">
        <v>-0.21161542767483599</v>
      </c>
      <c r="AN151">
        <v>0.16059203707411474</v>
      </c>
      <c r="AO151">
        <v>5.5946079265075804E-2</v>
      </c>
      <c r="AP151">
        <v>-5.68157799618337E-2</v>
      </c>
      <c r="AQ151">
        <v>-1.429402690971281E-2</v>
      </c>
      <c r="AR151">
        <v>0.1787047909259834</v>
      </c>
      <c r="AS151">
        <v>-0.10088474789353163</v>
      </c>
      <c r="AT151">
        <v>8.0877509262173755E-2</v>
      </c>
      <c r="AU151">
        <v>0.11605463632054491</v>
      </c>
    </row>
    <row r="152" spans="3:47" x14ac:dyDescent="0.2">
      <c r="C152" t="s">
        <v>36</v>
      </c>
      <c r="D152">
        <v>4.8894978935445664E-2</v>
      </c>
      <c r="E152">
        <v>0.12929126983775074</v>
      </c>
      <c r="F152">
        <v>-3.0495663359800897E-2</v>
      </c>
      <c r="G152">
        <v>0.16724216651075152</v>
      </c>
      <c r="H152">
        <v>-0.25041685272255954</v>
      </c>
      <c r="I152">
        <v>9.1587831380786661E-2</v>
      </c>
      <c r="J152">
        <v>-0.16268246732939459</v>
      </c>
      <c r="K152">
        <v>-0.39309333738708796</v>
      </c>
      <c r="L152">
        <v>0.35350773659920698</v>
      </c>
      <c r="M152">
        <v>-0.15319651814916466</v>
      </c>
      <c r="N152">
        <v>5.6350041581010951E-2</v>
      </c>
      <c r="O152">
        <v>0.31488274726979976</v>
      </c>
      <c r="P152">
        <v>3.7678614407174335E-2</v>
      </c>
      <c r="Q152">
        <v>0.123805639434499</v>
      </c>
      <c r="R152">
        <v>-0.33360565630428807</v>
      </c>
      <c r="S152">
        <v>-0.16625949604947954</v>
      </c>
      <c r="T152">
        <v>0.17311118746710957</v>
      </c>
      <c r="U152">
        <v>-0.13708000714462812</v>
      </c>
      <c r="V152">
        <v>-1.8291111585835088E-2</v>
      </c>
      <c r="W152">
        <v>0.26761111344337851</v>
      </c>
      <c r="X152">
        <v>-0.41605070060281873</v>
      </c>
      <c r="Y152">
        <v>-0.10352215777273917</v>
      </c>
      <c r="Z152">
        <v>4.8646767181486493E-2</v>
      </c>
      <c r="AA152">
        <v>0.10124454364862751</v>
      </c>
      <c r="AB152">
        <v>-8.1818317547918323E-2</v>
      </c>
      <c r="AC152">
        <v>0.15043209785506495</v>
      </c>
      <c r="AD152">
        <v>8.0411690329213678E-2</v>
      </c>
      <c r="AE152">
        <v>0.16061761926857857</v>
      </c>
      <c r="AF152">
        <v>-6.6310192959274164E-2</v>
      </c>
      <c r="AG152">
        <v>0.12190598797678942</v>
      </c>
      <c r="AH152">
        <v>-0.26618292609922667</v>
      </c>
      <c r="AI152">
        <v>0.3930019986006007</v>
      </c>
      <c r="AJ152">
        <v>-0.21710798738447823</v>
      </c>
      <c r="AK152">
        <v>0.45350368900725074</v>
      </c>
      <c r="AL152">
        <v>-0.21161542767483563</v>
      </c>
      <c r="AM152">
        <v>1.0000000000000002</v>
      </c>
      <c r="AN152">
        <v>0.52052699876494468</v>
      </c>
      <c r="AO152">
        <v>8.9580773749739676E-2</v>
      </c>
      <c r="AP152">
        <v>9.0951940085029229E-2</v>
      </c>
      <c r="AQ152">
        <v>-0.20184526787350673</v>
      </c>
      <c r="AR152">
        <v>0.13851272457259553</v>
      </c>
      <c r="AS152">
        <v>-7.8517987415851143E-2</v>
      </c>
      <c r="AT152">
        <v>-0.13605878199522589</v>
      </c>
      <c r="AU152">
        <v>0.20642298393749417</v>
      </c>
    </row>
    <row r="153" spans="3:47" x14ac:dyDescent="0.2">
      <c r="C153" t="s">
        <v>37</v>
      </c>
      <c r="D153">
        <v>8.7769777028340351E-2</v>
      </c>
      <c r="E153">
        <v>5.3678529834435378E-2</v>
      </c>
      <c r="F153">
        <v>7.1959784522091702E-2</v>
      </c>
      <c r="G153">
        <v>-0.10107726359955704</v>
      </c>
      <c r="H153">
        <v>0.25439576924620089</v>
      </c>
      <c r="I153">
        <v>0.13989944325822368</v>
      </c>
      <c r="J153">
        <v>-1.7190414446710392E-2</v>
      </c>
      <c r="K153">
        <v>0.10162753455584665</v>
      </c>
      <c r="L153">
        <v>-0.10441827883925921</v>
      </c>
      <c r="M153">
        <v>5.6852505837922861E-2</v>
      </c>
      <c r="N153">
        <v>2.3312850483905377E-2</v>
      </c>
      <c r="O153">
        <v>-0.17688961094318625</v>
      </c>
      <c r="P153">
        <v>-0.24676537724159983</v>
      </c>
      <c r="Q153">
        <v>0.14146464550463114</v>
      </c>
      <c r="R153">
        <v>0.12669574011943049</v>
      </c>
      <c r="S153">
        <v>0.10093707935857375</v>
      </c>
      <c r="T153">
        <v>-5.0565023935003083E-2</v>
      </c>
      <c r="U153">
        <v>-5.6362271546266988E-2</v>
      </c>
      <c r="V153">
        <v>-2.7336883387754744E-2</v>
      </c>
      <c r="W153">
        <v>-0.2465110073023066</v>
      </c>
      <c r="X153">
        <v>0.29960990261178655</v>
      </c>
      <c r="Y153">
        <v>-0.13683875173744228</v>
      </c>
      <c r="Z153">
        <v>0.10936289581973994</v>
      </c>
      <c r="AA153">
        <v>-3.9241566283411349E-2</v>
      </c>
      <c r="AB153">
        <v>8.4724876256578874E-2</v>
      </c>
      <c r="AC153">
        <v>3.6788357450252697E-2</v>
      </c>
      <c r="AD153">
        <v>-0.14061965006850619</v>
      </c>
      <c r="AE153">
        <v>-0.15380387576326715</v>
      </c>
      <c r="AF153">
        <v>-1.2614903180509977E-2</v>
      </c>
      <c r="AG153">
        <v>1.430191265711633E-2</v>
      </c>
      <c r="AH153">
        <v>0.21965645701782133</v>
      </c>
      <c r="AI153">
        <v>-0.38362389848107831</v>
      </c>
      <c r="AJ153">
        <v>0.18885360190968753</v>
      </c>
      <c r="AK153">
        <v>-0.29101314184881422</v>
      </c>
      <c r="AL153">
        <v>0.16059203707411421</v>
      </c>
      <c r="AM153">
        <v>0.5205269987649449</v>
      </c>
      <c r="AN153">
        <v>1</v>
      </c>
      <c r="AO153">
        <v>1.8445776691921909E-2</v>
      </c>
      <c r="AP153">
        <v>-1.8983136971341717E-2</v>
      </c>
      <c r="AQ153">
        <v>0.17647522976664282</v>
      </c>
      <c r="AR153">
        <v>2.4354206457267484E-2</v>
      </c>
      <c r="AS153">
        <v>0.18542544918220027</v>
      </c>
      <c r="AT153">
        <v>-5.7896712706853183E-2</v>
      </c>
      <c r="AU153">
        <v>0.13483175078085433</v>
      </c>
    </row>
    <row r="154" spans="3:47" x14ac:dyDescent="0.2">
      <c r="C154" t="s">
        <v>38</v>
      </c>
      <c r="D154">
        <v>-7.2370892600805453E-2</v>
      </c>
      <c r="E154">
        <v>-0.2543679404082741</v>
      </c>
      <c r="F154">
        <v>8.8570397808758722E-2</v>
      </c>
      <c r="G154">
        <v>-5.0990070781168857E-2</v>
      </c>
      <c r="H154">
        <v>8.7522098647145136E-2</v>
      </c>
      <c r="I154">
        <v>2.5412210459839966E-2</v>
      </c>
      <c r="J154">
        <v>7.8465705995088175E-2</v>
      </c>
      <c r="K154">
        <v>0.30855012212705507</v>
      </c>
      <c r="L154">
        <v>-0.11872765596777553</v>
      </c>
      <c r="M154">
        <v>-0.11630389418389016</v>
      </c>
      <c r="N154">
        <v>-0.22579359203887181</v>
      </c>
      <c r="O154">
        <v>6.6925476244923648E-2</v>
      </c>
      <c r="P154">
        <v>-0.10932224680429972</v>
      </c>
      <c r="Q154">
        <v>-2.884069820409544E-2</v>
      </c>
      <c r="R154">
        <v>0.11738344775376093</v>
      </c>
      <c r="S154">
        <v>-5.4255069587033605E-2</v>
      </c>
      <c r="T154">
        <v>-2.1372304781511517E-2</v>
      </c>
      <c r="U154">
        <v>-5.4037018525073942E-2</v>
      </c>
      <c r="V154">
        <v>-8.6492063112346237E-2</v>
      </c>
      <c r="W154">
        <v>-0.13696547638483925</v>
      </c>
      <c r="X154">
        <v>0.18486937199806222</v>
      </c>
      <c r="Y154">
        <v>7.0566913751363522E-2</v>
      </c>
      <c r="Z154">
        <v>-0.14229706651874025</v>
      </c>
      <c r="AA154">
        <v>0.10999745435392008</v>
      </c>
      <c r="AB154">
        <v>-2.060829807635824E-2</v>
      </c>
      <c r="AC154">
        <v>4.4519436495141944E-2</v>
      </c>
      <c r="AD154">
        <v>9.5086669209522481E-2</v>
      </c>
      <c r="AE154">
        <v>-0.1939242690802252</v>
      </c>
      <c r="AF154">
        <v>0.14119138877642248</v>
      </c>
      <c r="AG154">
        <v>-0.20221656920163375</v>
      </c>
      <c r="AH154">
        <v>0.16850502234758735</v>
      </c>
      <c r="AI154">
        <v>8.8506399736466776E-2</v>
      </c>
      <c r="AJ154">
        <v>6.4634612443214501E-2</v>
      </c>
      <c r="AK154">
        <v>-0.18351155149555268</v>
      </c>
      <c r="AL154">
        <v>5.594607926507579E-2</v>
      </c>
      <c r="AM154">
        <v>8.9580773749739454E-2</v>
      </c>
      <c r="AN154">
        <v>1.8445776691921708E-2</v>
      </c>
      <c r="AO154">
        <v>1</v>
      </c>
      <c r="AP154">
        <v>0.47279772916265833</v>
      </c>
      <c r="AQ154">
        <v>0.19806096870839637</v>
      </c>
      <c r="AR154">
        <v>0.18910261870271458</v>
      </c>
      <c r="AS154">
        <v>0.11361322667697407</v>
      </c>
      <c r="AT154">
        <v>8.8467199726603538E-2</v>
      </c>
      <c r="AU154">
        <v>-2.6682489200510279E-2</v>
      </c>
    </row>
    <row r="155" spans="3:47" x14ac:dyDescent="0.2">
      <c r="C155" t="s">
        <v>39</v>
      </c>
      <c r="D155">
        <v>8.2589646523495222E-3</v>
      </c>
      <c r="E155">
        <v>0.16995398100204476</v>
      </c>
      <c r="F155">
        <v>-3.8686728792166267E-2</v>
      </c>
      <c r="G155">
        <v>1.0508078219113606E-2</v>
      </c>
      <c r="H155">
        <v>0.19368380904776755</v>
      </c>
      <c r="I155">
        <v>-0.18646346059405045</v>
      </c>
      <c r="J155">
        <v>0.29504751379949046</v>
      </c>
      <c r="K155">
        <v>-5.4775532755384028E-2</v>
      </c>
      <c r="L155">
        <v>-0.14212638476587292</v>
      </c>
      <c r="M155">
        <v>0.16413976846986383</v>
      </c>
      <c r="N155">
        <v>-8.4974070130773544E-2</v>
      </c>
      <c r="O155">
        <v>0.15780637109216136</v>
      </c>
      <c r="P155">
        <v>-2.0163690580355081E-2</v>
      </c>
      <c r="Q155">
        <v>-0.14491146346295519</v>
      </c>
      <c r="R155">
        <v>0.10055787597238353</v>
      </c>
      <c r="S155">
        <v>9.5359851911390056E-2</v>
      </c>
      <c r="T155">
        <v>-6.5734460266742969E-2</v>
      </c>
      <c r="U155">
        <v>0.18445185689804841</v>
      </c>
      <c r="V155">
        <v>9.869562416824236E-2</v>
      </c>
      <c r="W155">
        <v>1.4588156577132749E-2</v>
      </c>
      <c r="X155">
        <v>1.5495030449326893E-2</v>
      </c>
      <c r="Y155">
        <v>-0.14185079749406967</v>
      </c>
      <c r="Z155">
        <v>7.8984992670597262E-2</v>
      </c>
      <c r="AA155">
        <v>6.5007067057145068E-2</v>
      </c>
      <c r="AB155">
        <v>-9.8885254786835047E-2</v>
      </c>
      <c r="AC155">
        <v>-0.17270229933282583</v>
      </c>
      <c r="AD155">
        <v>0.11015829892766837</v>
      </c>
      <c r="AE155">
        <v>-8.938628875701923E-3</v>
      </c>
      <c r="AF155">
        <v>2.7175707076368363E-2</v>
      </c>
      <c r="AG155">
        <v>0.19821749950750744</v>
      </c>
      <c r="AH155">
        <v>0.11424119737415979</v>
      </c>
      <c r="AI155">
        <v>-0.33188676469069528</v>
      </c>
      <c r="AJ155">
        <v>2.1893290732137569E-2</v>
      </c>
      <c r="AK155">
        <v>5.4054503206651727E-2</v>
      </c>
      <c r="AL155">
        <v>-5.681577996183345E-2</v>
      </c>
      <c r="AM155">
        <v>9.0951940085029326E-2</v>
      </c>
      <c r="AN155">
        <v>-1.8983136971341529E-2</v>
      </c>
      <c r="AO155">
        <v>0.47279772916265744</v>
      </c>
      <c r="AP155">
        <v>1</v>
      </c>
      <c r="AQ155">
        <v>0.37347248244272419</v>
      </c>
      <c r="AR155">
        <v>-0.12278963189889884</v>
      </c>
      <c r="AS155">
        <v>-0.19723120454867285</v>
      </c>
      <c r="AT155">
        <v>3.1249311520026253E-2</v>
      </c>
      <c r="AU155">
        <v>-8.7310339170445492E-2</v>
      </c>
    </row>
    <row r="156" spans="3:47" x14ac:dyDescent="0.2">
      <c r="C156" t="s">
        <v>40</v>
      </c>
      <c r="D156">
        <v>5.4436561789164513E-2</v>
      </c>
      <c r="E156">
        <v>0.10821075429235671</v>
      </c>
      <c r="F156">
        <v>-0.21551484905046162</v>
      </c>
      <c r="G156">
        <v>3.2489264203922466E-2</v>
      </c>
      <c r="H156">
        <v>-0.31713022188726586</v>
      </c>
      <c r="I156">
        <v>0.18089603048272671</v>
      </c>
      <c r="J156">
        <v>-0.31379495072991254</v>
      </c>
      <c r="K156">
        <v>-0.26778218909290463</v>
      </c>
      <c r="L156">
        <v>0.30387625942267116</v>
      </c>
      <c r="M156">
        <v>6.3132390722878601E-2</v>
      </c>
      <c r="N156">
        <v>-9.1233498837972552E-3</v>
      </c>
      <c r="O156">
        <v>-0.1694150093113235</v>
      </c>
      <c r="P156">
        <v>0.33067705984103812</v>
      </c>
      <c r="Q156">
        <v>0.19263137439895658</v>
      </c>
      <c r="R156">
        <v>-0.1770566827933677</v>
      </c>
      <c r="S156">
        <v>-0.140428579234993</v>
      </c>
      <c r="T156">
        <v>-1.9470306732964158E-2</v>
      </c>
      <c r="U156">
        <v>1.0948054225133128E-2</v>
      </c>
      <c r="V156">
        <v>3.9588841720353984E-2</v>
      </c>
      <c r="W156">
        <v>5.6997758968981703E-2</v>
      </c>
      <c r="X156">
        <v>6.7966232407575711E-2</v>
      </c>
      <c r="Y156">
        <v>0.22498437529341442</v>
      </c>
      <c r="Z156">
        <v>-9.2225912118080414E-2</v>
      </c>
      <c r="AA156">
        <v>-5.7357052052947992E-2</v>
      </c>
      <c r="AB156">
        <v>-4.487930808455437E-2</v>
      </c>
      <c r="AC156">
        <v>0.1246002123539105</v>
      </c>
      <c r="AD156">
        <v>-0.26555289499252777</v>
      </c>
      <c r="AE156">
        <v>0.19527979331552761</v>
      </c>
      <c r="AF156">
        <v>-1.2799973962372129E-2</v>
      </c>
      <c r="AG156">
        <v>-7.3864930090503489E-2</v>
      </c>
      <c r="AH156">
        <v>-0.12412804491005783</v>
      </c>
      <c r="AI156">
        <v>0.10658164265150059</v>
      </c>
      <c r="AJ156">
        <v>6.1691235475640087E-2</v>
      </c>
      <c r="AK156">
        <v>0.15038763603092081</v>
      </c>
      <c r="AL156">
        <v>-1.4294026909712761E-2</v>
      </c>
      <c r="AM156">
        <v>-0.20184526787350668</v>
      </c>
      <c r="AN156">
        <v>0.17647522976664279</v>
      </c>
      <c r="AO156">
        <v>0.19806096870839748</v>
      </c>
      <c r="AP156">
        <v>0.37347248244272369</v>
      </c>
      <c r="AQ156">
        <v>1</v>
      </c>
      <c r="AR156">
        <v>0.17378440065032755</v>
      </c>
      <c r="AS156">
        <v>0.10032098656360221</v>
      </c>
      <c r="AT156">
        <v>-8.4576724512451809E-2</v>
      </c>
      <c r="AU156">
        <v>-1.4286668334078307E-2</v>
      </c>
    </row>
    <row r="157" spans="3:47" x14ac:dyDescent="0.2">
      <c r="C157" t="s">
        <v>41</v>
      </c>
      <c r="D157">
        <v>0.16460565896338691</v>
      </c>
      <c r="E157">
        <v>-9.4451001295570242E-2</v>
      </c>
      <c r="F157">
        <v>0.13189050527856699</v>
      </c>
      <c r="G157">
        <v>-9.8162223604221679E-2</v>
      </c>
      <c r="H157">
        <v>1.9851362099492599E-2</v>
      </c>
      <c r="I157">
        <v>-0.10661552170885288</v>
      </c>
      <c r="J157">
        <v>0.21868087835268199</v>
      </c>
      <c r="K157">
        <v>4.284718480164381E-2</v>
      </c>
      <c r="L157">
        <v>-0.21032234513491205</v>
      </c>
      <c r="M157">
        <v>2.7044796150344906E-2</v>
      </c>
      <c r="N157">
        <v>0.19229756618120583</v>
      </c>
      <c r="O157">
        <v>-1.902362514900567E-3</v>
      </c>
      <c r="P157">
        <v>6.6017045783668044E-2</v>
      </c>
      <c r="Q157">
        <v>-0.13231615608313901</v>
      </c>
      <c r="R157">
        <v>0.16095815697289761</v>
      </c>
      <c r="S157">
        <v>8.4078794245134716E-2</v>
      </c>
      <c r="T157">
        <v>-2.577139039275346E-2</v>
      </c>
      <c r="U157">
        <v>7.736088125786357E-2</v>
      </c>
      <c r="V157">
        <v>6.5056498266122642E-2</v>
      </c>
      <c r="W157">
        <v>-4.3695730370747365E-2</v>
      </c>
      <c r="X157">
        <v>-0.11032410718391789</v>
      </c>
      <c r="Y157">
        <v>8.3660875377004756E-3</v>
      </c>
      <c r="Z157">
        <v>0.30706282113597111</v>
      </c>
      <c r="AA157">
        <v>-6.8353645523727635E-2</v>
      </c>
      <c r="AB157">
        <v>-0.16817726493084129</v>
      </c>
      <c r="AC157">
        <v>-0.17288398868461932</v>
      </c>
      <c r="AD157">
        <v>0.18869082638474544</v>
      </c>
      <c r="AE157">
        <v>3.9674871884533669E-2</v>
      </c>
      <c r="AF157">
        <v>-0.26379648076533208</v>
      </c>
      <c r="AG157">
        <v>7.3107346384880909E-2</v>
      </c>
      <c r="AH157">
        <v>-6.4665826816926023E-2</v>
      </c>
      <c r="AI157">
        <v>0.14026165559769863</v>
      </c>
      <c r="AJ157">
        <v>-0.25233219994941269</v>
      </c>
      <c r="AK157">
        <v>3.7511327406269064E-2</v>
      </c>
      <c r="AL157">
        <v>0.17870479092598285</v>
      </c>
      <c r="AM157">
        <v>0.13851272457259578</v>
      </c>
      <c r="AN157">
        <v>2.4354206457267605E-2</v>
      </c>
      <c r="AO157">
        <v>0.18910261870271383</v>
      </c>
      <c r="AP157">
        <v>-0.12278963189889888</v>
      </c>
      <c r="AQ157">
        <v>0.17378440065032791</v>
      </c>
      <c r="AR157">
        <v>0.99999999999999978</v>
      </c>
      <c r="AS157">
        <v>-0.20215816794249505</v>
      </c>
      <c r="AT157">
        <v>0.12834378895479928</v>
      </c>
      <c r="AU157">
        <v>-8.1059160459615393E-2</v>
      </c>
    </row>
    <row r="158" spans="3:47" x14ac:dyDescent="0.2">
      <c r="C158" t="s">
        <v>42</v>
      </c>
      <c r="D158">
        <v>7.9640391444831343E-2</v>
      </c>
      <c r="E158">
        <v>-2.1851907757906602E-2</v>
      </c>
      <c r="F158">
        <v>9.2058114517114778E-2</v>
      </c>
      <c r="G158">
        <v>0.10035025571081067</v>
      </c>
      <c r="H158">
        <v>0.11572683970867556</v>
      </c>
      <c r="I158">
        <v>-0.16798176385335217</v>
      </c>
      <c r="J158">
        <v>3.8429359100200171E-2</v>
      </c>
      <c r="K158">
        <v>2.9782276268528984E-2</v>
      </c>
      <c r="L158">
        <v>-8.6067890884972797E-2</v>
      </c>
      <c r="M158">
        <v>0.15963900718882446</v>
      </c>
      <c r="N158">
        <v>7.2485522582373077E-2</v>
      </c>
      <c r="O158">
        <v>7.1979752047900178E-2</v>
      </c>
      <c r="P158">
        <v>-8.1296798940790282E-2</v>
      </c>
      <c r="Q158">
        <v>-0.24447504652342908</v>
      </c>
      <c r="R158">
        <v>-0.15846377990748964</v>
      </c>
      <c r="S158">
        <v>0.21528442502953354</v>
      </c>
      <c r="T158">
        <v>0.10531528732112116</v>
      </c>
      <c r="U158">
        <v>1.9865755222137346E-2</v>
      </c>
      <c r="V158">
        <v>-9.3262533553996926E-2</v>
      </c>
      <c r="W158">
        <v>0.24243975236665635</v>
      </c>
      <c r="X158">
        <v>-0.20349231960465217</v>
      </c>
      <c r="Y158">
        <v>0.18588821200720523</v>
      </c>
      <c r="Z158">
        <v>-5.8796745839577187E-3</v>
      </c>
      <c r="AA158">
        <v>4.7614631801300204E-2</v>
      </c>
      <c r="AB158">
        <v>6.8603061972806328E-3</v>
      </c>
      <c r="AC158">
        <v>-0.30216373664160306</v>
      </c>
      <c r="AD158">
        <v>0.26735749647244633</v>
      </c>
      <c r="AE158">
        <v>-6.681349916765103E-2</v>
      </c>
      <c r="AF158">
        <v>1.9867306694201541E-2</v>
      </c>
      <c r="AG158">
        <v>0.19656429607383838</v>
      </c>
      <c r="AH158">
        <v>0.1284006546983206</v>
      </c>
      <c r="AI158">
        <v>0.22134991850780036</v>
      </c>
      <c r="AJ158">
        <v>-0.53789764462010736</v>
      </c>
      <c r="AK158">
        <v>0.36740002325472509</v>
      </c>
      <c r="AL158">
        <v>-0.10088474789353181</v>
      </c>
      <c r="AM158">
        <v>-7.8517987415851476E-2</v>
      </c>
      <c r="AN158">
        <v>0.18542544918220061</v>
      </c>
      <c r="AO158">
        <v>0.11361322667697371</v>
      </c>
      <c r="AP158">
        <v>-0.19723120454867288</v>
      </c>
      <c r="AQ158">
        <v>0.10032098656360222</v>
      </c>
      <c r="AR158">
        <v>-0.20215816794249478</v>
      </c>
      <c r="AS158">
        <v>1</v>
      </c>
      <c r="AT158">
        <v>0.55574347874497898</v>
      </c>
      <c r="AU158">
        <v>0.13575419165803648</v>
      </c>
    </row>
    <row r="159" spans="3:47" x14ac:dyDescent="0.2">
      <c r="C159" t="s">
        <v>43</v>
      </c>
      <c r="D159">
        <v>3.5909776591315522E-2</v>
      </c>
      <c r="E159">
        <v>0.19368049870216045</v>
      </c>
      <c r="F159">
        <v>-6.4999668680731787E-2</v>
      </c>
      <c r="G159">
        <v>9.2969640569126072E-2</v>
      </c>
      <c r="H159">
        <v>-0.16723347430847513</v>
      </c>
      <c r="I159">
        <v>1.5226687524178321E-2</v>
      </c>
      <c r="J159">
        <v>-9.3118991955106631E-2</v>
      </c>
      <c r="K159">
        <v>-7.4912355204027767E-2</v>
      </c>
      <c r="L159">
        <v>0.18447212524593143</v>
      </c>
      <c r="M159">
        <v>-0.22206384963162409</v>
      </c>
      <c r="N159">
        <v>9.3501470692655617E-3</v>
      </c>
      <c r="O159">
        <v>0.23892255482639707</v>
      </c>
      <c r="P159">
        <v>-5.9503205117822514E-3</v>
      </c>
      <c r="Q159">
        <v>0.13761615839913061</v>
      </c>
      <c r="R159">
        <v>1.8864821554942065E-2</v>
      </c>
      <c r="S159">
        <v>3.4291337954632404E-3</v>
      </c>
      <c r="T159">
        <v>-0.11101254498965238</v>
      </c>
      <c r="U159">
        <v>6.4589590852216966E-2</v>
      </c>
      <c r="V159">
        <v>-0.11538244524663932</v>
      </c>
      <c r="W159">
        <v>-0.12594749706142025</v>
      </c>
      <c r="X159">
        <v>0.15643600971121829</v>
      </c>
      <c r="Y159">
        <v>-0.27464916844075732</v>
      </c>
      <c r="Z159">
        <v>0.15605583513209795</v>
      </c>
      <c r="AA159">
        <v>7.6568926194846565E-2</v>
      </c>
      <c r="AB159">
        <v>-1.0695726312385899E-2</v>
      </c>
      <c r="AC159">
        <v>5.3867479850584592E-2</v>
      </c>
      <c r="AD159">
        <v>-0.13098291495797171</v>
      </c>
      <c r="AE159">
        <v>0.11084798998144414</v>
      </c>
      <c r="AF159">
        <v>-0.21261959970386299</v>
      </c>
      <c r="AG159">
        <v>6.6846671913930039E-2</v>
      </c>
      <c r="AH159">
        <v>-0.21640577621904392</v>
      </c>
      <c r="AI159">
        <v>5.1312401525737635E-2</v>
      </c>
      <c r="AJ159">
        <v>0.24489355859915993</v>
      </c>
      <c r="AK159">
        <v>-0.13430959634798259</v>
      </c>
      <c r="AL159">
        <v>8.0877509262174074E-2</v>
      </c>
      <c r="AM159">
        <v>-0.13605878199522553</v>
      </c>
      <c r="AN159">
        <v>-5.7896712706853461E-2</v>
      </c>
      <c r="AO159">
        <v>8.846719972660369E-2</v>
      </c>
      <c r="AP159">
        <v>3.1249311520026107E-2</v>
      </c>
      <c r="AQ159">
        <v>-8.4576724512451587E-2</v>
      </c>
      <c r="AR159">
        <v>0.12834378895479875</v>
      </c>
      <c r="AS159">
        <v>0.55574347874497909</v>
      </c>
      <c r="AT159">
        <v>1</v>
      </c>
      <c r="AU159">
        <v>0.19921251838828075</v>
      </c>
    </row>
    <row r="160" spans="3:47" x14ac:dyDescent="0.2">
      <c r="C160" t="s">
        <v>44</v>
      </c>
      <c r="D160">
        <v>-3.2904807917917743E-2</v>
      </c>
      <c r="E160">
        <v>0.19577664237854445</v>
      </c>
      <c r="F160">
        <v>2.0534709654759477E-2</v>
      </c>
      <c r="G160">
        <v>-0.24483644045443115</v>
      </c>
      <c r="H160">
        <v>6.2953077200517668E-2</v>
      </c>
      <c r="I160">
        <v>-9.8569528763427144E-2</v>
      </c>
      <c r="J160">
        <v>0.15415656587048707</v>
      </c>
      <c r="K160">
        <v>5.6195562919276583E-2</v>
      </c>
      <c r="L160">
        <v>-0.29519642800256191</v>
      </c>
      <c r="M160">
        <v>0.25877157233666315</v>
      </c>
      <c r="N160">
        <v>-0.10784219872355502</v>
      </c>
      <c r="O160">
        <v>-3.0723432816173214E-2</v>
      </c>
      <c r="P160">
        <v>9.6834021044985771E-2</v>
      </c>
      <c r="Q160">
        <v>0.28272857953561376</v>
      </c>
      <c r="R160">
        <v>-2.946438731072739E-2</v>
      </c>
      <c r="S160">
        <v>-0.21406984874814983</v>
      </c>
      <c r="T160">
        <v>-0.13154817239828051</v>
      </c>
      <c r="U160">
        <v>3.3582627818468866E-2</v>
      </c>
      <c r="V160">
        <v>0.1050779263993146</v>
      </c>
      <c r="W160">
        <v>-4.5941797609516992E-2</v>
      </c>
      <c r="X160">
        <v>-3.6556897910881986E-2</v>
      </c>
      <c r="Y160">
        <v>0.11453880900395919</v>
      </c>
      <c r="Z160">
        <v>-9.0029366961549021E-2</v>
      </c>
      <c r="AA160">
        <v>-4.548915406961742E-2</v>
      </c>
      <c r="AB160">
        <v>-2.329858975042676E-2</v>
      </c>
      <c r="AC160">
        <v>3.2140616494822333E-2</v>
      </c>
      <c r="AD160">
        <v>3.3090563095671266E-2</v>
      </c>
      <c r="AE160">
        <v>2.8768145077967869E-3</v>
      </c>
      <c r="AF160">
        <v>0.21294180967440213</v>
      </c>
      <c r="AG160">
        <v>0.10515242168745112</v>
      </c>
      <c r="AH160">
        <v>-1.2033638472082176E-2</v>
      </c>
      <c r="AI160">
        <v>-8.6204991021629693E-3</v>
      </c>
      <c r="AJ160">
        <v>-2.2455218851055555E-2</v>
      </c>
      <c r="AK160">
        <v>-1.7049995934334941E-2</v>
      </c>
      <c r="AL160">
        <v>0.11605463632054477</v>
      </c>
      <c r="AM160">
        <v>0.2064229839374937</v>
      </c>
      <c r="AN160">
        <v>0.13483175078085444</v>
      </c>
      <c r="AO160">
        <v>-2.668248920051048E-2</v>
      </c>
      <c r="AP160">
        <v>-8.7310339170445339E-2</v>
      </c>
      <c r="AQ160">
        <v>-1.4286668334078406E-2</v>
      </c>
      <c r="AR160">
        <v>-8.1059160459615073E-2</v>
      </c>
      <c r="AS160">
        <v>0.13575419165803651</v>
      </c>
      <c r="AT160">
        <v>0.19921251838828069</v>
      </c>
      <c r="AU160">
        <v>0.99999999999999978</v>
      </c>
    </row>
    <row r="161" spans="3:48" x14ac:dyDescent="0.2">
      <c r="D161">
        <v>1.0789055197720119</v>
      </c>
      <c r="E161">
        <v>1.199875048681903</v>
      </c>
      <c r="F161">
        <v>0.93451688263481092</v>
      </c>
      <c r="G161">
        <v>1.1655183706686123</v>
      </c>
      <c r="H161">
        <v>1.4294698897721485</v>
      </c>
      <c r="I161">
        <v>1.0013494767693563</v>
      </c>
      <c r="J161">
        <v>1.458994417674913</v>
      </c>
      <c r="K161">
        <v>1.8368190316917272</v>
      </c>
      <c r="L161">
        <v>2.0340223105023778</v>
      </c>
      <c r="M161">
        <v>0.98122940073398923</v>
      </c>
      <c r="N161">
        <v>0.80890372772822383</v>
      </c>
      <c r="O161">
        <v>1.0202373566446221</v>
      </c>
      <c r="P161">
        <v>1.1362725022569089</v>
      </c>
      <c r="Q161">
        <v>1.4335111661129565</v>
      </c>
      <c r="R161">
        <v>1.8280691807543072</v>
      </c>
      <c r="S161">
        <v>0.70115511467776237</v>
      </c>
      <c r="T161">
        <v>1.235926750515302</v>
      </c>
      <c r="U161">
        <v>1.1349674010680051</v>
      </c>
      <c r="V161">
        <v>0.95242131377491024</v>
      </c>
      <c r="W161">
        <v>1.0557243317780531</v>
      </c>
      <c r="X161">
        <v>1.9218727803571105</v>
      </c>
      <c r="Y161">
        <v>1.0256505659261852</v>
      </c>
      <c r="Z161">
        <v>0.9853192076244337</v>
      </c>
      <c r="AA161">
        <v>0.62542880506754006</v>
      </c>
      <c r="AB161">
        <v>0.86013037923680336</v>
      </c>
      <c r="AC161">
        <v>1.286707247796925</v>
      </c>
      <c r="AD161">
        <v>1.1366570864754313</v>
      </c>
      <c r="AE161">
        <v>0.8073462717237414</v>
      </c>
      <c r="AF161">
        <v>1.366365891948413</v>
      </c>
      <c r="AG161">
        <v>1.1525225845745317</v>
      </c>
      <c r="AH161">
        <v>1.3785276048264361</v>
      </c>
      <c r="AI161">
        <v>1.4342981588196122</v>
      </c>
      <c r="AJ161">
        <v>1.5851706400285037</v>
      </c>
      <c r="AK161">
        <v>2.0743668629712553</v>
      </c>
      <c r="AL161">
        <v>1.586220811317157</v>
      </c>
      <c r="AM161">
        <v>2.0418711102414528</v>
      </c>
      <c r="AN161">
        <v>1.2164314695461949</v>
      </c>
      <c r="AO161">
        <v>0.91919265510196402</v>
      </c>
      <c r="AP161">
        <v>1.0478010310349966</v>
      </c>
      <c r="AQ161">
        <v>1.2440502819127235</v>
      </c>
      <c r="AR161">
        <v>0.84112905242093827</v>
      </c>
      <c r="AS161">
        <v>1.584599629661589</v>
      </c>
      <c r="AT161">
        <v>1.0487807057059393</v>
      </c>
      <c r="AU161">
        <v>0.70685540562582005</v>
      </c>
      <c r="AV161">
        <v>54.305185434158602</v>
      </c>
    </row>
    <row r="163" spans="3:48" x14ac:dyDescent="0.2">
      <c r="C163" t="s">
        <v>197</v>
      </c>
    </row>
    <row r="165" spans="3:48" x14ac:dyDescent="0.2">
      <c r="D165" t="s">
        <v>1</v>
      </c>
      <c r="E165" t="s">
        <v>2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8</v>
      </c>
      <c r="L165" t="s">
        <v>9</v>
      </c>
      <c r="M165" t="s">
        <v>10</v>
      </c>
      <c r="N165" t="s">
        <v>11</v>
      </c>
      <c r="O165" t="s">
        <v>12</v>
      </c>
      <c r="P165" t="s">
        <v>13</v>
      </c>
      <c r="Q165" t="s">
        <v>14</v>
      </c>
      <c r="R165" t="s">
        <v>15</v>
      </c>
      <c r="S165" t="s">
        <v>16</v>
      </c>
      <c r="T165" t="s">
        <v>17</v>
      </c>
      <c r="U165" t="s">
        <v>18</v>
      </c>
      <c r="V165" t="s">
        <v>19</v>
      </c>
      <c r="W165" t="s">
        <v>20</v>
      </c>
      <c r="X165" t="s">
        <v>21</v>
      </c>
      <c r="Y165" t="s">
        <v>22</v>
      </c>
      <c r="Z165" t="s">
        <v>23</v>
      </c>
      <c r="AA165" t="s">
        <v>24</v>
      </c>
      <c r="AB165" t="s">
        <v>25</v>
      </c>
      <c r="AC165" t="s">
        <v>26</v>
      </c>
      <c r="AD165" t="s">
        <v>27</v>
      </c>
      <c r="AE165" t="s">
        <v>28</v>
      </c>
      <c r="AF165" t="s">
        <v>29</v>
      </c>
      <c r="AG165" t="s">
        <v>30</v>
      </c>
      <c r="AH165" t="s">
        <v>31</v>
      </c>
      <c r="AI165" t="s">
        <v>32</v>
      </c>
      <c r="AJ165" t="s">
        <v>33</v>
      </c>
      <c r="AK165" t="s">
        <v>34</v>
      </c>
      <c r="AL165" t="s">
        <v>35</v>
      </c>
      <c r="AM165" t="s">
        <v>36</v>
      </c>
      <c r="AN165" t="s">
        <v>37</v>
      </c>
      <c r="AO165" t="s">
        <v>38</v>
      </c>
      <c r="AP165" t="s">
        <v>39</v>
      </c>
      <c r="AQ165" t="s">
        <v>40</v>
      </c>
      <c r="AR165" t="s">
        <v>41</v>
      </c>
      <c r="AS165" t="s">
        <v>42</v>
      </c>
      <c r="AT165" t="s">
        <v>43</v>
      </c>
      <c r="AU165" t="s">
        <v>44</v>
      </c>
    </row>
    <row r="166" spans="3:48" x14ac:dyDescent="0.2">
      <c r="D166">
        <v>0.79862618797795959</v>
      </c>
      <c r="E166">
        <v>0.73162230575117682</v>
      </c>
      <c r="F166">
        <v>0.70253065183250674</v>
      </c>
      <c r="G166">
        <v>0.81862970760624998</v>
      </c>
      <c r="H166">
        <v>0.8141565166329281</v>
      </c>
      <c r="I166">
        <v>0.86428967635348586</v>
      </c>
      <c r="J166">
        <v>0.83773045105474253</v>
      </c>
      <c r="K166">
        <v>0.7718373499572696</v>
      </c>
      <c r="L166">
        <v>0.76804042581612786</v>
      </c>
      <c r="M166">
        <v>0.86316360846544549</v>
      </c>
      <c r="N166">
        <v>0.89497355352595509</v>
      </c>
      <c r="O166">
        <v>0.8695656059530521</v>
      </c>
      <c r="P166">
        <v>0.84914062800923518</v>
      </c>
      <c r="Q166">
        <v>0.64201696538962361</v>
      </c>
      <c r="R166">
        <v>0.65759937867284102</v>
      </c>
      <c r="S166">
        <v>0.86838172585617046</v>
      </c>
      <c r="T166">
        <v>0.65470234683315454</v>
      </c>
      <c r="U166">
        <v>0.66853676612168145</v>
      </c>
      <c r="V166">
        <v>0.82606684717504841</v>
      </c>
      <c r="W166">
        <v>0.80264588158301431</v>
      </c>
      <c r="X166">
        <v>0.68429352280625499</v>
      </c>
      <c r="Y166">
        <v>0.75540473121929219</v>
      </c>
      <c r="Z166">
        <v>0.74874373581495279</v>
      </c>
      <c r="AA166">
        <v>0.58801276374301836</v>
      </c>
      <c r="AB166">
        <v>0.85796121894296173</v>
      </c>
      <c r="AC166">
        <v>0.79261706223486195</v>
      </c>
      <c r="AD166">
        <v>0.85904442655710844</v>
      </c>
      <c r="AE166">
        <v>0.88221556501083254</v>
      </c>
      <c r="AF166">
        <v>0.70750699541921902</v>
      </c>
      <c r="AG166">
        <v>0.64739408223677319</v>
      </c>
      <c r="AH166">
        <v>0.68871707270728733</v>
      </c>
      <c r="AI166">
        <v>0.76166023267782934</v>
      </c>
      <c r="AJ166">
        <v>0.57495842971969313</v>
      </c>
      <c r="AK166">
        <v>0.73365055374493648</v>
      </c>
      <c r="AL166">
        <v>0.7711840182350026</v>
      </c>
      <c r="AM166">
        <v>0.62305510313184864</v>
      </c>
      <c r="AN166">
        <v>0.63397975327251777</v>
      </c>
      <c r="AO166">
        <v>0.73770662052556346</v>
      </c>
      <c r="AP166">
        <v>0.75590084244591571</v>
      </c>
      <c r="AQ166">
        <v>0.65285539950776139</v>
      </c>
      <c r="AR166">
        <v>0.80797919867914192</v>
      </c>
      <c r="AS166">
        <v>0.76171550827828183</v>
      </c>
      <c r="AT166">
        <v>0.76411727193748047</v>
      </c>
      <c r="AU166">
        <v>0.81604458454507778</v>
      </c>
      <c r="AV166">
        <v>0.77576361314136477</v>
      </c>
    </row>
    <row r="168" spans="3:48" x14ac:dyDescent="0.2">
      <c r="C168" t="s">
        <v>198</v>
      </c>
    </row>
    <row r="170" spans="3:48" x14ac:dyDescent="0.2">
      <c r="D170">
        <v>13.383033759894325</v>
      </c>
      <c r="E170">
        <v>4.1086932775634635</v>
      </c>
      <c r="F170">
        <v>2.8772258894369891</v>
      </c>
      <c r="G170">
        <v>2.5247540885382866</v>
      </c>
      <c r="H170">
        <v>1.929701001007005</v>
      </c>
      <c r="I170">
        <v>1.6282218229654424</v>
      </c>
      <c r="J170">
        <v>1.4758366267872698</v>
      </c>
      <c r="K170">
        <v>1.4076918031914389</v>
      </c>
      <c r="L170">
        <v>1.3206899960175276</v>
      </c>
      <c r="M170">
        <v>1.199030422067245</v>
      </c>
      <c r="N170">
        <v>1.1541647871990708</v>
      </c>
      <c r="O170">
        <v>0.98945075737507548</v>
      </c>
      <c r="P170">
        <v>0.95985613579939499</v>
      </c>
      <c r="Q170">
        <v>0.85509605929781618</v>
      </c>
      <c r="R170">
        <v>0.7714465089064817</v>
      </c>
      <c r="S170">
        <v>0.71583412088056519</v>
      </c>
      <c r="T170">
        <v>0.64566516310734545</v>
      </c>
      <c r="U170">
        <v>0.59976498894437968</v>
      </c>
      <c r="V170">
        <v>0.53379389972488522</v>
      </c>
      <c r="W170">
        <v>0.49038469759668846</v>
      </c>
      <c r="X170">
        <v>0.46455296427136628</v>
      </c>
      <c r="Y170">
        <v>0.41782759959289845</v>
      </c>
      <c r="Z170">
        <v>0.34032519454704274</v>
      </c>
      <c r="AA170">
        <v>0.30876408959903084</v>
      </c>
      <c r="AB170">
        <v>0.29280630488301135</v>
      </c>
      <c r="AC170">
        <v>0.2772953063069386</v>
      </c>
      <c r="AD170">
        <v>0.26513248409811718</v>
      </c>
      <c r="AE170">
        <v>0.2283653125796693</v>
      </c>
      <c r="AF170">
        <v>0.22108498073615895</v>
      </c>
      <c r="AG170">
        <v>0.18205167576836781</v>
      </c>
      <c r="AH170">
        <v>0.18080652214398227</v>
      </c>
      <c r="AI170">
        <v>0.17100730447262052</v>
      </c>
      <c r="AJ170">
        <v>0.15330312361563084</v>
      </c>
      <c r="AK170">
        <v>0.14291631146388548</v>
      </c>
      <c r="AL170">
        <v>0.12984604775648162</v>
      </c>
      <c r="AM170">
        <v>0.10592198760199421</v>
      </c>
      <c r="AN170">
        <v>9.8106061641290682E-2</v>
      </c>
      <c r="AO170">
        <v>8.7891705685530425E-2</v>
      </c>
      <c r="AP170">
        <v>8.4075734661547871E-2</v>
      </c>
      <c r="AQ170">
        <v>7.9156387248782059E-2</v>
      </c>
      <c r="AR170">
        <v>6.2986522535111514E-2</v>
      </c>
      <c r="AS170">
        <v>6.0150984472127488E-2</v>
      </c>
      <c r="AT170">
        <v>4.171467706296933E-2</v>
      </c>
      <c r="AU170">
        <v>3.3574910954760562E-2</v>
      </c>
    </row>
    <row r="171" spans="3:48" x14ac:dyDescent="0.2">
      <c r="D171">
        <v>-0.14547032337326482</v>
      </c>
      <c r="E171">
        <v>-0.2186497100788436</v>
      </c>
      <c r="F171">
        <v>-0.1473706255939935</v>
      </c>
      <c r="G171">
        <v>-0.16196854383382497</v>
      </c>
      <c r="H171">
        <v>-0.16806404812747777</v>
      </c>
      <c r="I171">
        <v>-4.3956556169661765E-2</v>
      </c>
      <c r="J171">
        <v>-5.9415392489745589E-2</v>
      </c>
      <c r="K171">
        <v>-1.8152388954287835E-2</v>
      </c>
      <c r="L171">
        <v>-2.639082679047533E-2</v>
      </c>
      <c r="M171">
        <v>-0.12705993975853325</v>
      </c>
      <c r="N171">
        <v>-0.14231487607085525</v>
      </c>
      <c r="O171">
        <v>-0.21379041888455919</v>
      </c>
      <c r="P171">
        <v>-5.7881928198420862E-2</v>
      </c>
      <c r="Q171">
        <v>-8.1736762283356024E-2</v>
      </c>
      <c r="R171">
        <v>-0.1140743601015195</v>
      </c>
      <c r="S171">
        <v>-0.24960237423107112</v>
      </c>
      <c r="T171">
        <v>-6.8324969921017331E-2</v>
      </c>
      <c r="U171">
        <v>-0.36378671665956541</v>
      </c>
      <c r="V171">
        <v>-3.7511733194278474E-2</v>
      </c>
      <c r="W171">
        <v>-6.6684818154182146E-2</v>
      </c>
      <c r="X171">
        <v>-0.18898739599420078</v>
      </c>
      <c r="Y171">
        <v>-3.9691127384966718E-2</v>
      </c>
      <c r="Z171">
        <v>-9.9175207610545657E-2</v>
      </c>
      <c r="AA171">
        <v>-0.12772677501941176</v>
      </c>
      <c r="AB171">
        <v>-8.5716261644761538E-3</v>
      </c>
      <c r="AC171">
        <v>-0.11793750409281212</v>
      </c>
      <c r="AD171">
        <v>-7.6515351039944779E-2</v>
      </c>
      <c r="AE171">
        <v>-0.15795803610862835</v>
      </c>
      <c r="AF171">
        <v>-5.8975409624906661E-2</v>
      </c>
      <c r="AG171">
        <v>-0.31012998601303332</v>
      </c>
      <c r="AH171">
        <v>-0.21521289666547228</v>
      </c>
      <c r="AI171">
        <v>-1.338231836097048E-3</v>
      </c>
      <c r="AJ171">
        <v>-6.9905843169130399E-2</v>
      </c>
      <c r="AK171">
        <v>-5.5233387654201938E-2</v>
      </c>
      <c r="AL171">
        <v>-0.18407693923254409</v>
      </c>
      <c r="AM171">
        <v>-0.30616993419730898</v>
      </c>
      <c r="AN171">
        <v>-0.26129269055448323</v>
      </c>
      <c r="AO171">
        <v>-8.2045885387405537E-2</v>
      </c>
      <c r="AP171">
        <v>-0.10356453864179072</v>
      </c>
      <c r="AQ171">
        <v>-9.6761731631291648E-2</v>
      </c>
      <c r="AR171">
        <v>-9.8523023510737273E-2</v>
      </c>
      <c r="AS171">
        <v>-0.12132667175448875</v>
      </c>
      <c r="AT171">
        <v>-0.16889705929855903</v>
      </c>
      <c r="AU171">
        <v>-1.4719876584183833E-2</v>
      </c>
    </row>
    <row r="172" spans="3:48" x14ac:dyDescent="0.2">
      <c r="D172">
        <v>-0.12029057761801878</v>
      </c>
      <c r="E172">
        <v>-0.21028696002503061</v>
      </c>
      <c r="F172">
        <v>-1.4188890208330588E-2</v>
      </c>
      <c r="G172">
        <v>-0.26465556884869396</v>
      </c>
      <c r="H172">
        <v>-0.25352013227209669</v>
      </c>
      <c r="I172">
        <v>0.15562992745421833</v>
      </c>
      <c r="J172">
        <v>-5.7249014536366188E-2</v>
      </c>
      <c r="K172">
        <v>0.11396510231097688</v>
      </c>
      <c r="L172">
        <v>-3.6016308340514967E-2</v>
      </c>
      <c r="M172">
        <v>-4.037822766685098E-2</v>
      </c>
      <c r="N172">
        <v>-0.16686246155519904</v>
      </c>
      <c r="O172">
        <v>2.9202218767341467E-2</v>
      </c>
      <c r="P172">
        <v>0.14402808584264334</v>
      </c>
      <c r="Q172">
        <v>-0.11155781861693045</v>
      </c>
      <c r="R172">
        <v>-0.13247498837426502</v>
      </c>
      <c r="S172">
        <v>-9.0331993855004775E-2</v>
      </c>
      <c r="T172">
        <v>-8.2179258732824376E-2</v>
      </c>
      <c r="U172">
        <v>0.11580627817591992</v>
      </c>
      <c r="V172">
        <v>0.21622908447223904</v>
      </c>
      <c r="W172">
        <v>0.21472494519708174</v>
      </c>
      <c r="X172">
        <v>0.17699249261497896</v>
      </c>
      <c r="Y172">
        <v>6.1316594400888123E-2</v>
      </c>
      <c r="Z172">
        <v>-0.25512942066174366</v>
      </c>
      <c r="AA172">
        <v>-0.1292130670007163</v>
      </c>
      <c r="AB172">
        <v>0.23275726633879731</v>
      </c>
      <c r="AC172">
        <v>-0.1813520759424368</v>
      </c>
      <c r="AD172">
        <v>-0.16638046858565306</v>
      </c>
      <c r="AE172">
        <v>-3.1070183153051573E-2</v>
      </c>
      <c r="AF172">
        <v>6.5385044889982064E-2</v>
      </c>
      <c r="AG172">
        <v>0.12504207006641815</v>
      </c>
      <c r="AH172">
        <v>0.12647571386415954</v>
      </c>
      <c r="AI172">
        <v>8.1802292170097858E-3</v>
      </c>
      <c r="AJ172">
        <v>0.34572199345163313</v>
      </c>
      <c r="AK172">
        <v>-9.0865681955386593E-2</v>
      </c>
      <c r="AL172">
        <v>-4.1136508429912101E-2</v>
      </c>
      <c r="AM172">
        <v>0.10631036074912223</v>
      </c>
      <c r="AN172">
        <v>5.6852511711488189E-2</v>
      </c>
      <c r="AO172">
        <v>-9.9147726727436769E-2</v>
      </c>
      <c r="AP172">
        <v>-5.6520483260426656E-2</v>
      </c>
      <c r="AQ172">
        <v>0.23565925137809479</v>
      </c>
      <c r="AR172">
        <v>0.2269931292434095</v>
      </c>
      <c r="AS172">
        <v>0.10722066062595331</v>
      </c>
      <c r="AT172">
        <v>0.11600838303865212</v>
      </c>
      <c r="AU172">
        <v>-7.1781384539684176E-2</v>
      </c>
    </row>
    <row r="173" spans="3:48" x14ac:dyDescent="0.2">
      <c r="D173">
        <v>-0.100902927534456</v>
      </c>
      <c r="E173">
        <v>-0.18147205993081295</v>
      </c>
      <c r="F173">
        <v>5.5796686691108828E-2</v>
      </c>
      <c r="G173">
        <v>0.11775377972466172</v>
      </c>
      <c r="H173">
        <v>-0.10413705922995455</v>
      </c>
      <c r="I173">
        <v>0.12536538197722449</v>
      </c>
      <c r="J173">
        <v>-1.1559362462463503E-2</v>
      </c>
      <c r="K173">
        <v>0.12542259824486432</v>
      </c>
      <c r="L173">
        <v>-0.49360071869287364</v>
      </c>
      <c r="M173">
        <v>4.0959696174642873E-2</v>
      </c>
      <c r="N173">
        <v>0.13813804007646566</v>
      </c>
      <c r="O173">
        <v>0.1168082234895355</v>
      </c>
      <c r="P173">
        <v>6.5805642821637547E-2</v>
      </c>
      <c r="Q173">
        <v>-2.9790616791482608E-2</v>
      </c>
      <c r="R173">
        <v>0.10561281192651102</v>
      </c>
      <c r="S173">
        <v>-1.0754290984647637E-2</v>
      </c>
      <c r="T173">
        <v>0.3681900711219171</v>
      </c>
      <c r="U173">
        <v>0.19694285662708072</v>
      </c>
      <c r="V173">
        <v>-3.910574557375477E-2</v>
      </c>
      <c r="W173">
        <v>0.3039626050899234</v>
      </c>
      <c r="X173">
        <v>-4.7890810209499673E-2</v>
      </c>
      <c r="Y173">
        <v>-0.36291445056141891</v>
      </c>
      <c r="Z173">
        <v>-2.0263710169060197E-2</v>
      </c>
      <c r="AA173">
        <v>0.17227569998242248</v>
      </c>
      <c r="AB173">
        <v>1.170226782142372E-3</v>
      </c>
      <c r="AC173">
        <v>-2.4451486315716243E-2</v>
      </c>
      <c r="AD173">
        <v>7.6685856298700741E-2</v>
      </c>
      <c r="AE173">
        <v>-1.7182536442695255E-4</v>
      </c>
      <c r="AF173">
        <v>-9.0017409174858412E-2</v>
      </c>
      <c r="AG173">
        <v>6.7861732698197674E-2</v>
      </c>
      <c r="AH173">
        <v>-0.11385666513215828</v>
      </c>
      <c r="AI173">
        <v>0.1018149609100444</v>
      </c>
      <c r="AJ173">
        <v>-7.9664411319013903E-2</v>
      </c>
      <c r="AK173">
        <v>-1.6708595741165736E-2</v>
      </c>
      <c r="AL173">
        <v>-8.4717717690268576E-2</v>
      </c>
      <c r="AM173">
        <v>-7.8151919006875514E-2</v>
      </c>
      <c r="AN173">
        <v>-0.22185512477926861</v>
      </c>
      <c r="AO173">
        <v>0.12585213876572976</v>
      </c>
      <c r="AP173">
        <v>-0.13382718226916743</v>
      </c>
      <c r="AQ173">
        <v>-8.7463443210451561E-2</v>
      </c>
      <c r="AR173">
        <v>0.10584898088040462</v>
      </c>
      <c r="AS173">
        <v>-4.5598908069346619E-2</v>
      </c>
      <c r="AT173">
        <v>-3.7120622667321114E-2</v>
      </c>
      <c r="AU173">
        <v>5.3647618628367116E-2</v>
      </c>
    </row>
    <row r="174" spans="3:48" x14ac:dyDescent="0.2">
      <c r="D174">
        <v>-0.16771878758260531</v>
      </c>
      <c r="E174">
        <v>-0.21014280183310424</v>
      </c>
      <c r="F174">
        <v>-4.8842402074747056E-2</v>
      </c>
      <c r="G174">
        <v>-0.11440974103291077</v>
      </c>
      <c r="H174">
        <v>-0.15278541523420883</v>
      </c>
      <c r="I174">
        <v>-1.1963789924131343E-2</v>
      </c>
      <c r="J174">
        <v>-3.1738620747805799E-2</v>
      </c>
      <c r="K174">
        <v>4.5064219237966698E-2</v>
      </c>
      <c r="L174">
        <v>-0.2721708201080309</v>
      </c>
      <c r="M174">
        <v>-0.1170327858514392</v>
      </c>
      <c r="N174">
        <v>9.5213072969705159E-2</v>
      </c>
      <c r="O174">
        <v>-0.20811392217252081</v>
      </c>
      <c r="P174">
        <v>-6.2936356576122177E-2</v>
      </c>
      <c r="Q174">
        <v>-1.2709001673144609E-2</v>
      </c>
      <c r="R174">
        <v>0.2184808028447002</v>
      </c>
      <c r="S174">
        <v>-0.10114750315526456</v>
      </c>
      <c r="T174">
        <v>-0.10268708837011455</v>
      </c>
      <c r="U174">
        <v>-8.938152071155113E-2</v>
      </c>
      <c r="V174">
        <v>-0.10661652469021007</v>
      </c>
      <c r="W174">
        <v>0.13092803094258079</v>
      </c>
      <c r="X174">
        <v>0.14295906886284246</v>
      </c>
      <c r="Y174">
        <v>6.6507435714029645E-2</v>
      </c>
      <c r="Z174">
        <v>0.15130293768251513</v>
      </c>
      <c r="AA174">
        <v>5.8765778513700469E-2</v>
      </c>
      <c r="AB174">
        <v>-0.14554817159147296</v>
      </c>
      <c r="AC174">
        <v>0.18699469258485757</v>
      </c>
      <c r="AD174">
        <v>4.8712530773410673E-2</v>
      </c>
      <c r="AE174">
        <v>-0.15896910100280678</v>
      </c>
      <c r="AF174">
        <v>0.22333683530289514</v>
      </c>
      <c r="AG174">
        <v>8.6737782189079154E-2</v>
      </c>
      <c r="AH174">
        <v>-2.3592904372770087E-2</v>
      </c>
      <c r="AI174">
        <v>-0.41746758067959605</v>
      </c>
      <c r="AJ174">
        <v>-3.3747545465718017E-2</v>
      </c>
      <c r="AK174">
        <v>0.26966215916178504</v>
      </c>
      <c r="AL174">
        <v>0.18238902983964031</v>
      </c>
      <c r="AM174">
        <v>-1.5375553485183935E-2</v>
      </c>
      <c r="AN174">
        <v>0.20564592205465934</v>
      </c>
      <c r="AO174">
        <v>7.4468595646388705E-2</v>
      </c>
      <c r="AP174">
        <v>0.128595971460119</v>
      </c>
      <c r="AQ174">
        <v>2.2723125499602682E-2</v>
      </c>
      <c r="AR174">
        <v>-0.15205729968363563</v>
      </c>
      <c r="AS174">
        <v>0.203960255687507</v>
      </c>
      <c r="AT174">
        <v>3.659413390178546E-2</v>
      </c>
      <c r="AU174">
        <v>-0.17573069262573537</v>
      </c>
    </row>
    <row r="175" spans="3:48" x14ac:dyDescent="0.2">
      <c r="D175">
        <v>-0.19429027741834681</v>
      </c>
      <c r="E175">
        <v>-5.150883586764237E-2</v>
      </c>
      <c r="F175">
        <v>8.2928754341641597E-2</v>
      </c>
      <c r="G175">
        <v>4.2870602188911727E-2</v>
      </c>
      <c r="H175">
        <v>-0.17615644216534934</v>
      </c>
      <c r="I175">
        <v>-1.2591561030826053E-2</v>
      </c>
      <c r="J175">
        <v>-0.10338063989470575</v>
      </c>
      <c r="K175">
        <v>0.13748229830909156</v>
      </c>
      <c r="L175">
        <v>-0.10566852495488277</v>
      </c>
      <c r="M175">
        <v>-2.3965203682385798E-2</v>
      </c>
      <c r="N175">
        <v>4.6286053668903551E-2</v>
      </c>
      <c r="O175">
        <v>8.6741113252374977E-2</v>
      </c>
      <c r="P175">
        <v>6.1639287962696694E-2</v>
      </c>
      <c r="Q175">
        <v>-0.22287024388896021</v>
      </c>
      <c r="R175">
        <v>0.22437286016108846</v>
      </c>
      <c r="S175">
        <v>8.3476901676227455E-2</v>
      </c>
      <c r="T175">
        <v>-0.29601630914224486</v>
      </c>
      <c r="U175">
        <v>0.23313687218726128</v>
      </c>
      <c r="V175">
        <v>7.7268808994551255E-2</v>
      </c>
      <c r="W175">
        <v>-0.24986820426018347</v>
      </c>
      <c r="X175">
        <v>-0.19238991000873998</v>
      </c>
      <c r="Y175">
        <v>0.20865703991458417</v>
      </c>
      <c r="Z175">
        <v>0.10989259940995154</v>
      </c>
      <c r="AA175">
        <v>0.18222845182839337</v>
      </c>
      <c r="AB175">
        <v>-6.3481904609281381E-2</v>
      </c>
      <c r="AC175">
        <v>0.1242407928002483</v>
      </c>
      <c r="AD175">
        <v>-0.32659293946966428</v>
      </c>
      <c r="AE175">
        <v>-5.9437600188521768E-2</v>
      </c>
      <c r="AF175">
        <v>-0.21952360373096955</v>
      </c>
      <c r="AG175">
        <v>-1.7924174630332614E-2</v>
      </c>
      <c r="AH175">
        <v>0.13936516332519444</v>
      </c>
      <c r="AI175">
        <v>-4.7364214063221409E-2</v>
      </c>
      <c r="AJ175">
        <v>-0.11323118752473336</v>
      </c>
      <c r="AK175">
        <v>-0.19190691729681517</v>
      </c>
      <c r="AL175">
        <v>-7.4847822378799889E-2</v>
      </c>
      <c r="AM175">
        <v>-9.8162649277141623E-3</v>
      </c>
      <c r="AN175">
        <v>-0.13571550321643266</v>
      </c>
      <c r="AO175">
        <v>5.549992108391405E-2</v>
      </c>
      <c r="AP175">
        <v>0.28649353313364267</v>
      </c>
      <c r="AQ175">
        <v>8.8737211831344046E-2</v>
      </c>
      <c r="AR175">
        <v>7.6616524040789863E-2</v>
      </c>
      <c r="AS175">
        <v>-4.514906632439504E-2</v>
      </c>
      <c r="AT175">
        <v>-0.12840281153286751</v>
      </c>
      <c r="AU175">
        <v>0.17510676549130338</v>
      </c>
    </row>
    <row r="176" spans="3:48" x14ac:dyDescent="0.2">
      <c r="D176">
        <v>-0.18599575797644044</v>
      </c>
      <c r="E176">
        <v>-0.22495703178878254</v>
      </c>
      <c r="F176">
        <v>-1.4158580650700459E-2</v>
      </c>
      <c r="G176">
        <v>8.5566163311279225E-2</v>
      </c>
      <c r="H176">
        <v>0.16610133451582412</v>
      </c>
      <c r="I176">
        <v>8.108537265272113E-2</v>
      </c>
      <c r="J176">
        <v>3.7216796799936662E-2</v>
      </c>
      <c r="K176">
        <v>7.1121125028052276E-2</v>
      </c>
      <c r="L176">
        <v>9.2059026033796398E-2</v>
      </c>
      <c r="M176">
        <v>-5.5538205503746746E-2</v>
      </c>
      <c r="N176">
        <v>-1.2528801855803035E-2</v>
      </c>
      <c r="O176">
        <v>3.7666676442858246E-2</v>
      </c>
      <c r="P176">
        <v>-0.27027763269597793</v>
      </c>
      <c r="Q176">
        <v>0.13376934547249625</v>
      </c>
      <c r="R176">
        <v>-0.11070818259602229</v>
      </c>
      <c r="S176">
        <v>-0.11758697200569511</v>
      </c>
      <c r="T176">
        <v>-7.4975864191353769E-2</v>
      </c>
      <c r="U176">
        <v>7.7564676756560202E-2</v>
      </c>
      <c r="V176">
        <v>-0.10279159346641895</v>
      </c>
      <c r="W176">
        <v>0.12063872939832411</v>
      </c>
      <c r="X176">
        <v>-8.8787439577612551E-2</v>
      </c>
      <c r="Y176">
        <v>4.0637225578925518E-2</v>
      </c>
      <c r="Z176">
        <v>0.20108191939953812</v>
      </c>
      <c r="AA176">
        <v>-5.1214406941607747E-2</v>
      </c>
      <c r="AB176">
        <v>-7.0796172817101004E-4</v>
      </c>
      <c r="AC176">
        <v>7.7332026946471399E-2</v>
      </c>
      <c r="AD176">
        <v>8.1254446843864236E-2</v>
      </c>
      <c r="AE176">
        <v>0.25495536142257824</v>
      </c>
      <c r="AF176">
        <v>0.22410819455590994</v>
      </c>
      <c r="AG176">
        <v>-9.92348444309753E-2</v>
      </c>
      <c r="AH176">
        <v>3.2233965348042501E-2</v>
      </c>
      <c r="AI176">
        <v>-8.332818968817482E-2</v>
      </c>
      <c r="AJ176">
        <v>9.7034112127573791E-2</v>
      </c>
      <c r="AK176">
        <v>-8.542676840375181E-2</v>
      </c>
      <c r="AL176">
        <v>-0.39595148848916628</v>
      </c>
      <c r="AM176">
        <v>2.7818322455219147E-2</v>
      </c>
      <c r="AN176">
        <v>4.0999737121379699E-2</v>
      </c>
      <c r="AO176">
        <v>0.1694003523074715</v>
      </c>
      <c r="AP176">
        <v>0.26189332263129178</v>
      </c>
      <c r="AQ176">
        <v>-8.3720303109578453E-2</v>
      </c>
      <c r="AR176">
        <v>0.26244878668419641</v>
      </c>
      <c r="AS176">
        <v>-0.30447783169905074</v>
      </c>
      <c r="AT176">
        <v>0.21140089866977646</v>
      </c>
      <c r="AU176">
        <v>-0.12248671913731243</v>
      </c>
    </row>
    <row r="177" spans="4:47" x14ac:dyDescent="0.2">
      <c r="D177">
        <v>-0.20745376214087027</v>
      </c>
      <c r="E177">
        <v>-0.1856650740354073</v>
      </c>
      <c r="F177">
        <v>-3.9336453956324603E-2</v>
      </c>
      <c r="G177">
        <v>3.4045485592999671E-2</v>
      </c>
      <c r="H177">
        <v>0.11223393400741875</v>
      </c>
      <c r="I177">
        <v>0.1260029566510634</v>
      </c>
      <c r="J177">
        <v>-2.4589433305944843E-2</v>
      </c>
      <c r="K177">
        <v>-6.9812701101195198E-3</v>
      </c>
      <c r="L177">
        <v>-9.2570681909108759E-3</v>
      </c>
      <c r="M177">
        <v>-0.12224936663864762</v>
      </c>
      <c r="N177">
        <v>5.9710482831260535E-2</v>
      </c>
      <c r="O177">
        <v>-8.4455286464238291E-2</v>
      </c>
      <c r="P177">
        <v>-0.26164568857344439</v>
      </c>
      <c r="Q177">
        <v>-2.9416936392163303E-2</v>
      </c>
      <c r="R177">
        <v>-4.4614613191206354E-2</v>
      </c>
      <c r="S177">
        <v>0.10865715190799745</v>
      </c>
      <c r="T177">
        <v>2.8787850098742043E-2</v>
      </c>
      <c r="U177">
        <v>5.5538764355287776E-2</v>
      </c>
      <c r="V177">
        <v>-0.11490225561441963</v>
      </c>
      <c r="W177">
        <v>-1.394774930891675E-2</v>
      </c>
      <c r="X177">
        <v>-4.7777883849583265E-2</v>
      </c>
      <c r="Y177">
        <v>3.567519869512736E-3</v>
      </c>
      <c r="Z177">
        <v>-2.3093183593879772E-2</v>
      </c>
      <c r="AA177">
        <v>4.1243828493765289E-2</v>
      </c>
      <c r="AB177">
        <v>0.10744815578110285</v>
      </c>
      <c r="AC177">
        <v>0.37908202221531417</v>
      </c>
      <c r="AD177">
        <v>0.12106506396450578</v>
      </c>
      <c r="AE177">
        <v>5.8868097775624989E-2</v>
      </c>
      <c r="AF177">
        <v>0.19471858772072376</v>
      </c>
      <c r="AG177">
        <v>-0.1547201329161072</v>
      </c>
      <c r="AH177">
        <v>-8.559874302990822E-2</v>
      </c>
      <c r="AI177">
        <v>0.3026301209840887</v>
      </c>
      <c r="AJ177">
        <v>5.407576391099328E-2</v>
      </c>
      <c r="AK177">
        <v>-0.12920971485059957</v>
      </c>
      <c r="AL177">
        <v>4.7764900380598947E-2</v>
      </c>
      <c r="AM177">
        <v>9.8314324986808879E-2</v>
      </c>
      <c r="AN177">
        <v>6.9721175881396091E-2</v>
      </c>
      <c r="AO177">
        <v>-0.3546802019627438</v>
      </c>
      <c r="AP177">
        <v>-7.9959140296886222E-2</v>
      </c>
      <c r="AQ177">
        <v>0.21119372360576638</v>
      </c>
      <c r="AR177">
        <v>-6.1221045285303657E-2</v>
      </c>
      <c r="AS177">
        <v>0.28667408461030913</v>
      </c>
      <c r="AT177">
        <v>-0.13044742566244705</v>
      </c>
      <c r="AU177">
        <v>0.33115585297576022</v>
      </c>
    </row>
    <row r="178" spans="4:47" x14ac:dyDescent="0.2">
      <c r="D178">
        <v>-0.18603261034246735</v>
      </c>
      <c r="E178">
        <v>-0.18403345410517127</v>
      </c>
      <c r="F178">
        <v>-0.13526266677349849</v>
      </c>
      <c r="G178">
        <v>4.9499442180802676E-2</v>
      </c>
      <c r="H178">
        <v>1.245986267645611E-2</v>
      </c>
      <c r="I178">
        <v>-8.9572799572668116E-2</v>
      </c>
      <c r="J178">
        <v>7.0966104971193364E-2</v>
      </c>
      <c r="K178">
        <v>0.16344124375959329</v>
      </c>
      <c r="L178">
        <v>0.15614874069790491</v>
      </c>
      <c r="M178">
        <v>2.4570760273078411E-2</v>
      </c>
      <c r="N178">
        <v>0.10190580605690328</v>
      </c>
      <c r="O178">
        <v>9.7018235195938399E-2</v>
      </c>
      <c r="P178">
        <v>-4.7639197406260519E-2</v>
      </c>
      <c r="Q178">
        <v>0.23494631387102494</v>
      </c>
      <c r="R178">
        <v>-0.12189170423588629</v>
      </c>
      <c r="S178">
        <v>-0.29015271468568365</v>
      </c>
      <c r="T178">
        <v>6.0816594610215782E-2</v>
      </c>
      <c r="U178">
        <v>-0.12006302674560627</v>
      </c>
      <c r="V178">
        <v>-4.209176966218324E-2</v>
      </c>
      <c r="W178">
        <v>-9.2390603141315614E-2</v>
      </c>
      <c r="X178">
        <v>0.14318327442930917</v>
      </c>
      <c r="Y178">
        <v>9.7970215012290515E-2</v>
      </c>
      <c r="Z178">
        <v>8.1030957592798769E-2</v>
      </c>
      <c r="AA178">
        <v>0.22623610594760896</v>
      </c>
      <c r="AB178">
        <v>-1.0327347014290384E-2</v>
      </c>
      <c r="AC178">
        <v>-0.1413742388849217</v>
      </c>
      <c r="AD178">
        <v>-0.14822175414189973</v>
      </c>
      <c r="AE178">
        <v>-3.5424734687547581E-2</v>
      </c>
      <c r="AF178">
        <v>-1.3190132274980321E-3</v>
      </c>
      <c r="AG178">
        <v>0.24332892201331505</v>
      </c>
      <c r="AH178">
        <v>0.17421075080527287</v>
      </c>
      <c r="AI178">
        <v>-7.3338812906337397E-2</v>
      </c>
      <c r="AJ178">
        <v>9.2607878076675046E-2</v>
      </c>
      <c r="AK178">
        <v>-0.14961840764670056</v>
      </c>
      <c r="AL178">
        <v>3.6880886859997165E-2</v>
      </c>
      <c r="AM178">
        <v>0.15011401355434528</v>
      </c>
      <c r="AN178">
        <v>-3.9851120586683608E-2</v>
      </c>
      <c r="AO178">
        <v>0.17369799704047703</v>
      </c>
      <c r="AP178">
        <v>-0.24193425357523296</v>
      </c>
      <c r="AQ178">
        <v>-0.27256665893162058</v>
      </c>
      <c r="AR178">
        <v>-0.18488907182495617</v>
      </c>
      <c r="AS178">
        <v>9.8239350395391459E-2</v>
      </c>
      <c r="AT178">
        <v>-7.3003826295617831E-3</v>
      </c>
      <c r="AU178">
        <v>0.38948136210808382</v>
      </c>
    </row>
    <row r="179" spans="4:47" x14ac:dyDescent="0.2">
      <c r="D179">
        <v>-0.19368862274372073</v>
      </c>
      <c r="E179">
        <v>-0.18228334003692348</v>
      </c>
      <c r="F179">
        <v>0.10739400528355486</v>
      </c>
      <c r="G179">
        <v>0.16733647327550857</v>
      </c>
      <c r="H179">
        <v>0.11234128443600691</v>
      </c>
      <c r="I179">
        <v>-3.1486035695160709E-2</v>
      </c>
      <c r="J179">
        <v>-1.7736193088609773E-2</v>
      </c>
      <c r="K179">
        <v>8.4145260783339434E-2</v>
      </c>
      <c r="L179">
        <v>7.4864549076243875E-2</v>
      </c>
      <c r="M179">
        <v>-3.2654955618097579E-2</v>
      </c>
      <c r="N179">
        <v>-0.10351722909663898</v>
      </c>
      <c r="O179">
        <v>0.14355206521116293</v>
      </c>
      <c r="P179">
        <v>6.2811660854864865E-2</v>
      </c>
      <c r="Q179">
        <v>7.2840684218675081E-2</v>
      </c>
      <c r="R179">
        <v>-9.9151800498415932E-2</v>
      </c>
      <c r="S179">
        <v>0.11885369151218553</v>
      </c>
      <c r="T179">
        <v>-9.4034756856875831E-2</v>
      </c>
      <c r="U179">
        <v>-0.11387450479100714</v>
      </c>
      <c r="V179">
        <v>-0.11080456617142777</v>
      </c>
      <c r="W179">
        <v>-5.865181749491942E-2</v>
      </c>
      <c r="X179">
        <v>-2.7484820936124345E-2</v>
      </c>
      <c r="Y179">
        <v>-0.33911978628824324</v>
      </c>
      <c r="Z179">
        <v>-0.19589444387911017</v>
      </c>
      <c r="AA179">
        <v>0.14274326743576021</v>
      </c>
      <c r="AB179">
        <v>5.7294629869686163E-2</v>
      </c>
      <c r="AC179">
        <v>4.3534763067193706E-2</v>
      </c>
      <c r="AD179">
        <v>-0.23924432035692386</v>
      </c>
      <c r="AE179">
        <v>0.14869708142767657</v>
      </c>
      <c r="AF179">
        <v>-0.13917384106616662</v>
      </c>
      <c r="AG179">
        <v>-0.16343454662239087</v>
      </c>
      <c r="AH179">
        <v>0.13020939174022175</v>
      </c>
      <c r="AI179">
        <v>6.0940349285009368E-2</v>
      </c>
      <c r="AJ179">
        <v>-7.050339733659787E-2</v>
      </c>
      <c r="AK179">
        <v>-0.17501544150634171</v>
      </c>
      <c r="AL179">
        <v>0.18685283709499848</v>
      </c>
      <c r="AM179">
        <v>-0.17553375461193596</v>
      </c>
      <c r="AN179">
        <v>0.16946489242289955</v>
      </c>
      <c r="AO179">
        <v>8.0582292840319605E-2</v>
      </c>
      <c r="AP179">
        <v>5.0608971749527144E-2</v>
      </c>
      <c r="AQ179">
        <v>-4.3973269023350595E-2</v>
      </c>
      <c r="AR179">
        <v>-0.18403752987893685</v>
      </c>
      <c r="AS179">
        <v>0.25519615656050576</v>
      </c>
      <c r="AT179">
        <v>0.21351710646421501</v>
      </c>
      <c r="AU179">
        <v>-0.38546618229321028</v>
      </c>
    </row>
    <row r="180" spans="4:47" x14ac:dyDescent="0.2">
      <c r="D180">
        <v>-0.19019276549039008</v>
      </c>
      <c r="E180">
        <v>-8.5298945026813427E-2</v>
      </c>
      <c r="F180">
        <v>-0.15452995779046788</v>
      </c>
      <c r="G180">
        <v>5.6924076816069671E-3</v>
      </c>
      <c r="H180">
        <v>3.6341209531322069E-2</v>
      </c>
      <c r="I180">
        <v>-9.7706994823246213E-2</v>
      </c>
      <c r="J180">
        <v>0.23994912070570473</v>
      </c>
      <c r="K180">
        <v>0.12506462676994951</v>
      </c>
      <c r="L180">
        <v>1.356422057750058E-2</v>
      </c>
      <c r="M180">
        <v>-6.0319154138877416E-2</v>
      </c>
      <c r="N180">
        <v>-0.21327037233989349</v>
      </c>
      <c r="O180">
        <v>1.4316695519002182E-2</v>
      </c>
      <c r="P180">
        <v>0.20498793843261615</v>
      </c>
      <c r="Q180">
        <v>0.27544354015596118</v>
      </c>
      <c r="R180">
        <v>-0.1124083943894882</v>
      </c>
      <c r="S180">
        <v>4.1852373223313297E-2</v>
      </c>
      <c r="T180">
        <v>5.389811830656864E-3</v>
      </c>
      <c r="U180">
        <v>2.4614754202313509E-2</v>
      </c>
      <c r="V180">
        <v>-5.7381139983150448E-2</v>
      </c>
      <c r="W180">
        <v>-0.19412367220211252</v>
      </c>
      <c r="X180">
        <v>0.22114112506159872</v>
      </c>
      <c r="Y180">
        <v>-1.8643128762234524E-2</v>
      </c>
      <c r="Z180">
        <v>-2.4924645517159744E-2</v>
      </c>
      <c r="AA180">
        <v>0.11859704703068569</v>
      </c>
      <c r="AB180">
        <v>4.2907505526606153E-2</v>
      </c>
      <c r="AC180">
        <v>0.19279197433538187</v>
      </c>
      <c r="AD180">
        <v>0.19499747548297056</v>
      </c>
      <c r="AE180">
        <v>-9.0350406961920912E-2</v>
      </c>
      <c r="AF180">
        <v>-0.22312473490578277</v>
      </c>
      <c r="AG180">
        <v>-8.4193221557402932E-4</v>
      </c>
      <c r="AH180">
        <v>-0.16808237007840737</v>
      </c>
      <c r="AI180">
        <v>-8.8476084003194372E-2</v>
      </c>
      <c r="AJ180">
        <v>-0.10457216560999197</v>
      </c>
      <c r="AK180">
        <v>5.0437492830517697E-2</v>
      </c>
      <c r="AL180">
        <v>0.1043401837066868</v>
      </c>
      <c r="AM180">
        <v>3.4889804616338692E-2</v>
      </c>
      <c r="AN180">
        <v>-1.5703384710538202E-2</v>
      </c>
      <c r="AO180">
        <v>0.11933603798882357</v>
      </c>
      <c r="AP180">
        <v>-8.4988893068065854E-2</v>
      </c>
      <c r="AQ180">
        <v>0.47440221238823577</v>
      </c>
      <c r="AR180">
        <v>0.11603638943862943</v>
      </c>
      <c r="AS180">
        <v>-0.31669764701589209</v>
      </c>
      <c r="AT180">
        <v>-6.258519253387175E-2</v>
      </c>
      <c r="AU180">
        <v>-1.118999299894286E-2</v>
      </c>
    </row>
    <row r="181" spans="4:47" x14ac:dyDescent="0.2">
      <c r="D181">
        <v>-0.19792250630714631</v>
      </c>
      <c r="E181">
        <v>-0.17672225501162647</v>
      </c>
      <c r="F181">
        <v>4.5540245244847233E-2</v>
      </c>
      <c r="G181">
        <v>-2.9414037329527475E-2</v>
      </c>
      <c r="H181">
        <v>0.1464408399436796</v>
      </c>
      <c r="I181">
        <v>0.16458599672850543</v>
      </c>
      <c r="J181">
        <v>0.14834880613716711</v>
      </c>
      <c r="K181">
        <v>3.3774883158077744E-2</v>
      </c>
      <c r="L181">
        <v>4.9164578159659841E-2</v>
      </c>
      <c r="M181">
        <v>0.15605977460054096</v>
      </c>
      <c r="N181">
        <v>0.12113685645427733</v>
      </c>
      <c r="O181">
        <v>3.1201209004323011E-2</v>
      </c>
      <c r="P181">
        <v>0.10751992444402804</v>
      </c>
      <c r="Q181">
        <v>-8.4476429653579321E-2</v>
      </c>
      <c r="R181">
        <v>0.1074678377480825</v>
      </c>
      <c r="S181">
        <v>-1.1246993746034821E-2</v>
      </c>
      <c r="T181">
        <v>3.6051147623400136E-3</v>
      </c>
      <c r="U181">
        <v>-0.19266584473384094</v>
      </c>
      <c r="V181">
        <v>0.19766858299441548</v>
      </c>
      <c r="W181">
        <v>-8.5885402694507673E-2</v>
      </c>
      <c r="X181">
        <v>-2.8634104747902858E-2</v>
      </c>
      <c r="Y181">
        <v>-2.2577389853546494E-2</v>
      </c>
      <c r="Z181">
        <v>0.14849134099043784</v>
      </c>
      <c r="AA181">
        <v>-0.10071768884319537</v>
      </c>
      <c r="AB181">
        <v>6.0183955083651895E-2</v>
      </c>
      <c r="AC181">
        <v>-5.5119137618394064E-2</v>
      </c>
      <c r="AD181">
        <v>0.15801081996682051</v>
      </c>
      <c r="AE181">
        <v>2.4504570136685978E-2</v>
      </c>
      <c r="AF181">
        <v>-6.738575107440388E-2</v>
      </c>
      <c r="AG181">
        <v>3.1053418571344221E-2</v>
      </c>
      <c r="AH181">
        <v>-0.10063447383237202</v>
      </c>
      <c r="AI181">
        <v>0.20283321317634681</v>
      </c>
      <c r="AJ181">
        <v>0.38182285101464231</v>
      </c>
      <c r="AK181">
        <v>7.2198692592165714E-2</v>
      </c>
      <c r="AL181">
        <v>0.46237986910952172</v>
      </c>
      <c r="AM181">
        <v>-0.10602183613932231</v>
      </c>
      <c r="AN181">
        <v>-3.4066183219700057E-2</v>
      </c>
      <c r="AO181">
        <v>3.0180185110252545E-2</v>
      </c>
      <c r="AP181">
        <v>0.31375513234010577</v>
      </c>
      <c r="AQ181">
        <v>-0.19181796043694729</v>
      </c>
      <c r="AR181">
        <v>7.6917333312679623E-2</v>
      </c>
      <c r="AS181">
        <v>-0.13856442471490524</v>
      </c>
      <c r="AT181">
        <v>-0.19376936546834364</v>
      </c>
      <c r="AU181">
        <v>-8.2322736514952709E-3</v>
      </c>
    </row>
    <row r="182" spans="4:47" x14ac:dyDescent="0.2">
      <c r="D182">
        <v>-0.19690180295460044</v>
      </c>
      <c r="E182">
        <v>-0.13544736758109716</v>
      </c>
      <c r="F182">
        <v>5.0860418011648832E-2</v>
      </c>
      <c r="G182">
        <v>0.22619202419484694</v>
      </c>
      <c r="H182">
        <v>8.9734041651254537E-2</v>
      </c>
      <c r="I182">
        <v>-1.808473604421473E-2</v>
      </c>
      <c r="J182">
        <v>3.9801831810837809E-2</v>
      </c>
      <c r="K182">
        <v>-2.6742659017457704E-2</v>
      </c>
      <c r="L182">
        <v>0.11157122745293663</v>
      </c>
      <c r="M182">
        <v>0.22273656799157504</v>
      </c>
      <c r="N182">
        <v>3.6784305244517895E-2</v>
      </c>
      <c r="O182">
        <v>-9.5812898118832757E-4</v>
      </c>
      <c r="P182">
        <v>0.102491796000279</v>
      </c>
      <c r="Q182">
        <v>0.14293057646745033</v>
      </c>
      <c r="R182">
        <v>-5.8813495461854819E-2</v>
      </c>
      <c r="S182">
        <v>-8.4180392912164038E-3</v>
      </c>
      <c r="T182">
        <v>9.6049925220260249E-2</v>
      </c>
      <c r="U182">
        <v>0.12653331709044202</v>
      </c>
      <c r="V182">
        <v>-1.8410603268832211E-2</v>
      </c>
      <c r="W182">
        <v>-0.22488665224581869</v>
      </c>
      <c r="X182">
        <v>7.2605215028473391E-2</v>
      </c>
      <c r="Y182">
        <v>-5.171581798149686E-2</v>
      </c>
      <c r="Z182">
        <v>0.12814572655092293</v>
      </c>
      <c r="AA182">
        <v>-0.23492220011677387</v>
      </c>
      <c r="AB182">
        <v>-1.5164888387284419E-2</v>
      </c>
      <c r="AC182">
        <v>-0.23939361392302555</v>
      </c>
      <c r="AD182">
        <v>-5.6477467689446274E-2</v>
      </c>
      <c r="AE182">
        <v>-0.23936971071175764</v>
      </c>
      <c r="AF182">
        <v>1.3175631673668418E-2</v>
      </c>
      <c r="AG182">
        <v>-2.3438229665669965E-2</v>
      </c>
      <c r="AH182">
        <v>-0.13558168964531939</v>
      </c>
      <c r="AI182">
        <v>-0.10401565138855808</v>
      </c>
      <c r="AJ182">
        <v>-0.18737640043366779</v>
      </c>
      <c r="AK182">
        <v>0.19840879417165663</v>
      </c>
      <c r="AL182">
        <v>-0.16142323652125623</v>
      </c>
      <c r="AM182">
        <v>9.0083203236345555E-2</v>
      </c>
      <c r="AN182">
        <v>-0.14542083885405638</v>
      </c>
      <c r="AO182">
        <v>-0.21953074961364571</v>
      </c>
      <c r="AP182">
        <v>0.12181974243735184</v>
      </c>
      <c r="AQ182">
        <v>-1.9845503211605529E-2</v>
      </c>
      <c r="AR182">
        <v>0.30172504491164454</v>
      </c>
      <c r="AS182">
        <v>0.432910272942441</v>
      </c>
      <c r="AT182">
        <v>-2.2143350023080266E-2</v>
      </c>
      <c r="AU182">
        <v>-6.8983724342138508E-2</v>
      </c>
    </row>
    <row r="183" spans="4:47" x14ac:dyDescent="0.2">
      <c r="D183">
        <v>-0.19328390536422044</v>
      </c>
      <c r="E183">
        <v>-0.11662611061237223</v>
      </c>
      <c r="F183">
        <v>2.7192859916195397E-2</v>
      </c>
      <c r="G183">
        <v>0.10721216716679818</v>
      </c>
      <c r="H183">
        <v>0.15354315023892243</v>
      </c>
      <c r="I183">
        <v>0.18276424354381601</v>
      </c>
      <c r="J183">
        <v>5.9000104149945602E-3</v>
      </c>
      <c r="K183">
        <v>-1.5226047154170653E-3</v>
      </c>
      <c r="L183">
        <v>5.9139426697367631E-2</v>
      </c>
      <c r="M183">
        <v>0.16556001076084909</v>
      </c>
      <c r="N183">
        <v>0.21523674465834611</v>
      </c>
      <c r="O183">
        <v>-7.8089675056919411E-2</v>
      </c>
      <c r="P183">
        <v>-0.14847416112023906</v>
      </c>
      <c r="Q183">
        <v>-4.8830969750992957E-2</v>
      </c>
      <c r="R183">
        <v>0.10356675963847539</v>
      </c>
      <c r="S183">
        <v>3.6814604731179798E-2</v>
      </c>
      <c r="T183">
        <v>-0.11753544951731378</v>
      </c>
      <c r="U183">
        <v>0.1841730502567846</v>
      </c>
      <c r="V183">
        <v>0.40049814052498661</v>
      </c>
      <c r="W183">
        <v>2.8502162680187522E-2</v>
      </c>
      <c r="X183">
        <v>0.12664654105608486</v>
      </c>
      <c r="Y183">
        <v>3.1078334376719335E-2</v>
      </c>
      <c r="Z183">
        <v>5.9385399226438734E-2</v>
      </c>
      <c r="AA183">
        <v>-7.7802716862922602E-2</v>
      </c>
      <c r="AB183">
        <v>-6.3632748371697939E-2</v>
      </c>
      <c r="AC183">
        <v>-6.6401327948847066E-2</v>
      </c>
      <c r="AD183">
        <v>-0.17430944087762498</v>
      </c>
      <c r="AE183">
        <v>6.047801552488985E-2</v>
      </c>
      <c r="AF183">
        <v>-0.17095136568062685</v>
      </c>
      <c r="AG183">
        <v>-6.4555997334784954E-2</v>
      </c>
      <c r="AH183">
        <v>-0.10760498684331357</v>
      </c>
      <c r="AI183">
        <v>-1.3162614463015521E-2</v>
      </c>
      <c r="AJ183">
        <v>-6.2516921762373348E-2</v>
      </c>
      <c r="AK183">
        <v>0.18040714438186503</v>
      </c>
      <c r="AL183">
        <v>-0.14819932802578561</v>
      </c>
      <c r="AM183">
        <v>-2.8348515233693063E-2</v>
      </c>
      <c r="AN183">
        <v>0.22475373895539985</v>
      </c>
      <c r="AO183">
        <v>-0.11598609024105216</v>
      </c>
      <c r="AP183">
        <v>-0.39028107076709689</v>
      </c>
      <c r="AQ183">
        <v>5.1786686924820732E-2</v>
      </c>
      <c r="AR183">
        <v>-0.2954512551819628</v>
      </c>
      <c r="AS183">
        <v>-0.24100651225939976</v>
      </c>
      <c r="AT183">
        <v>-1.0927637129308488E-2</v>
      </c>
      <c r="AU183">
        <v>-0.11440476280284265</v>
      </c>
    </row>
    <row r="184" spans="4:47" x14ac:dyDescent="0.2">
      <c r="D184">
        <v>-9.3354917562078935E-2</v>
      </c>
      <c r="E184">
        <v>0.19535298283531694</v>
      </c>
      <c r="F184">
        <v>-0.31793234022901484</v>
      </c>
      <c r="G184">
        <v>-0.16560910023746281</v>
      </c>
      <c r="H184">
        <v>-8.9103977669544643E-2</v>
      </c>
      <c r="I184">
        <v>0.18876604428995003</v>
      </c>
      <c r="J184">
        <v>5.904501736270934E-2</v>
      </c>
      <c r="K184">
        <v>0.11935227164273891</v>
      </c>
      <c r="L184">
        <v>7.7752167946376918E-2</v>
      </c>
      <c r="M184">
        <v>8.6049891445132823E-2</v>
      </c>
      <c r="N184">
        <v>0.19157935861348394</v>
      </c>
      <c r="O184">
        <v>0.18720218924814633</v>
      </c>
      <c r="P184">
        <v>-0.22055703980539526</v>
      </c>
      <c r="Q184">
        <v>6.3410919546192879E-2</v>
      </c>
      <c r="R184">
        <v>-2.3656804226274723E-3</v>
      </c>
      <c r="S184">
        <v>0.16076654933698739</v>
      </c>
      <c r="T184">
        <v>3.3023601168902732E-2</v>
      </c>
      <c r="U184">
        <v>-3.0579295957007757E-2</v>
      </c>
      <c r="V184">
        <v>0.11332578413799642</v>
      </c>
      <c r="W184">
        <v>-0.16811184705915805</v>
      </c>
      <c r="X184">
        <v>-9.9006966406337729E-2</v>
      </c>
      <c r="Y184">
        <v>-0.10498359627988323</v>
      </c>
      <c r="Z184">
        <v>-7.3123661426379757E-2</v>
      </c>
      <c r="AA184">
        <v>8.6777805654036061E-2</v>
      </c>
      <c r="AB184">
        <v>-0.21603375506026376</v>
      </c>
      <c r="AC184">
        <v>0.10748359225783005</v>
      </c>
      <c r="AD184">
        <v>-1.7324405281117786E-2</v>
      </c>
      <c r="AE184">
        <v>-4.2231365161881973E-2</v>
      </c>
      <c r="AF184">
        <v>0.18297528748391539</v>
      </c>
      <c r="AG184">
        <v>-0.10362150827894857</v>
      </c>
      <c r="AH184">
        <v>0.22895675185548664</v>
      </c>
      <c r="AI184">
        <v>-7.0230869504805199E-2</v>
      </c>
      <c r="AJ184">
        <v>0.1356495596796311</v>
      </c>
      <c r="AK184">
        <v>0.14591823244784374</v>
      </c>
      <c r="AL184">
        <v>7.8390151294547683E-2</v>
      </c>
      <c r="AM184">
        <v>3.0725054389013171E-2</v>
      </c>
      <c r="AN184">
        <v>-0.47207892222974746</v>
      </c>
      <c r="AO184">
        <v>-2.7309204314154362E-2</v>
      </c>
      <c r="AP184">
        <v>-0.12470444624021723</v>
      </c>
      <c r="AQ184">
        <v>9.3671710743292072E-2</v>
      </c>
      <c r="AR184">
        <v>2.1645783561474459E-2</v>
      </c>
      <c r="AS184">
        <v>2.5864828573376238E-2</v>
      </c>
      <c r="AT184">
        <v>0.13716958115815445</v>
      </c>
      <c r="AU184">
        <v>-0.21499313519284763</v>
      </c>
    </row>
    <row r="185" spans="4:47" x14ac:dyDescent="0.2">
      <c r="D185">
        <v>-0.12289899250660605</v>
      </c>
      <c r="E185">
        <v>0.2297306341733181</v>
      </c>
      <c r="F185">
        <v>-0.15365731237760927</v>
      </c>
      <c r="G185">
        <v>-0.20795884364789707</v>
      </c>
      <c r="H185">
        <v>-3.1837277688270042E-2</v>
      </c>
      <c r="I185">
        <v>0.27503906967804614</v>
      </c>
      <c r="J185">
        <v>0.27498622965734643</v>
      </c>
      <c r="K185">
        <v>6.9377347485927623E-2</v>
      </c>
      <c r="L185">
        <v>-1.2719200421324975E-3</v>
      </c>
      <c r="M185">
        <v>-8.7335984389238147E-2</v>
      </c>
      <c r="N185">
        <v>2.1093773540447912E-2</v>
      </c>
      <c r="O185">
        <v>-7.0475692432147463E-2</v>
      </c>
      <c r="P185">
        <v>5.7793245357270574E-2</v>
      </c>
      <c r="Q185">
        <v>8.1586276799139629E-2</v>
      </c>
      <c r="R185">
        <v>-4.5907153936259465E-3</v>
      </c>
      <c r="S185">
        <v>1.2147072641853988E-2</v>
      </c>
      <c r="T185">
        <v>-5.8065407786609881E-2</v>
      </c>
      <c r="U185">
        <v>2.1013524716772751E-2</v>
      </c>
      <c r="V185">
        <v>-0.13758473883093636</v>
      </c>
      <c r="W185">
        <v>6.2328068271259661E-2</v>
      </c>
      <c r="X185">
        <v>-0.12018586157599229</v>
      </c>
      <c r="Y185">
        <v>-0.20380745443963669</v>
      </c>
      <c r="Z185">
        <v>-0.17636969535407918</v>
      </c>
      <c r="AA185">
        <v>0.11916511300838503</v>
      </c>
      <c r="AB185">
        <v>-0.22911493117498924</v>
      </c>
      <c r="AC185">
        <v>-0.25232362921072971</v>
      </c>
      <c r="AD185">
        <v>-0.21793459716309196</v>
      </c>
      <c r="AE185">
        <v>0.1090119919506093</v>
      </c>
      <c r="AF185">
        <v>-2.8379013112576321E-2</v>
      </c>
      <c r="AG185">
        <v>-0.12325894165987061</v>
      </c>
      <c r="AH185">
        <v>-0.15454859789114062</v>
      </c>
      <c r="AI185">
        <v>-4.254137652143547E-2</v>
      </c>
      <c r="AJ185">
        <v>-0.13078108388502777</v>
      </c>
      <c r="AK185">
        <v>0.13268688607950929</v>
      </c>
      <c r="AL185">
        <v>6.788825702958598E-2</v>
      </c>
      <c r="AM185">
        <v>0.10393577024157546</v>
      </c>
      <c r="AN185">
        <v>0.32189300855311948</v>
      </c>
      <c r="AO185">
        <v>-0.15601300755131589</v>
      </c>
      <c r="AP185">
        <v>0.17761674447607978</v>
      </c>
      <c r="AQ185">
        <v>-0.10116182275864251</v>
      </c>
      <c r="AR185">
        <v>0.13510881978224476</v>
      </c>
      <c r="AS185">
        <v>-7.3729962588139589E-2</v>
      </c>
      <c r="AT185">
        <v>8.2422278715551814E-2</v>
      </c>
      <c r="AU185">
        <v>0.29912315675697898</v>
      </c>
    </row>
    <row r="186" spans="4:47" x14ac:dyDescent="0.2">
      <c r="D186">
        <v>-0.15944373472113729</v>
      </c>
      <c r="E186">
        <v>0.16840714165136686</v>
      </c>
      <c r="F186">
        <v>0.11120553944235237</v>
      </c>
      <c r="G186">
        <v>-5.5539024774769401E-2</v>
      </c>
      <c r="H186">
        <v>-9.896147613229403E-2</v>
      </c>
      <c r="I186">
        <v>2.4464598370619538E-3</v>
      </c>
      <c r="J186">
        <v>0.28811710914895594</v>
      </c>
      <c r="K186">
        <v>3.9978605275536858E-2</v>
      </c>
      <c r="L186">
        <v>0.14761008324165378</v>
      </c>
      <c r="M186">
        <v>0.19010508626661879</v>
      </c>
      <c r="N186">
        <v>0.18246764676794278</v>
      </c>
      <c r="O186">
        <v>0.16182929815850366</v>
      </c>
      <c r="P186">
        <v>3.8074690091972403E-2</v>
      </c>
      <c r="Q186">
        <v>-7.1832181883296625E-2</v>
      </c>
      <c r="R186">
        <v>-1.5855327955494578E-2</v>
      </c>
      <c r="S186">
        <v>5.5345078363179853E-2</v>
      </c>
      <c r="T186">
        <v>-0.22600833340117849</v>
      </c>
      <c r="U186">
        <v>0.11886995174372558</v>
      </c>
      <c r="V186">
        <v>-0.28285228424093639</v>
      </c>
      <c r="W186">
        <v>3.4829581582966784E-2</v>
      </c>
      <c r="X186">
        <v>-0.19867168669209256</v>
      </c>
      <c r="Y186">
        <v>-7.4056181998158485E-2</v>
      </c>
      <c r="Z186">
        <v>-0.2119122197047407</v>
      </c>
      <c r="AA186">
        <v>-0.2163787434108386</v>
      </c>
      <c r="AB186">
        <v>0.25010389634723951</v>
      </c>
      <c r="AC186">
        <v>0.1990094667625758</v>
      </c>
      <c r="AD186">
        <v>7.5375602111103085E-2</v>
      </c>
      <c r="AE186">
        <v>-0.1485247052259509</v>
      </c>
      <c r="AF186">
        <v>3.236190228112687E-2</v>
      </c>
      <c r="AG186">
        <v>0.25728625685448636</v>
      </c>
      <c r="AH186">
        <v>-0.20054395546958254</v>
      </c>
      <c r="AI186">
        <v>-0.13752569821426167</v>
      </c>
      <c r="AJ186">
        <v>0.1466097144333483</v>
      </c>
      <c r="AK186">
        <v>2.5851015599353117E-2</v>
      </c>
      <c r="AL186">
        <v>-0.19865341452289678</v>
      </c>
      <c r="AM186">
        <v>-0.21064004000834324</v>
      </c>
      <c r="AN186">
        <v>3.2983536727739231E-2</v>
      </c>
      <c r="AO186">
        <v>0.14378029604607448</v>
      </c>
      <c r="AP186">
        <v>-7.4994901238317452E-2</v>
      </c>
      <c r="AQ186">
        <v>-5.2751262759785811E-2</v>
      </c>
      <c r="AR186">
        <v>-0.161961213665649</v>
      </c>
      <c r="AS186">
        <v>5.4433768737328518E-2</v>
      </c>
      <c r="AT186">
        <v>-3.3076102254451303E-2</v>
      </c>
      <c r="AU186">
        <v>5.6454751992325074E-2</v>
      </c>
    </row>
    <row r="187" spans="4:47" x14ac:dyDescent="0.2">
      <c r="D187">
        <v>-9.4059978995639171E-2</v>
      </c>
      <c r="E187">
        <v>0.21433093345811915</v>
      </c>
      <c r="F187">
        <v>-9.0131710762896736E-2</v>
      </c>
      <c r="G187">
        <v>-0.23405865501506529</v>
      </c>
      <c r="H187">
        <v>4.9306608431121869E-2</v>
      </c>
      <c r="I187">
        <v>0.13918661622676298</v>
      </c>
      <c r="J187">
        <v>0.36213731931581006</v>
      </c>
      <c r="K187">
        <v>-5.7828371853651819E-2</v>
      </c>
      <c r="L187">
        <v>-0.23849860660765854</v>
      </c>
      <c r="M187">
        <v>-3.5744212555874122E-2</v>
      </c>
      <c r="N187">
        <v>-2.5889426340380908E-2</v>
      </c>
      <c r="O187">
        <v>-0.14597583697984182</v>
      </c>
      <c r="P187">
        <v>3.9462794136642214E-2</v>
      </c>
      <c r="Q187">
        <v>6.3043058095807833E-2</v>
      </c>
      <c r="R187">
        <v>-0.2571828781961028</v>
      </c>
      <c r="S187">
        <v>-2.3213904293600752E-2</v>
      </c>
      <c r="T187">
        <v>0.12110142034722496</v>
      </c>
      <c r="U187">
        <v>9.2311371204202616E-2</v>
      </c>
      <c r="V187">
        <v>2.7932468121454279E-2</v>
      </c>
      <c r="W187">
        <v>4.6247368264888213E-2</v>
      </c>
      <c r="X187">
        <v>0.16851004196798541</v>
      </c>
      <c r="Y187">
        <v>0.19377056954342836</v>
      </c>
      <c r="Z187">
        <v>0.31716160213959765</v>
      </c>
      <c r="AA187">
        <v>-0.13673278804987618</v>
      </c>
      <c r="AB187">
        <v>0.15475319977274984</v>
      </c>
      <c r="AC187">
        <v>8.5617218197510711E-2</v>
      </c>
      <c r="AD187">
        <v>-0.2319417385212163</v>
      </c>
      <c r="AE187">
        <v>0.1307087025591363</v>
      </c>
      <c r="AF187">
        <v>-2.2819006101774682E-2</v>
      </c>
      <c r="AG187">
        <v>7.617957970564336E-2</v>
      </c>
      <c r="AH187">
        <v>9.8306519950802029E-2</v>
      </c>
      <c r="AI187">
        <v>0.23015301492976267</v>
      </c>
      <c r="AJ187">
        <v>-0.20331561652388525</v>
      </c>
      <c r="AK187">
        <v>-8.0200610327005359E-2</v>
      </c>
      <c r="AL187">
        <v>-4.4784994026193181E-2</v>
      </c>
      <c r="AM187">
        <v>-0.15630632825578047</v>
      </c>
      <c r="AN187">
        <v>-0.12156231466100255</v>
      </c>
      <c r="AO187">
        <v>7.9121786166144056E-2</v>
      </c>
      <c r="AP187">
        <v>0.12379992216779037</v>
      </c>
      <c r="AQ187">
        <v>-3.5418256708329786E-2</v>
      </c>
      <c r="AR187">
        <v>-0.18435026791767897</v>
      </c>
      <c r="AS187">
        <v>0.14582476905503805</v>
      </c>
      <c r="AT187">
        <v>-4.5844313541459375E-2</v>
      </c>
      <c r="AU187">
        <v>-0.14843187209437783</v>
      </c>
    </row>
    <row r="188" spans="4:47" x14ac:dyDescent="0.2">
      <c r="D188">
        <v>-0.10992843773591188</v>
      </c>
      <c r="E188">
        <v>1.6709925166311441E-2</v>
      </c>
      <c r="F188">
        <v>-0.14999535082439788</v>
      </c>
      <c r="G188">
        <v>0.13336913941748341</v>
      </c>
      <c r="H188">
        <v>-0.11333625742477355</v>
      </c>
      <c r="I188">
        <v>-0.31703609983123382</v>
      </c>
      <c r="J188">
        <v>0.11101868959715687</v>
      </c>
      <c r="K188">
        <v>0.18259730796430365</v>
      </c>
      <c r="L188">
        <v>-0.24152708630248385</v>
      </c>
      <c r="M188">
        <v>0.25295979716250822</v>
      </c>
      <c r="N188">
        <v>0.14474480767673181</v>
      </c>
      <c r="O188">
        <v>0.11335487937919297</v>
      </c>
      <c r="P188">
        <v>-6.0846068934930962E-2</v>
      </c>
      <c r="Q188">
        <v>-0.3215442335437052</v>
      </c>
      <c r="R188">
        <v>-0.32031173603894081</v>
      </c>
      <c r="S188">
        <v>6.8517318118400658E-2</v>
      </c>
      <c r="T188">
        <v>-3.5320600978786816E-2</v>
      </c>
      <c r="U188">
        <v>-0.12499032302432259</v>
      </c>
      <c r="V188">
        <v>-5.6988011337272527E-2</v>
      </c>
      <c r="W188">
        <v>7.6105100925553421E-2</v>
      </c>
      <c r="X188">
        <v>-4.855607004808922E-2</v>
      </c>
      <c r="Y188">
        <v>0.28202021407517919</v>
      </c>
      <c r="Z188">
        <v>-1.4118431813746942E-2</v>
      </c>
      <c r="AA188">
        <v>-0.1093068444735853</v>
      </c>
      <c r="AB188">
        <v>-0.16445895435412741</v>
      </c>
      <c r="AC188">
        <v>-0.12879578739548297</v>
      </c>
      <c r="AD188">
        <v>0.22247457673070889</v>
      </c>
      <c r="AE188">
        <v>0.19861663115813269</v>
      </c>
      <c r="AF188">
        <v>-0.15069512884560152</v>
      </c>
      <c r="AG188">
        <v>-0.18839382997374213</v>
      </c>
      <c r="AH188">
        <v>0.10322583203276292</v>
      </c>
      <c r="AI188">
        <v>2.075001170000558E-2</v>
      </c>
      <c r="AJ188">
        <v>-2.6858945608037123E-2</v>
      </c>
      <c r="AK188">
        <v>7.3890368837550513E-2</v>
      </c>
      <c r="AL188">
        <v>6.7265971729426222E-2</v>
      </c>
      <c r="AM188">
        <v>-5.390677149923153E-2</v>
      </c>
      <c r="AN188">
        <v>0.17072373691567788</v>
      </c>
      <c r="AO188">
        <v>2.7182449679485639E-2</v>
      </c>
      <c r="AP188">
        <v>-8.5474010752613711E-2</v>
      </c>
      <c r="AQ188">
        <v>7.1089490773120156E-2</v>
      </c>
      <c r="AR188">
        <v>0.11034932967564719</v>
      </c>
      <c r="AS188">
        <v>0.10388677240472713</v>
      </c>
      <c r="AT188">
        <v>0.11047130232397019</v>
      </c>
      <c r="AU188">
        <v>7.0489514853698615E-2</v>
      </c>
    </row>
    <row r="189" spans="4:47" x14ac:dyDescent="0.2">
      <c r="D189">
        <v>-0.15896094035320776</v>
      </c>
      <c r="E189">
        <v>6.1114902458620071E-2</v>
      </c>
      <c r="F189">
        <v>0.17513256125772536</v>
      </c>
      <c r="G189">
        <v>0.11386110364662688</v>
      </c>
      <c r="H189">
        <v>-0.16068085686471414</v>
      </c>
      <c r="I189">
        <v>0.26488791655236293</v>
      </c>
      <c r="J189">
        <v>-0.19228816503477272</v>
      </c>
      <c r="K189">
        <v>0.15878874398164897</v>
      </c>
      <c r="L189">
        <v>0.19863942220880695</v>
      </c>
      <c r="M189">
        <v>-5.9326692400993655E-2</v>
      </c>
      <c r="N189">
        <v>5.6134024782697439E-2</v>
      </c>
      <c r="O189">
        <v>0.16545188068230859</v>
      </c>
      <c r="P189">
        <v>-3.4868493614356004E-2</v>
      </c>
      <c r="Q189">
        <v>-9.7769358782093627E-2</v>
      </c>
      <c r="R189">
        <v>-0.13245795257941489</v>
      </c>
      <c r="S189">
        <v>-8.3508909366748624E-3</v>
      </c>
      <c r="T189">
        <v>0.27172311470494998</v>
      </c>
      <c r="U189">
        <v>-7.1854371005247691E-2</v>
      </c>
      <c r="V189">
        <v>-0.15077205970879723</v>
      </c>
      <c r="W189">
        <v>5.8255952619674464E-2</v>
      </c>
      <c r="X189">
        <v>9.3633484765569569E-2</v>
      </c>
      <c r="Y189">
        <v>0.14847184403786332</v>
      </c>
      <c r="Z189">
        <v>-8.0688635298661035E-2</v>
      </c>
      <c r="AA189">
        <v>-8.352906997557899E-2</v>
      </c>
      <c r="AB189">
        <v>0.2725797176620402</v>
      </c>
      <c r="AC189">
        <v>-2.4669784917900256E-2</v>
      </c>
      <c r="AD189">
        <v>3.7445426818355221E-2</v>
      </c>
      <c r="AE189">
        <v>2.1705784486306057E-2</v>
      </c>
      <c r="AF189">
        <v>9.2905933501126012E-2</v>
      </c>
      <c r="AG189">
        <v>8.1381027470173103E-3</v>
      </c>
      <c r="AH189">
        <v>0.24214654189292159</v>
      </c>
      <c r="AI189">
        <v>-0.19059586182091326</v>
      </c>
      <c r="AJ189">
        <v>-0.36963397018797889</v>
      </c>
      <c r="AK189">
        <v>0.1096221364006877</v>
      </c>
      <c r="AL189">
        <v>0.19253484858693301</v>
      </c>
      <c r="AM189">
        <v>-9.8961313262765485E-2</v>
      </c>
      <c r="AN189">
        <v>-3.6216225758770632E-3</v>
      </c>
      <c r="AO189">
        <v>-0.20148602595803355</v>
      </c>
      <c r="AP189">
        <v>8.0234982932206003E-2</v>
      </c>
      <c r="AQ189">
        <v>-2.4737901740825151E-2</v>
      </c>
      <c r="AR189">
        <v>-4.7395181219127745E-2</v>
      </c>
      <c r="AS189">
        <v>-0.27422708153537451</v>
      </c>
      <c r="AT189">
        <v>-0.12853843272951126</v>
      </c>
      <c r="AU189">
        <v>1.7203015851085562E-2</v>
      </c>
    </row>
    <row r="190" spans="4:47" x14ac:dyDescent="0.2">
      <c r="D190">
        <v>-0.14713983660578256</v>
      </c>
      <c r="E190">
        <v>0.16566202380940387</v>
      </c>
      <c r="F190">
        <v>0.26684075287095638</v>
      </c>
      <c r="G190">
        <v>-4.5878220406901864E-2</v>
      </c>
      <c r="H190">
        <v>-0.1007083692147894</v>
      </c>
      <c r="I190">
        <v>0.11439850377643522</v>
      </c>
      <c r="J190">
        <v>-0.13652023291945212</v>
      </c>
      <c r="K190">
        <v>0.20120835279187349</v>
      </c>
      <c r="L190">
        <v>0.1540501545636897</v>
      </c>
      <c r="M190">
        <v>-0.10520460071192296</v>
      </c>
      <c r="N190">
        <v>-5.7708438644548617E-2</v>
      </c>
      <c r="O190">
        <v>0.11746932492820293</v>
      </c>
      <c r="P190">
        <v>0.11499690279351205</v>
      </c>
      <c r="Q190">
        <v>2.219476983480614E-2</v>
      </c>
      <c r="R190">
        <v>-2.8836302175731209E-2</v>
      </c>
      <c r="S190">
        <v>8.9722700197327532E-2</v>
      </c>
      <c r="T190">
        <v>0.1070806700572464</v>
      </c>
      <c r="U190">
        <v>-0.24429050073454137</v>
      </c>
      <c r="V190">
        <v>-7.9003817458720454E-2</v>
      </c>
      <c r="W190">
        <v>8.5226495622352641E-2</v>
      </c>
      <c r="X190">
        <v>0.15536393272942461</v>
      </c>
      <c r="Y190">
        <v>0.2016737996336517</v>
      </c>
      <c r="Z190">
        <v>4.836205630355888E-2</v>
      </c>
      <c r="AA190">
        <v>0.28145030854851921</v>
      </c>
      <c r="AB190">
        <v>-0.25857774786274895</v>
      </c>
      <c r="AC190">
        <v>2.8194531006269022E-2</v>
      </c>
      <c r="AD190">
        <v>4.5860688720663727E-2</v>
      </c>
      <c r="AE190">
        <v>1.9981807572523098E-4</v>
      </c>
      <c r="AF190">
        <v>-0.11610584408854878</v>
      </c>
      <c r="AG190">
        <v>-5.9230840707961696E-5</v>
      </c>
      <c r="AH190">
        <v>-0.14218363442890378</v>
      </c>
      <c r="AI190">
        <v>0.26216978861395057</v>
      </c>
      <c r="AJ190">
        <v>0.20842429001950741</v>
      </c>
      <c r="AK190">
        <v>0.26134971372520699</v>
      </c>
      <c r="AL190">
        <v>-0.37395491516158313</v>
      </c>
      <c r="AM190">
        <v>5.8770784788912721E-3</v>
      </c>
      <c r="AN190">
        <v>3.6699544624303436E-2</v>
      </c>
      <c r="AO190">
        <v>4.2005005456592623E-2</v>
      </c>
      <c r="AP190">
        <v>5.7210261836893074E-2</v>
      </c>
      <c r="AQ190">
        <v>1.5835717416011787E-2</v>
      </c>
      <c r="AR190">
        <v>-7.2939282724197571E-2</v>
      </c>
      <c r="AS190">
        <v>0.14330614328255295</v>
      </c>
      <c r="AT190">
        <v>-0.13756069793811074</v>
      </c>
      <c r="AU190">
        <v>-0.12032860097329133</v>
      </c>
    </row>
    <row r="191" spans="4:47" x14ac:dyDescent="0.2">
      <c r="D191">
        <v>-0.13905769778555788</v>
      </c>
      <c r="E191">
        <v>0.25641832270682913</v>
      </c>
      <c r="F191">
        <v>0.11906314985530918</v>
      </c>
      <c r="G191">
        <v>0.10503930308246549</v>
      </c>
      <c r="H191">
        <v>-0.13603013177218681</v>
      </c>
      <c r="I191">
        <v>0.22755612534787631</v>
      </c>
      <c r="J191">
        <v>-3.5766114726945124E-2</v>
      </c>
      <c r="K191">
        <v>0.15338584494108765</v>
      </c>
      <c r="L191">
        <v>3.5782904732191222E-2</v>
      </c>
      <c r="M191">
        <v>4.258933561089244E-2</v>
      </c>
      <c r="N191">
        <v>-0.13741700172967483</v>
      </c>
      <c r="O191">
        <v>-8.5276811265874566E-2</v>
      </c>
      <c r="P191">
        <v>9.5655910982200526E-2</v>
      </c>
      <c r="Q191">
        <v>-5.981693590555991E-3</v>
      </c>
      <c r="R191">
        <v>0.30006509376558954</v>
      </c>
      <c r="S191">
        <v>-0.10113516091774255</v>
      </c>
      <c r="T191">
        <v>0.19258451405947208</v>
      </c>
      <c r="U191">
        <v>-0.10774854165746907</v>
      </c>
      <c r="V191">
        <v>1.1772008519712948E-2</v>
      </c>
      <c r="W191">
        <v>-0.1016771873026921</v>
      </c>
      <c r="X191">
        <v>-8.3832785362234472E-2</v>
      </c>
      <c r="Y191">
        <v>5.1793785241179956E-3</v>
      </c>
      <c r="Z191">
        <v>0.29248078451179027</v>
      </c>
      <c r="AA191">
        <v>-0.22400100379065066</v>
      </c>
      <c r="AB191">
        <v>-3.1810286824722612E-3</v>
      </c>
      <c r="AC191">
        <v>-9.2708682783353535E-2</v>
      </c>
      <c r="AD191">
        <v>0.11410755732910317</v>
      </c>
      <c r="AE191">
        <v>-2.7913004789240504E-2</v>
      </c>
      <c r="AF191">
        <v>3.4113580246067435E-2</v>
      </c>
      <c r="AG191">
        <v>-0.19030782793489412</v>
      </c>
      <c r="AH191">
        <v>-8.1192438214841137E-2</v>
      </c>
      <c r="AI191">
        <v>-5.7701749356037293E-2</v>
      </c>
      <c r="AJ191">
        <v>7.6078190664528908E-2</v>
      </c>
      <c r="AK191">
        <v>-0.30735870111439872</v>
      </c>
      <c r="AL191">
        <v>4.7391447111689987E-2</v>
      </c>
      <c r="AM191">
        <v>-4.102071888693988E-2</v>
      </c>
      <c r="AN191">
        <v>6.0679054650477897E-2</v>
      </c>
      <c r="AO191">
        <v>0.14590042161251329</v>
      </c>
      <c r="AP191">
        <v>-0.14252551869568844</v>
      </c>
      <c r="AQ191">
        <v>0.20597464682728731</v>
      </c>
      <c r="AR191">
        <v>-9.5044768416044603E-2</v>
      </c>
      <c r="AS191">
        <v>8.8970871462358408E-2</v>
      </c>
      <c r="AT191">
        <v>0.39757542222866105</v>
      </c>
      <c r="AU191">
        <v>0.13168005990069795</v>
      </c>
    </row>
    <row r="192" spans="4:47" x14ac:dyDescent="0.2">
      <c r="D192">
        <v>-0.11893543877169876</v>
      </c>
      <c r="E192">
        <v>0.25630879444223381</v>
      </c>
      <c r="F192">
        <v>-2.2289840167850485E-2</v>
      </c>
      <c r="G192">
        <v>0.13744393280986603</v>
      </c>
      <c r="H192">
        <v>-5.0879441905460961E-2</v>
      </c>
      <c r="I192">
        <v>-0.1369338184325784</v>
      </c>
      <c r="J192">
        <v>-0.1195562435652255</v>
      </c>
      <c r="K192">
        <v>9.4770534801878387E-2</v>
      </c>
      <c r="L192">
        <v>-2.7323009339142407E-2</v>
      </c>
      <c r="M192">
        <v>-7.4900366835101581E-2</v>
      </c>
      <c r="N192">
        <v>-0.14639320558565572</v>
      </c>
      <c r="O192">
        <v>-0.15076303780073497</v>
      </c>
      <c r="P192">
        <v>-0.20677997294159997</v>
      </c>
      <c r="Q192">
        <v>-0.2849655321554696</v>
      </c>
      <c r="R192">
        <v>-0.28135518739057591</v>
      </c>
      <c r="S192">
        <v>-0.17085073215147159</v>
      </c>
      <c r="T192">
        <v>0.10350948646677435</v>
      </c>
      <c r="U192">
        <v>0.2319549260171605</v>
      </c>
      <c r="V192">
        <v>-1.1817609100140899E-2</v>
      </c>
      <c r="W192">
        <v>-0.17845763128969361</v>
      </c>
      <c r="X192">
        <v>0.10012511060557772</v>
      </c>
      <c r="Y192">
        <v>-0.40559565725452956</v>
      </c>
      <c r="Z192">
        <v>9.5218249867069879E-2</v>
      </c>
      <c r="AA192">
        <v>-8.0281423199870444E-2</v>
      </c>
      <c r="AB192">
        <v>-6.0192678855769295E-3</v>
      </c>
      <c r="AC192">
        <v>3.7669109091221349E-2</v>
      </c>
      <c r="AD192">
        <v>-6.42995189421494E-2</v>
      </c>
      <c r="AE192">
        <v>-0.25882724547258507</v>
      </c>
      <c r="AF192">
        <v>-6.5410158842607439E-4</v>
      </c>
      <c r="AG192">
        <v>-5.7267246175546793E-2</v>
      </c>
      <c r="AH192">
        <v>0.12005597511895245</v>
      </c>
      <c r="AI192">
        <v>7.7034539289182108E-2</v>
      </c>
      <c r="AJ192">
        <v>0.22546859159387808</v>
      </c>
      <c r="AK192">
        <v>0.15146260564268099</v>
      </c>
      <c r="AL192">
        <v>5.0803467575794119E-3</v>
      </c>
      <c r="AM192">
        <v>0.15496282147259619</v>
      </c>
      <c r="AN192">
        <v>0.14291312555978108</v>
      </c>
      <c r="AO192">
        <v>0.14187579414542242</v>
      </c>
      <c r="AP192">
        <v>0.11797234251329326</v>
      </c>
      <c r="AQ192">
        <v>-2.1546746128816248E-2</v>
      </c>
      <c r="AR192">
        <v>-0.10885551543078659</v>
      </c>
      <c r="AS192">
        <v>-0.10669347631429595</v>
      </c>
      <c r="AT192">
        <v>-0.12057765554609716</v>
      </c>
      <c r="AU192">
        <v>6.8015470462572834E-3</v>
      </c>
    </row>
    <row r="193" spans="4:47" x14ac:dyDescent="0.2">
      <c r="D193">
        <v>-0.10641438177973875</v>
      </c>
      <c r="E193">
        <v>0.21494354712914224</v>
      </c>
      <c r="F193">
        <v>0.32371435910185908</v>
      </c>
      <c r="G193">
        <v>-3.0127931700939664E-3</v>
      </c>
      <c r="H193">
        <v>4.1671313518791199E-2</v>
      </c>
      <c r="I193">
        <v>-5.3035097605791039E-2</v>
      </c>
      <c r="J193">
        <v>-3.512602652886878E-2</v>
      </c>
      <c r="K193">
        <v>2.5475414687733337E-2</v>
      </c>
      <c r="L193">
        <v>-0.21092168313328144</v>
      </c>
      <c r="M193">
        <v>5.3659079649350634E-2</v>
      </c>
      <c r="N193">
        <v>-0.17679302499053123</v>
      </c>
      <c r="O193">
        <v>2.3004020065668228E-2</v>
      </c>
      <c r="P193">
        <v>-2.4993726172010296E-2</v>
      </c>
      <c r="Q193">
        <v>5.6354549283352158E-2</v>
      </c>
      <c r="R193">
        <v>-0.1245704899837425</v>
      </c>
      <c r="S193">
        <v>9.8273852033789216E-2</v>
      </c>
      <c r="T193">
        <v>-0.37709677975832284</v>
      </c>
      <c r="U193">
        <v>0.11406134662380654</v>
      </c>
      <c r="V193">
        <v>-7.1200353044467632E-3</v>
      </c>
      <c r="W193">
        <v>-7.4866694465889422E-2</v>
      </c>
      <c r="X193">
        <v>0.28883782236217598</v>
      </c>
      <c r="Y193">
        <v>-3.8686633649545145E-2</v>
      </c>
      <c r="Z193">
        <v>0.11875141402340265</v>
      </c>
      <c r="AA193">
        <v>0.22834328016072891</v>
      </c>
      <c r="AB193">
        <v>2.2652691387823155E-2</v>
      </c>
      <c r="AC193">
        <v>-0.16029120342895226</v>
      </c>
      <c r="AD193">
        <v>6.6650799800184179E-2</v>
      </c>
      <c r="AE193">
        <v>8.7647837414533886E-2</v>
      </c>
      <c r="AF193">
        <v>0.33154814786021253</v>
      </c>
      <c r="AG193">
        <v>-0.12212199765946968</v>
      </c>
      <c r="AH193">
        <v>-0.11387833703118797</v>
      </c>
      <c r="AI193">
        <v>-0.11719559609396998</v>
      </c>
      <c r="AJ193">
        <v>7.6647973246453671E-2</v>
      </c>
      <c r="AK193">
        <v>-6.3905673380980688E-2</v>
      </c>
      <c r="AL193">
        <v>0.12927531892003985</v>
      </c>
      <c r="AM193">
        <v>-0.24044186028369288</v>
      </c>
      <c r="AN193">
        <v>-0.15061210804090946</v>
      </c>
      <c r="AO193">
        <v>-0.14222075441406992</v>
      </c>
      <c r="AP193">
        <v>-0.20912214241130669</v>
      </c>
      <c r="AQ193">
        <v>-0.1641446134433657</v>
      </c>
      <c r="AR193">
        <v>0.11296126252610754</v>
      </c>
      <c r="AS193">
        <v>-5.3471115855772008E-2</v>
      </c>
      <c r="AT193">
        <v>-4.2529198064380762E-2</v>
      </c>
      <c r="AU193">
        <v>7.5571649968481966E-2</v>
      </c>
    </row>
    <row r="194" spans="4:47" x14ac:dyDescent="0.2">
      <c r="D194">
        <v>-4.8582811099436025E-2</v>
      </c>
      <c r="E194">
        <v>0.14648819455765943</v>
      </c>
      <c r="F194">
        <v>0.13943772653684908</v>
      </c>
      <c r="G194">
        <v>-6.7657343346698401E-2</v>
      </c>
      <c r="H194">
        <v>0.15414398487942532</v>
      </c>
      <c r="I194">
        <v>0.18185067656128731</v>
      </c>
      <c r="J194">
        <v>-0.28540272593801097</v>
      </c>
      <c r="K194">
        <v>-0.16723676176464727</v>
      </c>
      <c r="L194">
        <v>-0.28430775087641108</v>
      </c>
      <c r="M194">
        <v>0.17247409286397281</v>
      </c>
      <c r="N194">
        <v>0.26833127689854475</v>
      </c>
      <c r="O194">
        <v>-4.334987731900497E-2</v>
      </c>
      <c r="P194">
        <v>0.24430445457005445</v>
      </c>
      <c r="Q194">
        <v>0.18512386797915339</v>
      </c>
      <c r="R194">
        <v>-0.40310218603636011</v>
      </c>
      <c r="S194">
        <v>-6.8476923640472975E-2</v>
      </c>
      <c r="T194">
        <v>1.6501140610055132E-2</v>
      </c>
      <c r="U194">
        <v>-0.24675734198586968</v>
      </c>
      <c r="V194">
        <v>0.1659259729596658</v>
      </c>
      <c r="W194">
        <v>-9.4008769263342187E-2</v>
      </c>
      <c r="X194">
        <v>-0.18832525921033555</v>
      </c>
      <c r="Y194">
        <v>-2.805857834407989E-2</v>
      </c>
      <c r="Z194">
        <v>-3.0907073491982007E-2</v>
      </c>
      <c r="AA194">
        <v>3.6885947622791036E-2</v>
      </c>
      <c r="AB194">
        <v>1.0763098904548865E-2</v>
      </c>
      <c r="AC194">
        <v>0.242079195072119</v>
      </c>
      <c r="AD194">
        <v>-3.1739341014122346E-2</v>
      </c>
      <c r="AE194">
        <v>-8.8743323305073035E-2</v>
      </c>
      <c r="AF194">
        <v>-4.1596844455984369E-2</v>
      </c>
      <c r="AG194">
        <v>-3.1294749216893347E-2</v>
      </c>
      <c r="AH194">
        <v>1.4424256576375881E-2</v>
      </c>
      <c r="AI194">
        <v>-0.23879374785449983</v>
      </c>
      <c r="AJ194">
        <v>7.2128997035356829E-2</v>
      </c>
      <c r="AK194">
        <v>-0.14320902727767718</v>
      </c>
      <c r="AL194">
        <v>-7.760094096351175E-2</v>
      </c>
      <c r="AM194">
        <v>0.142211099633443</v>
      </c>
      <c r="AN194">
        <v>0.13195719866216538</v>
      </c>
      <c r="AO194">
        <v>-4.5746920381080245E-3</v>
      </c>
      <c r="AP194">
        <v>9.6560232817185631E-3</v>
      </c>
      <c r="AQ194">
        <v>2.9984032496906485E-2</v>
      </c>
      <c r="AR194">
        <v>6.4539576759344186E-2</v>
      </c>
      <c r="AS194">
        <v>-3.1133854247048665E-2</v>
      </c>
      <c r="AT194">
        <v>-2.5849922515504952E-2</v>
      </c>
      <c r="AU194">
        <v>2.2028795905251735E-2</v>
      </c>
    </row>
    <row r="195" spans="4:47" x14ac:dyDescent="0.2">
      <c r="D195">
        <v>-0.17220665529056245</v>
      </c>
      <c r="E195">
        <v>0.12214591082478446</v>
      </c>
      <c r="F195">
        <v>9.5891297052606697E-2</v>
      </c>
      <c r="G195">
        <v>-0.13657185995212728</v>
      </c>
      <c r="H195">
        <v>0.1547932994704514</v>
      </c>
      <c r="I195">
        <v>-8.9310316947963965E-4</v>
      </c>
      <c r="J195">
        <v>-0.23299114048739017</v>
      </c>
      <c r="K195">
        <v>0.14108782261555214</v>
      </c>
      <c r="L195">
        <v>7.3178832051360235E-2</v>
      </c>
      <c r="M195">
        <v>-0.13082283365847844</v>
      </c>
      <c r="N195">
        <v>0.11613638562896457</v>
      </c>
      <c r="O195">
        <v>-7.1010108565517802E-2</v>
      </c>
      <c r="P195">
        <v>-9.4005503852498465E-2</v>
      </c>
      <c r="Q195">
        <v>0.10165409397420508</v>
      </c>
      <c r="R195">
        <v>-7.0193851989692885E-2</v>
      </c>
      <c r="S195">
        <v>-0.29381548926356738</v>
      </c>
      <c r="T195">
        <v>-0.27881222318586102</v>
      </c>
      <c r="U195">
        <v>0.12120763258682346</v>
      </c>
      <c r="V195">
        <v>0.1366467061984869</v>
      </c>
      <c r="W195">
        <v>0.11057394072771902</v>
      </c>
      <c r="X195">
        <v>-0.12099259500746837</v>
      </c>
      <c r="Y195">
        <v>3.7181493990023707E-3</v>
      </c>
      <c r="Z195">
        <v>-0.13135779967896508</v>
      </c>
      <c r="AA195">
        <v>-6.7510684852158928E-2</v>
      </c>
      <c r="AB195">
        <v>-0.17625370984745042</v>
      </c>
      <c r="AC195">
        <v>-7.7439779526776456E-2</v>
      </c>
      <c r="AD195">
        <v>0.2892040382269917</v>
      </c>
      <c r="AE195">
        <v>-0.15153795218553309</v>
      </c>
      <c r="AF195">
        <v>-3.4479264113441203E-2</v>
      </c>
      <c r="AG195">
        <v>0.25527911719002505</v>
      </c>
      <c r="AH195">
        <v>2.5798027446780258E-3</v>
      </c>
      <c r="AI195">
        <v>0.32871488274050731</v>
      </c>
      <c r="AJ195">
        <v>-0.33846990778873065</v>
      </c>
      <c r="AK195">
        <v>-2.42680790910248E-2</v>
      </c>
      <c r="AL195">
        <v>0.1599010199522902</v>
      </c>
      <c r="AM195">
        <v>-7.2011631679285301E-2</v>
      </c>
      <c r="AN195">
        <v>-5.5720050711177894E-2</v>
      </c>
      <c r="AO195">
        <v>0.12079547937097376</v>
      </c>
      <c r="AP195">
        <v>1.6871107043991408E-2</v>
      </c>
      <c r="AQ195">
        <v>6.6744279537563844E-2</v>
      </c>
      <c r="AR195">
        <v>7.4959308599933536E-2</v>
      </c>
      <c r="AS195">
        <v>6.9952564732021147E-2</v>
      </c>
      <c r="AT195">
        <v>0.13884013063181519</v>
      </c>
      <c r="AU195">
        <v>-4.4697123987060182E-2</v>
      </c>
    </row>
    <row r="196" spans="4:47" x14ac:dyDescent="0.2">
      <c r="D196">
        <v>-0.16560430002412097</v>
      </c>
      <c r="E196">
        <v>0.15334073998133022</v>
      </c>
      <c r="F196">
        <v>6.9731005142445471E-2</v>
      </c>
      <c r="G196">
        <v>0.14211048647983829</v>
      </c>
      <c r="H196">
        <v>7.5383109031452414E-2</v>
      </c>
      <c r="I196">
        <v>-0.21439110469556838</v>
      </c>
      <c r="J196">
        <v>7.0955061957350254E-2</v>
      </c>
      <c r="K196">
        <v>8.746863209527911E-5</v>
      </c>
      <c r="L196">
        <v>-0.26712642074988385</v>
      </c>
      <c r="M196">
        <v>-0.12372472640072771</v>
      </c>
      <c r="N196">
        <v>2.8521900696997522E-2</v>
      </c>
      <c r="O196">
        <v>0.14259780891052487</v>
      </c>
      <c r="P196">
        <v>-5.3691248384875406E-2</v>
      </c>
      <c r="Q196">
        <v>-0.10006239646951169</v>
      </c>
      <c r="R196">
        <v>0.16111572516718434</v>
      </c>
      <c r="S196">
        <v>-0.26239465508191062</v>
      </c>
      <c r="T196">
        <v>0.12030687958730106</v>
      </c>
      <c r="U196">
        <v>-0.16795987679346125</v>
      </c>
      <c r="V196">
        <v>1.8068325400916206E-2</v>
      </c>
      <c r="W196">
        <v>-0.27432642729507711</v>
      </c>
      <c r="X196">
        <v>1.3490991602597329E-2</v>
      </c>
      <c r="Y196">
        <v>8.1870236708768598E-2</v>
      </c>
      <c r="Z196">
        <v>-0.26497499400397051</v>
      </c>
      <c r="AA196">
        <v>-7.9479991632858391E-2</v>
      </c>
      <c r="AB196">
        <v>-3.1724947000078213E-3</v>
      </c>
      <c r="AC196">
        <v>-2.2371068458894406E-2</v>
      </c>
      <c r="AD196">
        <v>-0.16178951220644491</v>
      </c>
      <c r="AE196">
        <v>0.27013217483874091</v>
      </c>
      <c r="AF196">
        <v>0.18381225786368094</v>
      </c>
      <c r="AG196">
        <v>0.28043628087843264</v>
      </c>
      <c r="AH196">
        <v>-0.26512812185405604</v>
      </c>
      <c r="AI196">
        <v>4.824928009704145E-2</v>
      </c>
      <c r="AJ196">
        <v>1.4191121108943812E-2</v>
      </c>
      <c r="AK196">
        <v>-2.6648395276075154E-2</v>
      </c>
      <c r="AL196">
        <v>-1.9077998580049042E-2</v>
      </c>
      <c r="AM196">
        <v>0.22277087878124122</v>
      </c>
      <c r="AN196">
        <v>-8.4651988884088286E-2</v>
      </c>
      <c r="AO196">
        <v>-0.2049593911217116</v>
      </c>
      <c r="AP196">
        <v>6.8412595000264517E-2</v>
      </c>
      <c r="AQ196">
        <v>7.3913956058437272E-2</v>
      </c>
      <c r="AR196">
        <v>-8.461551267709029E-2</v>
      </c>
      <c r="AS196">
        <v>-0.11672357215744321</v>
      </c>
      <c r="AT196">
        <v>8.5975796185693565E-2</v>
      </c>
      <c r="AU196">
        <v>-0.16438113110301308</v>
      </c>
    </row>
    <row r="197" spans="4:47" x14ac:dyDescent="0.2">
      <c r="D197">
        <v>-0.20301364823073606</v>
      </c>
      <c r="E197">
        <v>9.9653719597154689E-2</v>
      </c>
      <c r="F197">
        <v>4.1271490693068492E-2</v>
      </c>
      <c r="G197">
        <v>-2.7180229373165495E-2</v>
      </c>
      <c r="H197">
        <v>0.1919915813238057</v>
      </c>
      <c r="I197">
        <v>3.5856831245827718E-2</v>
      </c>
      <c r="J197">
        <v>-3.7797706943191595E-2</v>
      </c>
      <c r="K197">
        <v>-3.017384807442363E-2</v>
      </c>
      <c r="L197">
        <v>-9.3579834306567744E-2</v>
      </c>
      <c r="M197">
        <v>-0.21560028191976752</v>
      </c>
      <c r="N197">
        <v>-0.13512063654488018</v>
      </c>
      <c r="O197">
        <v>-0.16207077372227593</v>
      </c>
      <c r="P197">
        <v>5.0490425459802077E-2</v>
      </c>
      <c r="Q197">
        <v>0.10671575251420631</v>
      </c>
      <c r="R197">
        <v>0.19887225092020752</v>
      </c>
      <c r="S197">
        <v>1.3091132791678579E-2</v>
      </c>
      <c r="T197">
        <v>5.3706313674673559E-2</v>
      </c>
      <c r="U197">
        <v>0.12156769040947323</v>
      </c>
      <c r="V197">
        <v>2.7370152703508944E-2</v>
      </c>
      <c r="W197">
        <v>-9.057905919429414E-2</v>
      </c>
      <c r="X197">
        <v>6.8461354242708175E-2</v>
      </c>
      <c r="Y197">
        <v>4.0199191317591726E-2</v>
      </c>
      <c r="Z197">
        <v>-0.31809263887900346</v>
      </c>
      <c r="AA197">
        <v>-0.27968288302417654</v>
      </c>
      <c r="AB197">
        <v>-7.2733115087394246E-2</v>
      </c>
      <c r="AC197">
        <v>6.4252885068596707E-2</v>
      </c>
      <c r="AD197">
        <v>0.20079450864250176</v>
      </c>
      <c r="AE197">
        <v>0.31621109284953314</v>
      </c>
      <c r="AF197">
        <v>-0.23862793796111181</v>
      </c>
      <c r="AG197">
        <v>-0.10205299220465794</v>
      </c>
      <c r="AH197">
        <v>0.30938629022581643</v>
      </c>
      <c r="AI197">
        <v>-0.22592565383895261</v>
      </c>
      <c r="AJ197">
        <v>0.11946016991383038</v>
      </c>
      <c r="AK197">
        <v>9.5232178024621125E-2</v>
      </c>
      <c r="AL197">
        <v>-8.7206763926103062E-2</v>
      </c>
      <c r="AM197">
        <v>-3.4639932753242161E-2</v>
      </c>
      <c r="AN197">
        <v>-8.8975255127004646E-2</v>
      </c>
      <c r="AO197">
        <v>0.11893877204282266</v>
      </c>
      <c r="AP197">
        <v>-7.7581474640580655E-2</v>
      </c>
      <c r="AQ197">
        <v>-0.18898903456857116</v>
      </c>
      <c r="AR197">
        <v>4.3164372132430649E-2</v>
      </c>
      <c r="AS197">
        <v>0.16124211059475227</v>
      </c>
      <c r="AT197">
        <v>-0.20324475604412204</v>
      </c>
      <c r="AU197">
        <v>0.10590768897660023</v>
      </c>
    </row>
    <row r="198" spans="4:47" x14ac:dyDescent="0.2">
      <c r="D198">
        <v>-0.18879177960487248</v>
      </c>
      <c r="E198">
        <v>5.6259660569465894E-2</v>
      </c>
      <c r="F198">
        <v>-0.13519724358219129</v>
      </c>
      <c r="G198">
        <v>-4.1868107292551216E-3</v>
      </c>
      <c r="H198">
        <v>0.18954556880242035</v>
      </c>
      <c r="I198">
        <v>-0.1538460691557722</v>
      </c>
      <c r="J198">
        <v>0.10355921116424194</v>
      </c>
      <c r="K198">
        <v>0.1479157960598754</v>
      </c>
      <c r="L198">
        <v>-8.377098716422357E-2</v>
      </c>
      <c r="M198">
        <v>2.7085846931860958E-3</v>
      </c>
      <c r="N198">
        <v>-0.19195146114492609</v>
      </c>
      <c r="O198">
        <v>-6.1665512765360312E-3</v>
      </c>
      <c r="P198">
        <v>0.17980179935312243</v>
      </c>
      <c r="Q198">
        <v>-7.2392711539697147E-2</v>
      </c>
      <c r="R198">
        <v>0.19768992056538631</v>
      </c>
      <c r="S198">
        <v>0.25118524607472065</v>
      </c>
      <c r="T198">
        <v>4.946948073332167E-2</v>
      </c>
      <c r="U198">
        <v>-0.23763779046566341</v>
      </c>
      <c r="V198">
        <v>0.13288398213049801</v>
      </c>
      <c r="W198">
        <v>2.9108742842055522E-2</v>
      </c>
      <c r="X198">
        <v>-5.831393777465111E-2</v>
      </c>
      <c r="Y198">
        <v>-3.9222492526972963E-2</v>
      </c>
      <c r="Z198">
        <v>2.0292538091780637E-2</v>
      </c>
      <c r="AA198">
        <v>-4.7851583414391802E-2</v>
      </c>
      <c r="AB198">
        <v>-2.7719653693573161E-2</v>
      </c>
      <c r="AC198">
        <v>0.13070981829928499</v>
      </c>
      <c r="AD198">
        <v>-6.3385714013302072E-3</v>
      </c>
      <c r="AE198">
        <v>-0.33281790075762924</v>
      </c>
      <c r="AF198">
        <v>0.23454004766178788</v>
      </c>
      <c r="AG198">
        <v>0.16324530548952046</v>
      </c>
      <c r="AH198">
        <v>0.30529166420672621</v>
      </c>
      <c r="AI198">
        <v>0.14875289808700537</v>
      </c>
      <c r="AJ198">
        <v>-0.11696449304186059</v>
      </c>
      <c r="AK198">
        <v>-7.4042738389630894E-2</v>
      </c>
      <c r="AL198">
        <v>-0.18342106121511131</v>
      </c>
      <c r="AM198">
        <v>-7.6158684385663644E-2</v>
      </c>
      <c r="AN198">
        <v>0.22914341119727172</v>
      </c>
      <c r="AO198">
        <v>-0.15629974987373335</v>
      </c>
      <c r="AP198">
        <v>-0.14684604131348572</v>
      </c>
      <c r="AQ198">
        <v>-0.21685978565569522</v>
      </c>
      <c r="AR198">
        <v>0.17842216646169731</v>
      </c>
      <c r="AS198">
        <v>-0.14155656314743256</v>
      </c>
      <c r="AT198">
        <v>7.4650264368966747E-3</v>
      </c>
      <c r="AU198">
        <v>-1.6310322321778165E-2</v>
      </c>
    </row>
    <row r="199" spans="4:47" x14ac:dyDescent="0.2">
      <c r="D199">
        <v>-0.13110269844526221</v>
      </c>
      <c r="E199">
        <v>5.2354416122293211E-2</v>
      </c>
      <c r="F199">
        <v>-0.19376719511902221</v>
      </c>
      <c r="G199">
        <v>2.1653309199819721E-4</v>
      </c>
      <c r="H199">
        <v>0.40033936461308212</v>
      </c>
      <c r="I199">
        <v>-5.9009900953111837E-2</v>
      </c>
      <c r="J199">
        <v>-0.1577313199868865</v>
      </c>
      <c r="K199">
        <v>0.16068507752265818</v>
      </c>
      <c r="L199">
        <v>-1.9807791766653485E-2</v>
      </c>
      <c r="M199">
        <v>1.7934494436551505E-2</v>
      </c>
      <c r="N199">
        <v>-0.17227967523369958</v>
      </c>
      <c r="O199">
        <v>-5.4116138815782928E-2</v>
      </c>
      <c r="P199">
        <v>0.20195111377393221</v>
      </c>
      <c r="Q199">
        <v>-7.2787115715790204E-2</v>
      </c>
      <c r="R199">
        <v>-3.8193892911982739E-2</v>
      </c>
      <c r="S199">
        <v>0.14273262822600738</v>
      </c>
      <c r="T199">
        <v>-4.1779111225777495E-2</v>
      </c>
      <c r="U199">
        <v>8.0684894790941278E-2</v>
      </c>
      <c r="V199">
        <v>-8.9999969197408908E-2</v>
      </c>
      <c r="W199">
        <v>0.25333623462824845</v>
      </c>
      <c r="X199">
        <v>-0.33963684392515853</v>
      </c>
      <c r="Y199">
        <v>5.18436724803642E-2</v>
      </c>
      <c r="Z199">
        <v>0.11482385801193391</v>
      </c>
      <c r="AA199">
        <v>0.1160017167032755</v>
      </c>
      <c r="AB199">
        <v>0.16231976557871261</v>
      </c>
      <c r="AC199">
        <v>-0.31482660121415035</v>
      </c>
      <c r="AD199">
        <v>4.4420473733661342E-2</v>
      </c>
      <c r="AE199">
        <v>4.2710694536171594E-2</v>
      </c>
      <c r="AF199">
        <v>8.2707600152206739E-2</v>
      </c>
      <c r="AG199">
        <v>3.6159360053867537E-2</v>
      </c>
      <c r="AH199">
        <v>-2.7952387596691625E-2</v>
      </c>
      <c r="AI199">
        <v>-0.15723297420777174</v>
      </c>
      <c r="AJ199">
        <v>7.1785739057309964E-2</v>
      </c>
      <c r="AK199">
        <v>7.5286151470874835E-2</v>
      </c>
      <c r="AL199">
        <v>5.3401389852044084E-4</v>
      </c>
      <c r="AM199">
        <v>0.17372530609389097</v>
      </c>
      <c r="AN199">
        <v>-0.17985764733845711</v>
      </c>
      <c r="AO199">
        <v>-4.5141024431302898E-2</v>
      </c>
      <c r="AP199">
        <v>7.103075982120409E-2</v>
      </c>
      <c r="AQ199">
        <v>0.17259113781351149</v>
      </c>
      <c r="AR199">
        <v>-0.34287740019675633</v>
      </c>
      <c r="AS199">
        <v>1.7080180164379816E-2</v>
      </c>
      <c r="AT199">
        <v>-9.9850149409320355E-2</v>
      </c>
      <c r="AU199">
        <v>-2.5669330904967782E-2</v>
      </c>
    </row>
    <row r="200" spans="4:47" x14ac:dyDescent="0.2">
      <c r="D200">
        <v>-9.3422519044980487E-2</v>
      </c>
      <c r="E200">
        <v>0.16624212115689305</v>
      </c>
      <c r="F200">
        <v>-0.20865452478770544</v>
      </c>
      <c r="G200">
        <v>-9.4581183327352464E-2</v>
      </c>
      <c r="H200">
        <v>0.24132335665491619</v>
      </c>
      <c r="I200">
        <v>1.762663488631187E-2</v>
      </c>
      <c r="J200">
        <v>-0.26693899513134434</v>
      </c>
      <c r="K200">
        <v>-5.246483954677425E-2</v>
      </c>
      <c r="L200">
        <v>4.1580756080522988E-2</v>
      </c>
      <c r="M200">
        <v>0.10536228672018789</v>
      </c>
      <c r="N200">
        <v>0.2317703666226662</v>
      </c>
      <c r="O200">
        <v>-0.17377816977929975</v>
      </c>
      <c r="P200">
        <v>-0.18889697418701809</v>
      </c>
      <c r="Q200">
        <v>-0.18057074927109193</v>
      </c>
      <c r="R200">
        <v>0.17903562617795643</v>
      </c>
      <c r="S200">
        <v>9.1371575574848249E-2</v>
      </c>
      <c r="T200">
        <v>-4.6572826188906118E-2</v>
      </c>
      <c r="U200">
        <v>-0.22301090039932694</v>
      </c>
      <c r="V200">
        <v>-0.35194340704647092</v>
      </c>
      <c r="W200">
        <v>6.364608652891833E-2</v>
      </c>
      <c r="X200">
        <v>0.33996590604939869</v>
      </c>
      <c r="Y200">
        <v>-8.051760975528699E-2</v>
      </c>
      <c r="Z200">
        <v>4.7939727434368258E-2</v>
      </c>
      <c r="AA200">
        <v>2.4833141647358711E-2</v>
      </c>
      <c r="AB200">
        <v>0.16138306389231832</v>
      </c>
      <c r="AC200">
        <v>-7.8946564122238244E-2</v>
      </c>
      <c r="AD200">
        <v>-0.17510477407992825</v>
      </c>
      <c r="AE200">
        <v>2.5039094025086927E-2</v>
      </c>
      <c r="AF200">
        <v>-0.22213136010896192</v>
      </c>
      <c r="AG200">
        <v>0.12757154489316769</v>
      </c>
      <c r="AH200">
        <v>-5.6780956906983746E-2</v>
      </c>
      <c r="AI200">
        <v>-9.6575405566630291E-3</v>
      </c>
      <c r="AJ200">
        <v>2.9341345238223116E-2</v>
      </c>
      <c r="AK200">
        <v>-0.13669702968345018</v>
      </c>
      <c r="AL200">
        <v>-1.4207825070500581E-2</v>
      </c>
      <c r="AM200">
        <v>-6.1136197578997173E-2</v>
      </c>
      <c r="AN200">
        <v>-4.1941470989452931E-2</v>
      </c>
      <c r="AO200">
        <v>7.670096567922173E-2</v>
      </c>
      <c r="AP200">
        <v>-5.6399448510038287E-2</v>
      </c>
      <c r="AQ200">
        <v>0.11761570509856828</v>
      </c>
      <c r="AR200">
        <v>0.29352757503374766</v>
      </c>
      <c r="AS200">
        <v>-8.3787024618765943E-3</v>
      </c>
      <c r="AT200">
        <v>-1.8217432619190069E-2</v>
      </c>
      <c r="AU200">
        <v>-3.4115748659300081E-2</v>
      </c>
    </row>
    <row r="201" spans="4:47" x14ac:dyDescent="0.2">
      <c r="D201">
        <v>-0.12184273965638746</v>
      </c>
      <c r="E201">
        <v>0.20761438505284624</v>
      </c>
      <c r="F201">
        <v>-2.8338986921147044E-2</v>
      </c>
      <c r="G201">
        <v>4.5854826462736066E-2</v>
      </c>
      <c r="H201">
        <v>-9.4341649700140515E-2</v>
      </c>
      <c r="I201">
        <v>-0.34108318004475008</v>
      </c>
      <c r="J201">
        <v>7.0350059269897068E-3</v>
      </c>
      <c r="K201">
        <v>-3.8050274201802355E-2</v>
      </c>
      <c r="L201">
        <v>-4.2141673071680465E-2</v>
      </c>
      <c r="M201">
        <v>-5.7107012792382381E-2</v>
      </c>
      <c r="N201">
        <v>0.21749397611426433</v>
      </c>
      <c r="O201">
        <v>0.16918952957557071</v>
      </c>
      <c r="P201">
        <v>-0.15326252268197119</v>
      </c>
      <c r="Q201">
        <v>0.35767010783154268</v>
      </c>
      <c r="R201">
        <v>0.16672593644008407</v>
      </c>
      <c r="S201">
        <v>5.4213928306289433E-2</v>
      </c>
      <c r="T201">
        <v>-1.2669734215305524E-2</v>
      </c>
      <c r="U201">
        <v>-0.11246556954064563</v>
      </c>
      <c r="V201">
        <v>0.2975198585737136</v>
      </c>
      <c r="W201">
        <v>0.27958311100361122</v>
      </c>
      <c r="X201">
        <v>0.15040247116245384</v>
      </c>
      <c r="Y201">
        <v>-6.5293956022473856E-2</v>
      </c>
      <c r="Z201">
        <v>-8.3670275215812953E-2</v>
      </c>
      <c r="AA201">
        <v>-3.341872888453927E-2</v>
      </c>
      <c r="AB201">
        <v>0.26000604642570202</v>
      </c>
      <c r="AC201">
        <v>-0.11033300427071449</v>
      </c>
      <c r="AD201">
        <v>-1.3329110965903545E-2</v>
      </c>
      <c r="AE201">
        <v>-0.13439908024330055</v>
      </c>
      <c r="AF201">
        <v>1.6815886485885827E-2</v>
      </c>
      <c r="AG201">
        <v>-0.29693184422506091</v>
      </c>
      <c r="AH201">
        <v>2.4296446432623065E-2</v>
      </c>
      <c r="AI201">
        <v>1.2516267818851307E-2</v>
      </c>
      <c r="AJ201">
        <v>1.4701186430185713E-2</v>
      </c>
      <c r="AK201">
        <v>-3.0132021814906412E-2</v>
      </c>
      <c r="AL201">
        <v>-7.8911978546758327E-2</v>
      </c>
      <c r="AM201">
        <v>-3.5247219295099351E-2</v>
      </c>
      <c r="AN201">
        <v>1.5192331881120036E-2</v>
      </c>
      <c r="AO201">
        <v>3.1716426946911638E-2</v>
      </c>
      <c r="AP201">
        <v>0.29975243751213004</v>
      </c>
      <c r="AQ201">
        <v>0.11561564995756182</v>
      </c>
      <c r="AR201">
        <v>-0.10446605481925718</v>
      </c>
      <c r="AS201">
        <v>2.0214160020881961E-2</v>
      </c>
      <c r="AT201">
        <v>-6.4643015258187622E-2</v>
      </c>
      <c r="AU201">
        <v>0.13794650856388352</v>
      </c>
    </row>
    <row r="202" spans="4:47" x14ac:dyDescent="0.2">
      <c r="D202">
        <v>-0.16185456932884221</v>
      </c>
      <c r="E202">
        <v>2.668612737779049E-2</v>
      </c>
      <c r="F202">
        <v>0.17355947525104451</v>
      </c>
      <c r="G202">
        <v>-9.1142993388801899E-2</v>
      </c>
      <c r="H202">
        <v>-0.24357148078425611</v>
      </c>
      <c r="I202">
        <v>-0.1754810637580288</v>
      </c>
      <c r="J202">
        <v>-4.1286504201667025E-2</v>
      </c>
      <c r="K202">
        <v>6.4824042404742335E-2</v>
      </c>
      <c r="L202">
        <v>4.9563808869092223E-2</v>
      </c>
      <c r="M202">
        <v>-0.16933458936150353</v>
      </c>
      <c r="N202">
        <v>-3.402766189044306E-2</v>
      </c>
      <c r="O202">
        <v>-0.15454735967719616</v>
      </c>
      <c r="P202">
        <v>-0.24188346683256984</v>
      </c>
      <c r="Q202">
        <v>0.17742035792345842</v>
      </c>
      <c r="R202">
        <v>-8.1792785306192745E-2</v>
      </c>
      <c r="S202">
        <v>0.38838704475546854</v>
      </c>
      <c r="T202">
        <v>7.8045127110573834E-2</v>
      </c>
      <c r="U202">
        <v>-3.6647613089863855E-2</v>
      </c>
      <c r="V202">
        <v>5.2964064852313648E-2</v>
      </c>
      <c r="W202">
        <v>5.4538470044838673E-2</v>
      </c>
      <c r="X202">
        <v>-0.2877524041213001</v>
      </c>
      <c r="Y202">
        <v>5.921905057985672E-2</v>
      </c>
      <c r="Z202">
        <v>0.13570840823393077</v>
      </c>
      <c r="AA202">
        <v>-0.12610618634073861</v>
      </c>
      <c r="AB202">
        <v>0.10137760310859215</v>
      </c>
      <c r="AC202">
        <v>-1.8854673237511742E-2</v>
      </c>
      <c r="AD202">
        <v>-0.13710163592646921</v>
      </c>
      <c r="AE202">
        <v>6.7036733446241878E-2</v>
      </c>
      <c r="AF202">
        <v>-8.9263588016465556E-2</v>
      </c>
      <c r="AG202">
        <v>0.10026461305894561</v>
      </c>
      <c r="AH202">
        <v>-0.2083020977064973</v>
      </c>
      <c r="AI202">
        <v>-2.6784106855254061E-2</v>
      </c>
      <c r="AJ202">
        <v>-2.6303435468831071E-2</v>
      </c>
      <c r="AK202">
        <v>-2.2669408008241951E-2</v>
      </c>
      <c r="AL202">
        <v>0.20837458603035086</v>
      </c>
      <c r="AM202">
        <v>0.3071037913162602</v>
      </c>
      <c r="AN202">
        <v>1.8142384650873155E-2</v>
      </c>
      <c r="AO202">
        <v>0.14054265550068948</v>
      </c>
      <c r="AP202">
        <v>-0.2274351100541897</v>
      </c>
      <c r="AQ202">
        <v>-0.16632076325056819</v>
      </c>
      <c r="AR202">
        <v>0.18920734450044022</v>
      </c>
      <c r="AS202">
        <v>-8.8430357476081533E-3</v>
      </c>
      <c r="AT202">
        <v>-0.10207847616263564</v>
      </c>
      <c r="AU202">
        <v>-0.14261714737797157</v>
      </c>
    </row>
    <row r="203" spans="4:47" x14ac:dyDescent="0.2">
      <c r="D203">
        <v>-0.10277439075443627</v>
      </c>
      <c r="E203">
        <v>-7.9027340397643184E-2</v>
      </c>
      <c r="F203">
        <v>-0.19304906185992157</v>
      </c>
      <c r="G203">
        <v>-1.1738348712499553E-2</v>
      </c>
      <c r="H203">
        <v>-0.24736061236359533</v>
      </c>
      <c r="I203">
        <v>-8.5125575026593819E-2</v>
      </c>
      <c r="J203">
        <v>-0.17943068549515825</v>
      </c>
      <c r="K203">
        <v>-0.14387134038600696</v>
      </c>
      <c r="L203">
        <v>2.3157197269644186E-2</v>
      </c>
      <c r="M203">
        <v>-0.35204553231036645</v>
      </c>
      <c r="N203">
        <v>0.31759482485713253</v>
      </c>
      <c r="O203">
        <v>-7.2876604017638708E-2</v>
      </c>
      <c r="P203">
        <v>0.29377426457745182</v>
      </c>
      <c r="Q203">
        <v>1.0112659073799841E-2</v>
      </c>
      <c r="R203">
        <v>-0.10070621989988811</v>
      </c>
      <c r="S203">
        <v>0.27607224063218355</v>
      </c>
      <c r="T203">
        <v>-6.2831969024962547E-2</v>
      </c>
      <c r="U203">
        <v>6.8457848523428219E-2</v>
      </c>
      <c r="V203">
        <v>-1.6496852974212627E-2</v>
      </c>
      <c r="W203">
        <v>-0.24123990650164673</v>
      </c>
      <c r="X203">
        <v>8.6228386812039273E-2</v>
      </c>
      <c r="Y203">
        <v>-0.15980151673431153</v>
      </c>
      <c r="Z203">
        <v>0.17065847619961139</v>
      </c>
      <c r="AA203">
        <v>-4.7399483806908595E-2</v>
      </c>
      <c r="AB203">
        <v>5.3536140557930156E-2</v>
      </c>
      <c r="AC203">
        <v>-0.1473649404853741</v>
      </c>
      <c r="AD203">
        <v>0.23325750012429947</v>
      </c>
      <c r="AE203">
        <v>0.15281367832634954</v>
      </c>
      <c r="AF203">
        <v>-1.4045837247533909E-2</v>
      </c>
      <c r="AG203">
        <v>0.16940270474195213</v>
      </c>
      <c r="AH203">
        <v>1.7174116218498129E-2</v>
      </c>
      <c r="AI203">
        <v>7.1473472989700415E-2</v>
      </c>
      <c r="AJ203">
        <v>5.3742424511441081E-2</v>
      </c>
      <c r="AK203">
        <v>4.4676845322409245E-3</v>
      </c>
      <c r="AL203">
        <v>-0.13618428581993375</v>
      </c>
      <c r="AM203">
        <v>-8.7753998661944083E-2</v>
      </c>
      <c r="AN203">
        <v>7.7937606639904081E-3</v>
      </c>
      <c r="AO203">
        <v>-0.15954504331117364</v>
      </c>
      <c r="AP203">
        <v>5.7712059119330757E-2</v>
      </c>
      <c r="AQ203">
        <v>-8.6423285052975835E-2</v>
      </c>
      <c r="AR203">
        <v>-0.14609919261543255</v>
      </c>
      <c r="AS203">
        <v>-8.3731750592670837E-2</v>
      </c>
      <c r="AT203">
        <v>0.23924219132333563</v>
      </c>
      <c r="AU203">
        <v>4.3529186421016185E-2</v>
      </c>
    </row>
    <row r="204" spans="4:47" x14ac:dyDescent="0.2">
      <c r="D204">
        <v>-0.184098420442976</v>
      </c>
      <c r="E204">
        <v>7.0328287877429591E-2</v>
      </c>
      <c r="F204">
        <v>4.3500542322189285E-2</v>
      </c>
      <c r="G204">
        <v>-1.1555460523827261E-2</v>
      </c>
      <c r="H204">
        <v>-3.2797894464504866E-2</v>
      </c>
      <c r="I204">
        <v>-0.11814904871005702</v>
      </c>
      <c r="J204">
        <v>0.17418388700315454</v>
      </c>
      <c r="K204">
        <v>-0.25928048000721837</v>
      </c>
      <c r="L204">
        <v>0.22451871050467972</v>
      </c>
      <c r="M204">
        <v>-0.15643979899907187</v>
      </c>
      <c r="N204">
        <v>0.22432545000849827</v>
      </c>
      <c r="O204">
        <v>0.1010977265348154</v>
      </c>
      <c r="P204">
        <v>0.20719375182578473</v>
      </c>
      <c r="Q204">
        <v>-0.13087837161984636</v>
      </c>
      <c r="R204">
        <v>1.8306689765083171E-2</v>
      </c>
      <c r="S204">
        <v>-0.16119487209313293</v>
      </c>
      <c r="T204">
        <v>6.5714513084975626E-2</v>
      </c>
      <c r="U204">
        <v>0.12943234348782692</v>
      </c>
      <c r="V204">
        <v>-9.4178201845574239E-2</v>
      </c>
      <c r="W204">
        <v>0.21017268447399595</v>
      </c>
      <c r="X204">
        <v>2.0817779205788436E-3</v>
      </c>
      <c r="Y204">
        <v>-5.1101813188545647E-2</v>
      </c>
      <c r="Z204">
        <v>0.10877909512204409</v>
      </c>
      <c r="AA204">
        <v>6.9419130323540297E-4</v>
      </c>
      <c r="AB204">
        <v>-0.32218385296484137</v>
      </c>
      <c r="AC204">
        <v>-7.1337341197399207E-2</v>
      </c>
      <c r="AD204">
        <v>3.9327052428191164E-2</v>
      </c>
      <c r="AE204">
        <v>-6.7898321006530024E-3</v>
      </c>
      <c r="AF204">
        <v>0.11004714072354131</v>
      </c>
      <c r="AG204">
        <v>-0.11529826013420683</v>
      </c>
      <c r="AH204">
        <v>7.822516652885296E-2</v>
      </c>
      <c r="AI204">
        <v>-8.7537117245306703E-2</v>
      </c>
      <c r="AJ204">
        <v>3.1735577878454282E-2</v>
      </c>
      <c r="AK204">
        <v>-0.38554822183165738</v>
      </c>
      <c r="AL204">
        <v>6.2821034663792227E-2</v>
      </c>
      <c r="AM204">
        <v>8.315371501290271E-2</v>
      </c>
      <c r="AN204">
        <v>4.232667518963789E-2</v>
      </c>
      <c r="AO204">
        <v>-7.1036542860945129E-2</v>
      </c>
      <c r="AP204">
        <v>-0.13334492917599852</v>
      </c>
      <c r="AQ204">
        <v>0.105913148485809</v>
      </c>
      <c r="AR204">
        <v>6.0871208340052128E-2</v>
      </c>
      <c r="AS204">
        <v>-1.6791073687144893E-2</v>
      </c>
      <c r="AT204">
        <v>-0.35723013373553353</v>
      </c>
      <c r="AU204">
        <v>-0.24196621463884954</v>
      </c>
    </row>
    <row r="205" spans="4:47" x14ac:dyDescent="0.2">
      <c r="D205">
        <v>-0.17757627625001995</v>
      </c>
      <c r="E205">
        <v>3.4038412410169312E-2</v>
      </c>
      <c r="F205">
        <v>9.9438595383975384E-2</v>
      </c>
      <c r="G205">
        <v>-1.7670562953693035E-2</v>
      </c>
      <c r="H205">
        <v>0.14476457321195732</v>
      </c>
      <c r="I205">
        <v>-0.12793519850264221</v>
      </c>
      <c r="J205">
        <v>8.3063603149656537E-2</v>
      </c>
      <c r="K205">
        <v>-0.33241729927075225</v>
      </c>
      <c r="L205">
        <v>0.15224074082834885</v>
      </c>
      <c r="M205">
        <v>-0.22079536292130819</v>
      </c>
      <c r="N205">
        <v>7.9166288838202717E-2</v>
      </c>
      <c r="O205">
        <v>-1.7759636334753817E-2</v>
      </c>
      <c r="P205">
        <v>0.16679215322269675</v>
      </c>
      <c r="Q205">
        <v>-0.2680574715349322</v>
      </c>
      <c r="R205">
        <v>1.1351611529031112E-3</v>
      </c>
      <c r="S205">
        <v>-0.13088541519589272</v>
      </c>
      <c r="T205">
        <v>0.11545593789247166</v>
      </c>
      <c r="U205">
        <v>9.7165613127046906E-3</v>
      </c>
      <c r="V205">
        <v>0.11441823943913317</v>
      </c>
      <c r="W205">
        <v>3.521094334877279E-2</v>
      </c>
      <c r="X205">
        <v>-0.12267505297718434</v>
      </c>
      <c r="Y205">
        <v>9.5233235554672765E-2</v>
      </c>
      <c r="Z205">
        <v>1.0876741970179333E-2</v>
      </c>
      <c r="AA205">
        <v>0.25768505273423692</v>
      </c>
      <c r="AB205">
        <v>0.25167556225802001</v>
      </c>
      <c r="AC205">
        <v>0.10144378873072735</v>
      </c>
      <c r="AD205">
        <v>-0.13015208643078519</v>
      </c>
      <c r="AE205">
        <v>-1.3383037609752936E-2</v>
      </c>
      <c r="AF205">
        <v>7.4793410155148288E-2</v>
      </c>
      <c r="AG205">
        <v>-0.17442290358732976</v>
      </c>
      <c r="AH205">
        <v>-4.9126945284206957E-3</v>
      </c>
      <c r="AI205">
        <v>1.9136419146980929E-2</v>
      </c>
      <c r="AJ205">
        <v>-2.5522681018299478E-2</v>
      </c>
      <c r="AK205">
        <v>0.36850394681054072</v>
      </c>
      <c r="AL205">
        <v>6.4669101090649175E-2</v>
      </c>
      <c r="AM205">
        <v>-6.6675181653895715E-2</v>
      </c>
      <c r="AN205">
        <v>-7.9190395991715526E-2</v>
      </c>
      <c r="AO205">
        <v>0.20656013745976512</v>
      </c>
      <c r="AP205">
        <v>-0.16247634519999032</v>
      </c>
      <c r="AQ205">
        <v>7.6409949612041535E-3</v>
      </c>
      <c r="AR205">
        <v>0.20288751637612043</v>
      </c>
      <c r="AS205">
        <v>4.8475441487474701E-2</v>
      </c>
      <c r="AT205">
        <v>0.28687349176471194</v>
      </c>
      <c r="AU205">
        <v>0.12342766900687245</v>
      </c>
    </row>
    <row r="206" spans="4:47" x14ac:dyDescent="0.2">
      <c r="D206">
        <v>-0.13129762035764123</v>
      </c>
      <c r="E206">
        <v>-0.15930842166425691</v>
      </c>
      <c r="F206">
        <v>0.14603976254809359</v>
      </c>
      <c r="G206">
        <v>-0.11349415303532524</v>
      </c>
      <c r="H206">
        <v>0.13574909476838676</v>
      </c>
      <c r="I206">
        <v>-6.554770202194758E-3</v>
      </c>
      <c r="J206">
        <v>-0.11792177475360344</v>
      </c>
      <c r="K206">
        <v>-0.3643372100466305</v>
      </c>
      <c r="L206">
        <v>-9.4313774890061097E-2</v>
      </c>
      <c r="M206">
        <v>-3.6868322698416812E-2</v>
      </c>
      <c r="N206">
        <v>-0.16541458486010158</v>
      </c>
      <c r="O206">
        <v>0.31860873951085034</v>
      </c>
      <c r="P206">
        <v>-0.1028552258613971</v>
      </c>
      <c r="Q206">
        <v>1.5936337271976995E-2</v>
      </c>
      <c r="R206">
        <v>-9.9671163098274423E-2</v>
      </c>
      <c r="S206">
        <v>0.25258695178018969</v>
      </c>
      <c r="T206">
        <v>7.0784467057041944E-2</v>
      </c>
      <c r="U206">
        <v>-3.9753558769581372E-2</v>
      </c>
      <c r="V206">
        <v>-0.12781609340000163</v>
      </c>
      <c r="W206">
        <v>7.5779590023908036E-2</v>
      </c>
      <c r="X206">
        <v>6.8322204327420255E-2</v>
      </c>
      <c r="Y206">
        <v>1.1774238463213424E-2</v>
      </c>
      <c r="Z206">
        <v>8.0864959613242728E-3</v>
      </c>
      <c r="AA206">
        <v>-0.31914958184582176</v>
      </c>
      <c r="AB206">
        <v>-0.36471586429894731</v>
      </c>
      <c r="AC206">
        <v>-7.3648379325492189E-2</v>
      </c>
      <c r="AD206">
        <v>-0.1997997743572969</v>
      </c>
      <c r="AE206">
        <v>-0.13486877955140905</v>
      </c>
      <c r="AF206">
        <v>3.7612655900120293E-2</v>
      </c>
      <c r="AG206">
        <v>0.10835082029331512</v>
      </c>
      <c r="AH206">
        <v>1.3497011251223977E-2</v>
      </c>
      <c r="AI206">
        <v>2.0000159043886783E-2</v>
      </c>
      <c r="AJ206">
        <v>3.3650462353084075E-2</v>
      </c>
      <c r="AK206">
        <v>6.0762981449497107E-2</v>
      </c>
      <c r="AL206">
        <v>8.3076070223814219E-2</v>
      </c>
      <c r="AM206">
        <v>-9.1075530011177352E-2</v>
      </c>
      <c r="AN206">
        <v>-7.1708976040914835E-2</v>
      </c>
      <c r="AO206">
        <v>0.13638927601825182</v>
      </c>
      <c r="AP206">
        <v>4.7153018116891758E-2</v>
      </c>
      <c r="AQ206">
        <v>0.16489150081084145</v>
      </c>
      <c r="AR206">
        <v>-0.13572961391451002</v>
      </c>
      <c r="AS206">
        <v>-0.11654918531059408</v>
      </c>
      <c r="AT206">
        <v>0.12017671100385094</v>
      </c>
      <c r="AU206">
        <v>0.26276719901898848</v>
      </c>
    </row>
    <row r="207" spans="4:47" x14ac:dyDescent="0.2">
      <c r="D207">
        <v>-0.10246156453600569</v>
      </c>
      <c r="E207">
        <v>4.7608640740056947E-2</v>
      </c>
      <c r="F207">
        <v>-0.16609478508423936</v>
      </c>
      <c r="G207">
        <v>-0.21400712046805603</v>
      </c>
      <c r="H207">
        <v>-0.10941856893923481</v>
      </c>
      <c r="I207">
        <v>8.786880639871894E-2</v>
      </c>
      <c r="J207">
        <v>-0.1311217453629839</v>
      </c>
      <c r="K207">
        <v>-0.26023505195465518</v>
      </c>
      <c r="L207">
        <v>-0.13138027706615041</v>
      </c>
      <c r="M207">
        <v>6.7497751139174555E-2</v>
      </c>
      <c r="N207">
        <v>-0.22391322558995339</v>
      </c>
      <c r="O207">
        <v>0.49940192074541068</v>
      </c>
      <c r="P207">
        <v>-7.5625081268953093E-2</v>
      </c>
      <c r="Q207">
        <v>4.3573102822824498E-2</v>
      </c>
      <c r="R207">
        <v>0.15396173874521571</v>
      </c>
      <c r="S207">
        <v>-0.21401145210597</v>
      </c>
      <c r="T207">
        <v>-0.1751715610543215</v>
      </c>
      <c r="U207">
        <v>-3.5068615775494638E-2</v>
      </c>
      <c r="V207">
        <v>-8.5471395402290692E-2</v>
      </c>
      <c r="W207">
        <v>-0.10023985625566904</v>
      </c>
      <c r="X207">
        <v>-0.10177679568082722</v>
      </c>
      <c r="Y207">
        <v>-9.6927576984324734E-2</v>
      </c>
      <c r="Z207">
        <v>0.26918855006276454</v>
      </c>
      <c r="AA207">
        <v>6.6638521494125583E-3</v>
      </c>
      <c r="AB207">
        <v>0.21752372206524939</v>
      </c>
      <c r="AC207">
        <v>-2.7415022022861387E-2</v>
      </c>
      <c r="AD207">
        <v>0.16625469947342555</v>
      </c>
      <c r="AE207">
        <v>8.2378841342115636E-2</v>
      </c>
      <c r="AF207">
        <v>-0.15062531762955705</v>
      </c>
      <c r="AG207">
        <v>-3.9333166649552165E-2</v>
      </c>
      <c r="AH207">
        <v>6.7496138082627111E-2</v>
      </c>
      <c r="AI207">
        <v>8.6738709513758255E-2</v>
      </c>
      <c r="AJ207">
        <v>-9.6616735604743431E-2</v>
      </c>
      <c r="AK207">
        <v>0.14361059920286171</v>
      </c>
      <c r="AL207">
        <v>-3.8060731410934696E-2</v>
      </c>
      <c r="AM207">
        <v>0.17378082775364803</v>
      </c>
      <c r="AN207">
        <v>0.18513419396168809</v>
      </c>
      <c r="AO207">
        <v>-5.0229615811709323E-2</v>
      </c>
      <c r="AP207">
        <v>-0.14097652595883806</v>
      </c>
      <c r="AQ207">
        <v>-7.1907289246944048E-2</v>
      </c>
      <c r="AR207">
        <v>2.1985652401717862E-2</v>
      </c>
      <c r="AS207">
        <v>6.7564342373189701E-2</v>
      </c>
      <c r="AT207">
        <v>-0.11552030329497708</v>
      </c>
      <c r="AU207">
        <v>-9.2626635441490884E-2</v>
      </c>
    </row>
    <row r="208" spans="4:47" x14ac:dyDescent="0.2">
      <c r="D208">
        <v>-0.1045864650393815</v>
      </c>
      <c r="E208">
        <v>0.12409980938052603</v>
      </c>
      <c r="F208">
        <v>-0.17148795863472965</v>
      </c>
      <c r="G208">
        <v>0.33575354207251823</v>
      </c>
      <c r="H208">
        <v>-0.15484948238926541</v>
      </c>
      <c r="I208">
        <v>2.0700807192248028E-2</v>
      </c>
      <c r="J208">
        <v>-0.1008365035507898</v>
      </c>
      <c r="K208">
        <v>-0.23330102610804598</v>
      </c>
      <c r="L208">
        <v>-7.0163762905298729E-2</v>
      </c>
      <c r="M208">
        <v>6.5658049471515156E-2</v>
      </c>
      <c r="N208">
        <v>-7.9821999359573209E-2</v>
      </c>
      <c r="O208">
        <v>-0.15055219970137557</v>
      </c>
      <c r="P208">
        <v>-8.3595222993899793E-2</v>
      </c>
      <c r="Q208">
        <v>0.32907728097447991</v>
      </c>
      <c r="R208">
        <v>2.2356859574592016E-2</v>
      </c>
      <c r="S208">
        <v>-9.7262200267979396E-2</v>
      </c>
      <c r="T208">
        <v>9.2605583427227869E-2</v>
      </c>
      <c r="U208">
        <v>0.14068753593853178</v>
      </c>
      <c r="V208">
        <v>-0.12769057077795534</v>
      </c>
      <c r="W208">
        <v>1.443322623947367E-2</v>
      </c>
      <c r="X208">
        <v>-0.2620927104648802</v>
      </c>
      <c r="Y208">
        <v>0.20849785211356719</v>
      </c>
      <c r="Z208">
        <v>-3.2871911366554138E-2</v>
      </c>
      <c r="AA208">
        <v>0.1368446228951854</v>
      </c>
      <c r="AB208">
        <v>-2.9823762281276183E-2</v>
      </c>
      <c r="AC208">
        <v>-9.0452426669120317E-2</v>
      </c>
      <c r="AD208">
        <v>-0.11662258804204788</v>
      </c>
      <c r="AE208">
        <v>-2.5603534378299403E-2</v>
      </c>
      <c r="AF208">
        <v>-1.2670577324357925E-2</v>
      </c>
      <c r="AG208">
        <v>0.18118011893980471</v>
      </c>
      <c r="AH208">
        <v>0.11721141534404697</v>
      </c>
      <c r="AI208">
        <v>0.10580627767727957</v>
      </c>
      <c r="AJ208">
        <v>0.25715684228566904</v>
      </c>
      <c r="AK208">
        <v>9.1274096049577869E-2</v>
      </c>
      <c r="AL208">
        <v>9.1981375136495333E-2</v>
      </c>
      <c r="AM208">
        <v>-0.40140033342203563</v>
      </c>
      <c r="AN208">
        <v>0.14894312202606447</v>
      </c>
      <c r="AO208">
        <v>-0.12152276843041243</v>
      </c>
      <c r="AP208">
        <v>-4.0277097197117244E-2</v>
      </c>
      <c r="AQ208">
        <v>0.12268364558714097</v>
      </c>
      <c r="AR208">
        <v>0.10216811262106021</v>
      </c>
      <c r="AS208">
        <v>-4.3394354379546578E-2</v>
      </c>
      <c r="AT208">
        <v>-5.7694916423605212E-2</v>
      </c>
      <c r="AU208">
        <v>-8.7105329111511337E-2</v>
      </c>
    </row>
    <row r="209" spans="3:49" x14ac:dyDescent="0.2">
      <c r="D209">
        <v>-0.12342020026873439</v>
      </c>
      <c r="E209">
        <v>5.1682018166186311E-2</v>
      </c>
      <c r="F209">
        <v>-0.24582805598224514</v>
      </c>
      <c r="G209">
        <v>0.31299871989750006</v>
      </c>
      <c r="H209">
        <v>-0.11681632683835705</v>
      </c>
      <c r="I209">
        <v>0.19154339314349186</v>
      </c>
      <c r="J209">
        <v>-9.9759655328931288E-2</v>
      </c>
      <c r="K209">
        <v>-0.16897237217692879</v>
      </c>
      <c r="L209">
        <v>-6.2649998561974854E-2</v>
      </c>
      <c r="M209">
        <v>7.103111651892921E-2</v>
      </c>
      <c r="N209">
        <v>-4.5750991961862206E-2</v>
      </c>
      <c r="O209">
        <v>-4.3614317188560778E-2</v>
      </c>
      <c r="P209">
        <v>0.20139462264982874</v>
      </c>
      <c r="Q209">
        <v>1.8890324375738628E-2</v>
      </c>
      <c r="R209">
        <v>1.7167706766507931E-2</v>
      </c>
      <c r="S209">
        <v>6.9794812708616191E-2</v>
      </c>
      <c r="T209">
        <v>-0.19611318831551885</v>
      </c>
      <c r="U209">
        <v>7.5981746917081538E-2</v>
      </c>
      <c r="V209">
        <v>-0.14982692206376011</v>
      </c>
      <c r="W209">
        <v>0.12711250388032791</v>
      </c>
      <c r="X209">
        <v>0.1848844000735724</v>
      </c>
      <c r="Y209">
        <v>0.24835359742889845</v>
      </c>
      <c r="Z209">
        <v>-0.22009149426878105</v>
      </c>
      <c r="AA209">
        <v>-7.9075166459984914E-2</v>
      </c>
      <c r="AB209">
        <v>3.9490695378221526E-3</v>
      </c>
      <c r="AC209">
        <v>9.3559310195562961E-2</v>
      </c>
      <c r="AD209">
        <v>-2.2837678094683772E-3</v>
      </c>
      <c r="AE209">
        <v>-0.17255938094090112</v>
      </c>
      <c r="AF209">
        <v>8.9015231081597063E-2</v>
      </c>
      <c r="AG209">
        <v>-0.21748232921464658</v>
      </c>
      <c r="AH209">
        <v>-0.13113182688823524</v>
      </c>
      <c r="AI209">
        <v>0.20864129210247334</v>
      </c>
      <c r="AJ209">
        <v>-3.5408536680269609E-2</v>
      </c>
      <c r="AK209">
        <v>-5.0867108449035227E-2</v>
      </c>
      <c r="AL209">
        <v>9.1073920026381705E-2</v>
      </c>
      <c r="AM209">
        <v>0.33515280049642537</v>
      </c>
      <c r="AN209">
        <v>-0.11067103347526955</v>
      </c>
      <c r="AO209">
        <v>0.18229753717067182</v>
      </c>
      <c r="AP209">
        <v>4.3629601259084992E-6</v>
      </c>
      <c r="AQ209">
        <v>-0.29541683476704211</v>
      </c>
      <c r="AR209">
        <v>-7.9066423509076764E-2</v>
      </c>
      <c r="AS209">
        <v>-9.8444135165677252E-2</v>
      </c>
      <c r="AT209">
        <v>8.4556068107919491E-2</v>
      </c>
      <c r="AU209">
        <v>-8.7226552647336086E-2</v>
      </c>
    </row>
    <row r="210" spans="3:49" x14ac:dyDescent="0.2">
      <c r="D210">
        <v>-9.9616233565968326E-2</v>
      </c>
      <c r="E210">
        <v>0.11661096096849442</v>
      </c>
      <c r="F210">
        <v>-0.19068738445235556</v>
      </c>
      <c r="G210">
        <v>0.30369992256148642</v>
      </c>
      <c r="H210">
        <v>-0.17334661270064766</v>
      </c>
      <c r="I210">
        <v>6.9819904261223018E-2</v>
      </c>
      <c r="J210">
        <v>-1.9700273468006048E-2</v>
      </c>
      <c r="K210">
        <v>-0.14394317084649894</v>
      </c>
      <c r="L210">
        <v>0.18896188455118068</v>
      </c>
      <c r="M210">
        <v>6.8509657694975371E-2</v>
      </c>
      <c r="N210">
        <v>-0.26054182893694122</v>
      </c>
      <c r="O210">
        <v>-1.9925547362945533E-2</v>
      </c>
      <c r="P210">
        <v>9.4186719572337957E-3</v>
      </c>
      <c r="Q210">
        <v>-0.14084882034218732</v>
      </c>
      <c r="R210">
        <v>-9.860102638482024E-2</v>
      </c>
      <c r="S210">
        <v>3.7075894385414331E-3</v>
      </c>
      <c r="T210">
        <v>-0.1334377252534012</v>
      </c>
      <c r="U210">
        <v>-0.21117155938133692</v>
      </c>
      <c r="V210">
        <v>0.33694638252738007</v>
      </c>
      <c r="W210">
        <v>0.26960112915643436</v>
      </c>
      <c r="X210">
        <v>4.5396047462516374E-2</v>
      </c>
      <c r="Y210">
        <v>-0.22851317440656513</v>
      </c>
      <c r="Z210">
        <v>8.5434577560083144E-2</v>
      </c>
      <c r="AA210">
        <v>7.6292605708772011E-3</v>
      </c>
      <c r="AB210">
        <v>-0.10797152371844169</v>
      </c>
      <c r="AC210">
        <v>0.2153924717320318</v>
      </c>
      <c r="AD210">
        <v>2.3465594007887327E-3</v>
      </c>
      <c r="AE210">
        <v>0.27411533547674044</v>
      </c>
      <c r="AF210">
        <v>-1.517740222556287E-2</v>
      </c>
      <c r="AG210">
        <v>0.28756549338179754</v>
      </c>
      <c r="AH210">
        <v>-0.11740919937614597</v>
      </c>
      <c r="AI210">
        <v>-0.15661986119801513</v>
      </c>
      <c r="AJ210">
        <v>-0.12539592064033897</v>
      </c>
      <c r="AK210">
        <v>-9.0789073886510009E-3</v>
      </c>
      <c r="AL210">
        <v>-1.5513164011180768E-2</v>
      </c>
      <c r="AM210">
        <v>-4.9154882039745149E-2</v>
      </c>
      <c r="AN210">
        <v>-0.12934051537279773</v>
      </c>
      <c r="AO210">
        <v>7.2350557491430859E-4</v>
      </c>
      <c r="AP210">
        <v>8.4159398572662428E-2</v>
      </c>
      <c r="AQ210">
        <v>2.5652179054356732E-2</v>
      </c>
      <c r="AR210">
        <v>4.7039983664168179E-2</v>
      </c>
      <c r="AS210">
        <v>0.13086172869765203</v>
      </c>
      <c r="AT210">
        <v>-6.3472762741170738E-2</v>
      </c>
      <c r="AU210">
        <v>0.15006906954548749</v>
      </c>
    </row>
    <row r="211" spans="3:49" x14ac:dyDescent="0.2">
      <c r="D211">
        <v>-0.14124405381455191</v>
      </c>
      <c r="E211">
        <v>-2.7698441217154115E-2</v>
      </c>
      <c r="F211">
        <v>0.17193156025134479</v>
      </c>
      <c r="G211">
        <v>4.4469268109658858E-2</v>
      </c>
      <c r="H211">
        <v>-3.7959019122149315E-2</v>
      </c>
      <c r="I211">
        <v>0.17728022983619332</v>
      </c>
      <c r="J211">
        <v>0.29038372059671597</v>
      </c>
      <c r="K211">
        <v>-0.33421269951880295</v>
      </c>
      <c r="L211">
        <v>-7.1364135127793271E-2</v>
      </c>
      <c r="M211">
        <v>2.8001128901057097E-2</v>
      </c>
      <c r="N211">
        <v>-8.8374174503055861E-2</v>
      </c>
      <c r="O211">
        <v>-0.16547906287923989</v>
      </c>
      <c r="P211">
        <v>-0.31068122171098983</v>
      </c>
      <c r="Q211">
        <v>-0.14854576011236004</v>
      </c>
      <c r="R211">
        <v>-2.5328615567004095E-2</v>
      </c>
      <c r="S211">
        <v>0.1438736062305426</v>
      </c>
      <c r="T211">
        <v>1.682289331482539E-2</v>
      </c>
      <c r="U211">
        <v>-0.12284544413792377</v>
      </c>
      <c r="V211">
        <v>5.635219996107272E-2</v>
      </c>
      <c r="W211">
        <v>-7.5650936056851151E-2</v>
      </c>
      <c r="X211">
        <v>-5.9779159567921155E-3</v>
      </c>
      <c r="Y211">
        <v>4.3814505856884942E-2</v>
      </c>
      <c r="Z211">
        <v>-0.14417008592163935</v>
      </c>
      <c r="AA211">
        <v>0.30680532795117232</v>
      </c>
      <c r="AB211">
        <v>6.9395147714149938E-2</v>
      </c>
      <c r="AC211">
        <v>-0.2660834866546955</v>
      </c>
      <c r="AD211">
        <v>0.32284250313507828</v>
      </c>
      <c r="AE211">
        <v>-0.20826895163005688</v>
      </c>
      <c r="AF211">
        <v>-0.15959584085302814</v>
      </c>
      <c r="AG211">
        <v>0.1244584379050966</v>
      </c>
      <c r="AH211">
        <v>0.14402562829441909</v>
      </c>
      <c r="AI211">
        <v>-8.4638618769721008E-2</v>
      </c>
      <c r="AJ211">
        <v>-3.8742498718210179E-2</v>
      </c>
      <c r="AK211">
        <v>-0.16643223245533389</v>
      </c>
      <c r="AL211">
        <v>-0.11705846296040626</v>
      </c>
      <c r="AM211">
        <v>0.15287626862371825</v>
      </c>
      <c r="AN211">
        <v>-3.3388264111205081E-2</v>
      </c>
      <c r="AO211">
        <v>-9.4998049921383686E-3</v>
      </c>
      <c r="AP211">
        <v>0.1170944540665973</v>
      </c>
      <c r="AQ211">
        <v>2.6073331800756962E-2</v>
      </c>
      <c r="AR211">
        <v>-9.5905739231940138E-2</v>
      </c>
      <c r="AS211">
        <v>1.0404676540495988E-2</v>
      </c>
      <c r="AT211">
        <v>9.1548579796650736E-2</v>
      </c>
      <c r="AU211">
        <v>-7.1185355685065524E-2</v>
      </c>
    </row>
    <row r="212" spans="3:49" x14ac:dyDescent="0.2">
      <c r="D212">
        <v>-0.16882093803957571</v>
      </c>
      <c r="E212">
        <v>2.6082995083247896E-2</v>
      </c>
      <c r="F212">
        <v>0.14941547709327085</v>
      </c>
      <c r="G212">
        <v>-0.21614245897521051</v>
      </c>
      <c r="H212">
        <v>-7.3223945278556177E-2</v>
      </c>
      <c r="I212">
        <v>-0.27483756942582904</v>
      </c>
      <c r="J212">
        <v>-3.184057337449217E-2</v>
      </c>
      <c r="K212">
        <v>-4.999394033694745E-2</v>
      </c>
      <c r="L212">
        <v>0.10119236341577217</v>
      </c>
      <c r="M212">
        <v>0.30566227982793026</v>
      </c>
      <c r="N212">
        <v>-0.10171308875170022</v>
      </c>
      <c r="O212">
        <v>-0.1498166401373876</v>
      </c>
      <c r="P212">
        <v>4.4609791839097766E-2</v>
      </c>
      <c r="Q212">
        <v>7.3765762925052963E-2</v>
      </c>
      <c r="R212">
        <v>5.2673553319902651E-2</v>
      </c>
      <c r="S212">
        <v>-0.12494522117756307</v>
      </c>
      <c r="T212">
        <v>7.2206207739590092E-2</v>
      </c>
      <c r="U212">
        <v>0.10910270934346337</v>
      </c>
      <c r="V212">
        <v>-0.12862308352848725</v>
      </c>
      <c r="W212">
        <v>0.219046477601895</v>
      </c>
      <c r="X212">
        <v>3.1518466298468176E-2</v>
      </c>
      <c r="Y212">
        <v>-2.9994800285092771E-2</v>
      </c>
      <c r="Z212">
        <v>6.0506316489981053E-2</v>
      </c>
      <c r="AA212">
        <v>3.5791956172746928E-2</v>
      </c>
      <c r="AB212">
        <v>-7.1940260458776453E-2</v>
      </c>
      <c r="AC212">
        <v>0.24969007199900625</v>
      </c>
      <c r="AD212">
        <v>1.2444051170825206E-2</v>
      </c>
      <c r="AE212">
        <v>1.3178132480785905E-2</v>
      </c>
      <c r="AF212">
        <v>-0.29535673166411119</v>
      </c>
      <c r="AG212">
        <v>-2.1441176930233993E-2</v>
      </c>
      <c r="AH212">
        <v>7.8354937482474032E-2</v>
      </c>
      <c r="AI212">
        <v>-8.1511447942962979E-3</v>
      </c>
      <c r="AJ212">
        <v>7.8628048775250745E-2</v>
      </c>
      <c r="AK212">
        <v>5.8581533689312888E-3</v>
      </c>
      <c r="AL212">
        <v>5.624119791484674E-2</v>
      </c>
      <c r="AM212">
        <v>0.10862027667033351</v>
      </c>
      <c r="AN212">
        <v>-0.18067661285472564</v>
      </c>
      <c r="AO212">
        <v>-0.43373917764637848</v>
      </c>
      <c r="AP212">
        <v>7.8893184747566084E-2</v>
      </c>
      <c r="AQ212">
        <v>-0.16067457809159019</v>
      </c>
      <c r="AR212">
        <v>-9.2532002982713329E-2</v>
      </c>
      <c r="AS212">
        <v>-0.14586349487173067</v>
      </c>
      <c r="AT212">
        <v>0.31780376202594601</v>
      </c>
      <c r="AU212">
        <v>5.576233251578573E-3</v>
      </c>
    </row>
    <row r="213" spans="3:49" x14ac:dyDescent="0.2">
      <c r="D213">
        <v>-0.13470891125254295</v>
      </c>
      <c r="E213">
        <v>-0.10097083307239436</v>
      </c>
      <c r="F213">
        <v>0.10353773312539623</v>
      </c>
      <c r="G213">
        <v>-0.18484690360815689</v>
      </c>
      <c r="H213">
        <v>-0.19639152576809998</v>
      </c>
      <c r="I213">
        <v>-0.11139947924536493</v>
      </c>
      <c r="J213">
        <v>-9.0288951700888812E-2</v>
      </c>
      <c r="K213">
        <v>-0.11920219221076166</v>
      </c>
      <c r="L213">
        <v>7.8934868368021785E-2</v>
      </c>
      <c r="M213">
        <v>0.46705467613110646</v>
      </c>
      <c r="N213">
        <v>3.1862717901917233E-3</v>
      </c>
      <c r="O213">
        <v>-0.27356764759014929</v>
      </c>
      <c r="P213">
        <v>0.11786054916755037</v>
      </c>
      <c r="Q213">
        <v>4.9793413608287977E-2</v>
      </c>
      <c r="R213">
        <v>0.10835082482990019</v>
      </c>
      <c r="S213">
        <v>3.709936948578977E-2</v>
      </c>
      <c r="T213">
        <v>4.3991841899618828E-2</v>
      </c>
      <c r="U213">
        <v>-3.3519161841697127E-2</v>
      </c>
      <c r="V213">
        <v>-4.4109805433027165E-2</v>
      </c>
      <c r="W213">
        <v>-0.14165935062022325</v>
      </c>
      <c r="X213">
        <v>-1.503924900082155E-2</v>
      </c>
      <c r="Y213">
        <v>-0.13520877726181946</v>
      </c>
      <c r="Z213">
        <v>-0.1122461616911983</v>
      </c>
      <c r="AA213">
        <v>5.0520242883897899E-2</v>
      </c>
      <c r="AB213">
        <v>-3.9908277906083511E-3</v>
      </c>
      <c r="AC213">
        <v>-8.6858053563095797E-2</v>
      </c>
      <c r="AD213">
        <v>1.6067686720710077E-3</v>
      </c>
      <c r="AE213">
        <v>0.27941034264536802</v>
      </c>
      <c r="AF213">
        <v>0.35029977997105272</v>
      </c>
      <c r="AG213">
        <v>-1.394610769865459E-2</v>
      </c>
      <c r="AH213">
        <v>0.15672693034363441</v>
      </c>
      <c r="AI213">
        <v>0.20955411611727959</v>
      </c>
      <c r="AJ213">
        <v>-0.1695751196520344</v>
      </c>
      <c r="AK213">
        <v>8.6494237352056413E-2</v>
      </c>
      <c r="AL213">
        <v>-7.5492400224913783E-2</v>
      </c>
      <c r="AM213">
        <v>7.9904967970797297E-2</v>
      </c>
      <c r="AN213">
        <v>3.6595219006100618E-2</v>
      </c>
      <c r="AO213">
        <v>0.2698466313150843</v>
      </c>
      <c r="AP213">
        <v>3.0222751905678046E-2</v>
      </c>
      <c r="AQ213">
        <v>0.17110428258685062</v>
      </c>
      <c r="AR213">
        <v>-6.6981333099171605E-2</v>
      </c>
      <c r="AS213">
        <v>-5.8650712754679216E-2</v>
      </c>
      <c r="AT213">
        <v>-0.16086057118487179</v>
      </c>
      <c r="AU213">
        <v>5.0077471985636453E-2</v>
      </c>
    </row>
    <row r="214" spans="3:49" x14ac:dyDescent="0.2">
      <c r="D214">
        <v>-0.12453011994622198</v>
      </c>
      <c r="E214">
        <v>2.7728721954564942E-2</v>
      </c>
      <c r="F214">
        <v>-0.25212538720103539</v>
      </c>
      <c r="G214">
        <v>-0.26928853068587882</v>
      </c>
      <c r="H214">
        <v>5.0011695347002776E-2</v>
      </c>
      <c r="I214">
        <v>-8.1328778559267928E-2</v>
      </c>
      <c r="J214">
        <v>-0.22242116814719695</v>
      </c>
      <c r="K214">
        <v>-3.9209928728808761E-2</v>
      </c>
      <c r="L214">
        <v>0.11490702165112437</v>
      </c>
      <c r="M214">
        <v>0.13687777774151819</v>
      </c>
      <c r="N214">
        <v>-0.12690520991671089</v>
      </c>
      <c r="O214">
        <v>0.12433074219035366</v>
      </c>
      <c r="P214">
        <v>-7.8469095659417856E-2</v>
      </c>
      <c r="Q214">
        <v>-9.5556164713454933E-2</v>
      </c>
      <c r="R214">
        <v>-3.1432800168560031E-2</v>
      </c>
      <c r="S214">
        <v>8.2968491665855001E-2</v>
      </c>
      <c r="T214">
        <v>0.35842034033626419</v>
      </c>
      <c r="U214">
        <v>0.27958425407873966</v>
      </c>
      <c r="V214">
        <v>0.19720576655673266</v>
      </c>
      <c r="W214">
        <v>-0.13267765754182889</v>
      </c>
      <c r="X214">
        <v>6.6826922421436077E-2</v>
      </c>
      <c r="Y214">
        <v>0.16595596866624951</v>
      </c>
      <c r="Z214">
        <v>-0.15188058708601199</v>
      </c>
      <c r="AA214">
        <v>0.16666933960037966</v>
      </c>
      <c r="AB214">
        <v>-3.1445687998843418E-2</v>
      </c>
      <c r="AC214">
        <v>3.7089621993333759E-2</v>
      </c>
      <c r="AD214">
        <v>0.10677506772477521</v>
      </c>
      <c r="AE214">
        <v>-1.4934192404610854E-2</v>
      </c>
      <c r="AF214">
        <v>6.5184773754116701E-2</v>
      </c>
      <c r="AG214">
        <v>-1.1181045458223748E-2</v>
      </c>
      <c r="AH214">
        <v>-0.34103947732421197</v>
      </c>
      <c r="AI214">
        <v>-0.14360225944191657</v>
      </c>
      <c r="AJ214">
        <v>-5.1258690260105391E-2</v>
      </c>
      <c r="AK214">
        <v>-0.22756552272760494</v>
      </c>
      <c r="AL214">
        <v>7.8836484245542876E-3</v>
      </c>
      <c r="AM214">
        <v>-0.20019968007685646</v>
      </c>
      <c r="AN214">
        <v>0.18010759424516842</v>
      </c>
      <c r="AO214">
        <v>8.3954491829811684E-2</v>
      </c>
      <c r="AP214">
        <v>0.12656545850545273</v>
      </c>
      <c r="AQ214">
        <v>-0.1985701226310162</v>
      </c>
      <c r="AR214">
        <v>-2.254146672138017E-2</v>
      </c>
      <c r="AS214">
        <v>8.1848901144739375E-2</v>
      </c>
      <c r="AT214">
        <v>1.4894150793909421E-2</v>
      </c>
      <c r="AU214">
        <v>-5.1584269156514921E-2</v>
      </c>
    </row>
    <row r="216" spans="3:49" x14ac:dyDescent="0.2">
      <c r="C216" t="s">
        <v>199</v>
      </c>
    </row>
    <row r="218" spans="3:49" x14ac:dyDescent="0.2">
      <c r="D218">
        <v>1</v>
      </c>
      <c r="E218">
        <v>2</v>
      </c>
      <c r="F218">
        <v>3</v>
      </c>
      <c r="G218">
        <v>4</v>
      </c>
      <c r="H218">
        <v>5</v>
      </c>
      <c r="I218">
        <v>6</v>
      </c>
      <c r="J218">
        <v>7</v>
      </c>
      <c r="K218">
        <v>8</v>
      </c>
      <c r="L218">
        <v>9</v>
      </c>
      <c r="M218">
        <v>10</v>
      </c>
      <c r="N218">
        <v>11</v>
      </c>
      <c r="O218">
        <v>12</v>
      </c>
      <c r="P218">
        <v>13</v>
      </c>
      <c r="Q218">
        <v>14</v>
      </c>
      <c r="R218">
        <v>15</v>
      </c>
      <c r="S218">
        <v>16</v>
      </c>
      <c r="T218">
        <v>17</v>
      </c>
      <c r="U218">
        <v>18</v>
      </c>
      <c r="V218">
        <v>19</v>
      </c>
      <c r="W218">
        <v>20</v>
      </c>
      <c r="X218">
        <v>21</v>
      </c>
      <c r="Y218">
        <v>22</v>
      </c>
      <c r="Z218">
        <v>23</v>
      </c>
      <c r="AA218">
        <v>24</v>
      </c>
      <c r="AB218">
        <v>25</v>
      </c>
      <c r="AC218">
        <v>26</v>
      </c>
      <c r="AD218">
        <v>27</v>
      </c>
      <c r="AE218">
        <v>28</v>
      </c>
      <c r="AF218">
        <v>29</v>
      </c>
      <c r="AG218">
        <v>30</v>
      </c>
      <c r="AH218">
        <v>31</v>
      </c>
      <c r="AI218">
        <v>32</v>
      </c>
      <c r="AJ218">
        <v>33</v>
      </c>
      <c r="AK218">
        <v>34</v>
      </c>
      <c r="AL218">
        <v>35</v>
      </c>
      <c r="AM218">
        <v>36</v>
      </c>
      <c r="AN218">
        <v>37</v>
      </c>
      <c r="AO218">
        <v>38</v>
      </c>
      <c r="AP218">
        <v>39</v>
      </c>
      <c r="AQ218">
        <v>40</v>
      </c>
      <c r="AR218">
        <v>41</v>
      </c>
      <c r="AS218">
        <v>42</v>
      </c>
      <c r="AT218">
        <v>43</v>
      </c>
      <c r="AU218">
        <v>44</v>
      </c>
      <c r="AW218" t="s">
        <v>200</v>
      </c>
    </row>
    <row r="219" spans="3:49" x14ac:dyDescent="0.2">
      <c r="C219" t="s">
        <v>1</v>
      </c>
      <c r="D219">
        <v>-0.53217159612506948</v>
      </c>
      <c r="E219">
        <v>-0.44320103566050928</v>
      </c>
      <c r="F219">
        <v>-0.24997576541566535</v>
      </c>
      <c r="G219">
        <v>-0.2573595092755479</v>
      </c>
      <c r="H219">
        <v>-0.23346395110073509</v>
      </c>
      <c r="I219">
        <v>-5.6089354937998839E-2</v>
      </c>
      <c r="J219">
        <v>-7.2180205222874994E-2</v>
      </c>
      <c r="K219">
        <v>-2.1537117605505491E-2</v>
      </c>
      <c r="L219">
        <v>-3.0328675219172135E-2</v>
      </c>
      <c r="M219">
        <v>-0.1391309486140225</v>
      </c>
      <c r="N219">
        <v>-0.152891805408301</v>
      </c>
      <c r="O219">
        <v>-0.21265976559483063</v>
      </c>
      <c r="P219">
        <v>-5.6708226182128493E-2</v>
      </c>
      <c r="Q219">
        <v>-7.5583131823338104E-2</v>
      </c>
      <c r="R219">
        <v>-0.10019382355758254</v>
      </c>
      <c r="S219">
        <v>-0.21118103297056529</v>
      </c>
      <c r="T219">
        <v>-5.490136299699816E-2</v>
      </c>
      <c r="U219">
        <v>-0.28173278755849945</v>
      </c>
      <c r="V219">
        <v>-2.7406522545539002E-2</v>
      </c>
      <c r="W219">
        <v>-4.6697693033738101E-2</v>
      </c>
      <c r="X219">
        <v>-0.12881026059385231</v>
      </c>
      <c r="Y219">
        <v>-2.565618016762989E-2</v>
      </c>
      <c r="Z219">
        <v>-5.7856235071592127E-2</v>
      </c>
      <c r="AA219">
        <v>-7.0973355605059976E-2</v>
      </c>
      <c r="AB219">
        <v>-4.6382423166072047E-3</v>
      </c>
      <c r="AC219">
        <v>-6.2104517469611403E-2</v>
      </c>
      <c r="AD219">
        <v>-3.9398532480588909E-2</v>
      </c>
      <c r="AE219">
        <v>-7.5484328219022706E-2</v>
      </c>
      <c r="AF219">
        <v>-2.7730045749014443E-2</v>
      </c>
      <c r="AG219">
        <v>-0.13232475544538494</v>
      </c>
      <c r="AH219">
        <v>-9.1511429431482813E-2</v>
      </c>
      <c r="AI219">
        <v>-5.5339940529593081E-4</v>
      </c>
      <c r="AJ219">
        <v>-2.7370893842680665E-2</v>
      </c>
      <c r="AK219">
        <v>-2.0880581076577316E-2</v>
      </c>
      <c r="AL219">
        <v>-6.6330573459174133E-2</v>
      </c>
      <c r="AM219">
        <v>-9.9645020687719479E-2</v>
      </c>
      <c r="AN219">
        <v>-8.1841801740734604E-2</v>
      </c>
      <c r="AO219">
        <v>-2.4323762395177011E-2</v>
      </c>
      <c r="AP219">
        <v>-3.0029383085638767E-2</v>
      </c>
      <c r="AQ219">
        <v>-2.7223666387954766E-2</v>
      </c>
      <c r="AR219">
        <v>-2.4726437376161876E-2</v>
      </c>
      <c r="AS219">
        <v>-2.9756212670997494E-2</v>
      </c>
      <c r="AT219">
        <v>-3.4495824601731555E-2</v>
      </c>
      <c r="AU219">
        <v>-2.6971903893752589E-3</v>
      </c>
      <c r="AW219">
        <v>1.0000000000000033</v>
      </c>
    </row>
    <row r="220" spans="3:49" x14ac:dyDescent="0.2">
      <c r="C220" t="s">
        <v>2</v>
      </c>
      <c r="D220">
        <v>-0.44005696285922064</v>
      </c>
      <c r="E220">
        <v>-0.42624981499123238</v>
      </c>
      <c r="F220">
        <v>-2.4067745359227417E-2</v>
      </c>
      <c r="G220">
        <v>-0.4205237987187278</v>
      </c>
      <c r="H220">
        <v>-0.35217414089020571</v>
      </c>
      <c r="I220">
        <v>0.19858658185737099</v>
      </c>
      <c r="J220">
        <v>-6.9548402272280582E-2</v>
      </c>
      <c r="K220">
        <v>0.13521525004647911</v>
      </c>
      <c r="L220">
        <v>-4.1390401556016004E-2</v>
      </c>
      <c r="M220">
        <v>-4.4214259264707817E-2</v>
      </c>
      <c r="N220">
        <v>-0.17926378258127998</v>
      </c>
      <c r="O220">
        <v>2.9047779738273022E-2</v>
      </c>
      <c r="P220">
        <v>0.14110755330307856</v>
      </c>
      <c r="Q220">
        <v>-0.10315908135945916</v>
      </c>
      <c r="R220">
        <v>-0.11635546847820631</v>
      </c>
      <c r="S220">
        <v>-7.6427172743679717E-2</v>
      </c>
      <c r="T220">
        <v>-6.6033740223091844E-2</v>
      </c>
      <c r="U220">
        <v>8.9685587936980699E-2</v>
      </c>
      <c r="V220">
        <v>0.15797956463108884</v>
      </c>
      <c r="W220">
        <v>0.1503664530405667</v>
      </c>
      <c r="X220">
        <v>0.12063475967249428</v>
      </c>
      <c r="Y220">
        <v>3.9634792379581354E-2</v>
      </c>
      <c r="Z220">
        <v>-0.14883586423584538</v>
      </c>
      <c r="AA220">
        <v>-7.1799236704038982E-2</v>
      </c>
      <c r="AB220">
        <v>0.12594863349321081</v>
      </c>
      <c r="AC220">
        <v>-9.5497893186326871E-2</v>
      </c>
      <c r="AD220">
        <v>-8.5670995514159576E-2</v>
      </c>
      <c r="AE220">
        <v>-1.4847689682196444E-2</v>
      </c>
      <c r="AF220">
        <v>3.0743835399065025E-2</v>
      </c>
      <c r="AG220">
        <v>5.3352342850291536E-2</v>
      </c>
      <c r="AH220">
        <v>5.3779181189439008E-2</v>
      </c>
      <c r="AI220">
        <v>3.3827725972208314E-3</v>
      </c>
      <c r="AJ220">
        <v>0.13536379153528638</v>
      </c>
      <c r="AK220">
        <v>-3.4351111161721341E-2</v>
      </c>
      <c r="AL220">
        <v>-1.4823194071133345E-2</v>
      </c>
      <c r="AM220">
        <v>3.4599406776951627E-2</v>
      </c>
      <c r="AN220">
        <v>1.7807279576327106E-2</v>
      </c>
      <c r="AO220">
        <v>-2.9393865829502198E-2</v>
      </c>
      <c r="AP220">
        <v>-1.6388575339318846E-2</v>
      </c>
      <c r="AQ220">
        <v>6.63021292880389E-2</v>
      </c>
      <c r="AR220">
        <v>5.6968728679388278E-2</v>
      </c>
      <c r="AS220">
        <v>2.6296615032569502E-2</v>
      </c>
      <c r="AT220">
        <v>2.3693750798572815E-2</v>
      </c>
      <c r="AU220">
        <v>-1.3152831778801279E-2</v>
      </c>
      <c r="AW220">
        <v>1.0000000000000016</v>
      </c>
    </row>
    <row r="221" spans="3:49" x14ac:dyDescent="0.2">
      <c r="C221" t="s">
        <v>3</v>
      </c>
      <c r="D221">
        <v>-0.36913145413116244</v>
      </c>
      <c r="E221">
        <v>-0.36784226640767231</v>
      </c>
      <c r="F221">
        <v>9.4644501962652186E-2</v>
      </c>
      <c r="G221">
        <v>0.18710457134424824</v>
      </c>
      <c r="H221">
        <v>-0.14466061941692282</v>
      </c>
      <c r="I221">
        <v>0.15996847841122525</v>
      </c>
      <c r="J221">
        <v>-1.4042777802573864E-2</v>
      </c>
      <c r="K221">
        <v>0.14880913226298187</v>
      </c>
      <c r="L221">
        <v>-0.56725225033832605</v>
      </c>
      <c r="M221">
        <v>4.4850968720355371E-2</v>
      </c>
      <c r="N221">
        <v>0.1484045443874738</v>
      </c>
      <c r="O221">
        <v>0.1161904708192107</v>
      </c>
      <c r="P221">
        <v>6.4471267515438288E-2</v>
      </c>
      <c r="Q221">
        <v>-2.7547801664119555E-2</v>
      </c>
      <c r="R221">
        <v>9.2761874221059457E-2</v>
      </c>
      <c r="S221">
        <v>-9.09888091409514E-3</v>
      </c>
      <c r="T221">
        <v>0.29585284515927618</v>
      </c>
      <c r="U221">
        <v>0.15252140181689181</v>
      </c>
      <c r="V221">
        <v>-2.8571127123784634E-2</v>
      </c>
      <c r="W221">
        <v>0.21285733123551151</v>
      </c>
      <c r="X221">
        <v>-3.2641477018529166E-2</v>
      </c>
      <c r="Y221">
        <v>-0.23458639606610865</v>
      </c>
      <c r="Z221">
        <v>-1.1821321146789261E-2</v>
      </c>
      <c r="AA221">
        <v>9.5727653932426091E-2</v>
      </c>
      <c r="AB221">
        <v>6.332281969382346E-4</v>
      </c>
      <c r="AC221">
        <v>-1.2875868204378202E-2</v>
      </c>
      <c r="AD221">
        <v>3.9486327372514597E-2</v>
      </c>
      <c r="AE221">
        <v>-8.2111189302440247E-5</v>
      </c>
      <c r="AF221">
        <v>-4.2325892952719393E-2</v>
      </c>
      <c r="AG221">
        <v>2.8954914353272861E-2</v>
      </c>
      <c r="AH221">
        <v>-4.841339128826045E-2</v>
      </c>
      <c r="AI221">
        <v>4.2103570770050745E-2</v>
      </c>
      <c r="AJ221">
        <v>-3.1191758033400772E-2</v>
      </c>
      <c r="AK221">
        <v>-6.316563275702387E-3</v>
      </c>
      <c r="AL221">
        <v>-3.0527315480017782E-2</v>
      </c>
      <c r="AM221">
        <v>-2.5435056536957424E-2</v>
      </c>
      <c r="AN221">
        <v>-6.9489211882736684E-2</v>
      </c>
      <c r="AO221">
        <v>3.7310798778123322E-2</v>
      </c>
      <c r="AP221">
        <v>-3.8804283554359151E-2</v>
      </c>
      <c r="AQ221">
        <v>-2.4607616657545923E-2</v>
      </c>
      <c r="AR221">
        <v>2.6565041386337931E-2</v>
      </c>
      <c r="AS221">
        <v>-1.1183450320160474E-2</v>
      </c>
      <c r="AT221">
        <v>-7.5815795370091123E-3</v>
      </c>
      <c r="AU221">
        <v>9.8300988156908454E-3</v>
      </c>
      <c r="AW221">
        <v>1.0000000000000078</v>
      </c>
    </row>
    <row r="222" spans="3:49" x14ac:dyDescent="0.2">
      <c r="C222" t="s">
        <v>4</v>
      </c>
      <c r="D222">
        <v>-0.61356277224307221</v>
      </c>
      <c r="E222">
        <v>-0.42595760760647217</v>
      </c>
      <c r="F222">
        <v>-8.2848374933357186E-2</v>
      </c>
      <c r="G222">
        <v>-0.18179106949792403</v>
      </c>
      <c r="H222">
        <v>-0.2122398401595621</v>
      </c>
      <c r="I222">
        <v>-1.526601075999218E-2</v>
      </c>
      <c r="J222">
        <v>-3.8557351269925613E-2</v>
      </c>
      <c r="K222">
        <v>5.3466978477183541E-2</v>
      </c>
      <c r="L222">
        <v>-0.31278218271552372</v>
      </c>
      <c r="M222">
        <v>-0.12815119026025623</v>
      </c>
      <c r="N222">
        <v>0.10228936725885765</v>
      </c>
      <c r="O222">
        <v>-0.20701328963730073</v>
      </c>
      <c r="P222">
        <v>-6.166016328210705E-2</v>
      </c>
      <c r="Q222">
        <v>-1.1752192305761501E-2</v>
      </c>
      <c r="R222">
        <v>0.19189611926343195</v>
      </c>
      <c r="S222">
        <v>-8.5577848626342448E-2</v>
      </c>
      <c r="T222">
        <v>-8.2512456576703086E-2</v>
      </c>
      <c r="U222">
        <v>-6.9221067821033988E-2</v>
      </c>
      <c r="V222">
        <v>-7.7895312714981083E-2</v>
      </c>
      <c r="W222">
        <v>9.1685591528976207E-2</v>
      </c>
      <c r="X222">
        <v>9.7438217070530353E-2</v>
      </c>
      <c r="Y222">
        <v>4.2990130681258752E-2</v>
      </c>
      <c r="Z222">
        <v>8.8266196164244012E-2</v>
      </c>
      <c r="AA222">
        <v>3.2654112618338497E-2</v>
      </c>
      <c r="AB222">
        <v>-7.8758414754271283E-2</v>
      </c>
      <c r="AC222">
        <v>9.8469229459203778E-2</v>
      </c>
      <c r="AD222">
        <v>2.5082577545595904E-2</v>
      </c>
      <c r="AE222">
        <v>-7.5967491698406622E-2</v>
      </c>
      <c r="AF222">
        <v>0.10501225340830667</v>
      </c>
      <c r="AG222">
        <v>3.7008855427358184E-2</v>
      </c>
      <c r="AH222">
        <v>-1.0032021486837107E-2</v>
      </c>
      <c r="AI222">
        <v>-0.17263549158433378</v>
      </c>
      <c r="AJ222">
        <v>-1.3213494645338924E-2</v>
      </c>
      <c r="AK222">
        <v>0.10194382088085062</v>
      </c>
      <c r="AL222">
        <v>6.572234953690978E-2</v>
      </c>
      <c r="AM222">
        <v>-5.004075103367079E-3</v>
      </c>
      <c r="AN222">
        <v>6.4412183692825531E-2</v>
      </c>
      <c r="AO222">
        <v>2.2077358515328115E-2</v>
      </c>
      <c r="AP222">
        <v>3.7287451292594413E-2</v>
      </c>
      <c r="AQ222">
        <v>6.3930934002917423E-3</v>
      </c>
      <c r="AR222">
        <v>-3.8161996701267901E-2</v>
      </c>
      <c r="AS222">
        <v>5.0022675615380062E-2</v>
      </c>
      <c r="AT222">
        <v>7.4740485700039629E-3</v>
      </c>
      <c r="AU222">
        <v>-3.2199939487106213E-2</v>
      </c>
      <c r="AW222">
        <v>1.0000000000000016</v>
      </c>
    </row>
    <row r="223" spans="3:49" x14ac:dyDescent="0.2">
      <c r="C223" t="s">
        <v>5</v>
      </c>
      <c r="D223">
        <v>-0.71076879907662804</v>
      </c>
      <c r="E223">
        <v>-0.10440795642479647</v>
      </c>
      <c r="F223">
        <v>0.14066696641860801</v>
      </c>
      <c r="G223">
        <v>6.8119135237798098E-2</v>
      </c>
      <c r="H223">
        <v>-0.24470539331871913</v>
      </c>
      <c r="I223">
        <v>-1.6067057964129664E-2</v>
      </c>
      <c r="J223">
        <v>-0.12559095363983094</v>
      </c>
      <c r="K223">
        <v>0.16311750672677564</v>
      </c>
      <c r="L223">
        <v>-0.12143561850825604</v>
      </c>
      <c r="M223">
        <v>-2.6241957365910621E-2</v>
      </c>
      <c r="N223">
        <v>4.9726061716421167E-2</v>
      </c>
      <c r="O223">
        <v>8.6282373681325852E-2</v>
      </c>
      <c r="P223">
        <v>6.0389396004767476E-2</v>
      </c>
      <c r="Q223">
        <v>-0.20609124404709839</v>
      </c>
      <c r="R223">
        <v>0.197071232677384</v>
      </c>
      <c r="S223">
        <v>7.0627286216629101E-2</v>
      </c>
      <c r="T223">
        <v>-0.23785885101796223</v>
      </c>
      <c r="U223">
        <v>0.18055167458313975</v>
      </c>
      <c r="V223">
        <v>5.6453519351089755E-2</v>
      </c>
      <c r="W223">
        <v>-0.17497638929531431</v>
      </c>
      <c r="X223">
        <v>-0.13112935025896669</v>
      </c>
      <c r="Y223">
        <v>0.13487504543195533</v>
      </c>
      <c r="Z223">
        <v>6.4108482525771851E-2</v>
      </c>
      <c r="AA223">
        <v>0.10125805424125447</v>
      </c>
      <c r="AB223">
        <v>-3.4351061356113814E-2</v>
      </c>
      <c r="AC223">
        <v>6.5423755965102276E-2</v>
      </c>
      <c r="AD223">
        <v>-0.16816602627764488</v>
      </c>
      <c r="AE223">
        <v>-2.8403792752246967E-2</v>
      </c>
      <c r="AF223">
        <v>-0.10321928432825087</v>
      </c>
      <c r="AG223">
        <v>-7.6477997339459459E-3</v>
      </c>
      <c r="AH223">
        <v>5.9259949131509081E-2</v>
      </c>
      <c r="AI223">
        <v>-1.9586537390517626E-2</v>
      </c>
      <c r="AJ223">
        <v>-4.4334474386094405E-2</v>
      </c>
      <c r="AK223">
        <v>-7.2549016382255527E-2</v>
      </c>
      <c r="AL223">
        <v>-2.6970781898346907E-2</v>
      </c>
      <c r="AM223">
        <v>-3.1947680439708246E-3</v>
      </c>
      <c r="AN223">
        <v>-4.2508656800972787E-2</v>
      </c>
      <c r="AO223">
        <v>1.6453803710227585E-2</v>
      </c>
      <c r="AP223">
        <v>8.3071137774148263E-2</v>
      </c>
      <c r="AQ223">
        <v>2.4965988210080316E-2</v>
      </c>
      <c r="AR223">
        <v>1.9228537819561835E-2</v>
      </c>
      <c r="AS223">
        <v>-1.107312349393583E-2</v>
      </c>
      <c r="AT223">
        <v>-2.622521009781004E-2</v>
      </c>
      <c r="AU223">
        <v>3.2085614461278986E-2</v>
      </c>
      <c r="AW223">
        <v>0.99999999999999645</v>
      </c>
    </row>
    <row r="224" spans="3:49" x14ac:dyDescent="0.2">
      <c r="C224" t="s">
        <v>6</v>
      </c>
      <c r="D224">
        <v>-0.68042510045733295</v>
      </c>
      <c r="E224">
        <v>-0.45598592118851178</v>
      </c>
      <c r="F224">
        <v>-2.4016333113147419E-2</v>
      </c>
      <c r="G224">
        <v>0.13596013941432597</v>
      </c>
      <c r="H224">
        <v>0.23073747342891149</v>
      </c>
      <c r="I224">
        <v>0.10346639143985915</v>
      </c>
      <c r="J224">
        <v>4.5212459569649276E-2</v>
      </c>
      <c r="K224">
        <v>8.4382504023152491E-2</v>
      </c>
      <c r="L224">
        <v>0.10579540852354007</v>
      </c>
      <c r="M224">
        <v>-6.0814472529591025E-2</v>
      </c>
      <c r="N224">
        <v>-1.345995013467805E-2</v>
      </c>
      <c r="O224">
        <v>3.7467472232232443E-2</v>
      </c>
      <c r="P224">
        <v>-0.26479707231508426</v>
      </c>
      <c r="Q224">
        <v>0.12369839213496928</v>
      </c>
      <c r="R224">
        <v>-9.723724159868187E-2</v>
      </c>
      <c r="S224">
        <v>-9.9486786888714096E-2</v>
      </c>
      <c r="T224">
        <v>-6.0245575530314989E-2</v>
      </c>
      <c r="U224">
        <v>6.0069572631343257E-2</v>
      </c>
      <c r="V224">
        <v>-7.5100772050142997E-2</v>
      </c>
      <c r="W224">
        <v>8.4480253667300831E-2</v>
      </c>
      <c r="X224">
        <v>-6.0515851701581906E-2</v>
      </c>
      <c r="Y224">
        <v>2.6267734117333769E-2</v>
      </c>
      <c r="Z224">
        <v>0.11730595859311869</v>
      </c>
      <c r="AA224">
        <v>-2.8458076354128232E-2</v>
      </c>
      <c r="AB224">
        <v>-3.8308927420912853E-4</v>
      </c>
      <c r="AC224">
        <v>4.0722145643154226E-2</v>
      </c>
      <c r="AD224">
        <v>4.1838741110905062E-2</v>
      </c>
      <c r="AE224">
        <v>0.1218370059348326</v>
      </c>
      <c r="AF224">
        <v>0.10537494401971689</v>
      </c>
      <c r="AG224">
        <v>-4.2341041218883567E-2</v>
      </c>
      <c r="AH224">
        <v>1.3706317283714632E-2</v>
      </c>
      <c r="AI224">
        <v>-3.4458730822241705E-2</v>
      </c>
      <c r="AJ224">
        <v>3.7992680751119438E-2</v>
      </c>
      <c r="AK224">
        <v>-3.2294969393006828E-2</v>
      </c>
      <c r="AL224">
        <v>-0.14267778138314821</v>
      </c>
      <c r="AM224">
        <v>9.0536561789296907E-3</v>
      </c>
      <c r="AN224">
        <v>1.284189140457615E-2</v>
      </c>
      <c r="AO224">
        <v>5.02213352897612E-2</v>
      </c>
      <c r="AP224">
        <v>7.5938105996566876E-2</v>
      </c>
      <c r="AQ224">
        <v>-2.3554493737651928E-2</v>
      </c>
      <c r="AR224">
        <v>6.5867076112308076E-2</v>
      </c>
      <c r="AS224">
        <v>-7.4675312382876252E-2</v>
      </c>
      <c r="AT224">
        <v>4.3176881536286467E-2</v>
      </c>
      <c r="AU224">
        <v>-2.2443802418713254E-2</v>
      </c>
      <c r="AW224">
        <v>0.99999999999999734</v>
      </c>
    </row>
    <row r="225" spans="3:49" x14ac:dyDescent="0.2">
      <c r="C225" t="s">
        <v>7</v>
      </c>
      <c r="D225">
        <v>-0.75892455011169258</v>
      </c>
      <c r="E225">
        <v>-0.37634146905022436</v>
      </c>
      <c r="F225">
        <v>-6.6724017400595859E-2</v>
      </c>
      <c r="G225">
        <v>5.4096488477735627E-2</v>
      </c>
      <c r="H225">
        <v>0.1559082859950886</v>
      </c>
      <c r="I225">
        <v>0.16078203514306746</v>
      </c>
      <c r="J225">
        <v>-2.9872231217585886E-2</v>
      </c>
      <c r="K225">
        <v>-8.2830108905267916E-3</v>
      </c>
      <c r="L225">
        <v>-1.0638340999047138E-2</v>
      </c>
      <c r="M225">
        <v>-0.13386335913760097</v>
      </c>
      <c r="N225">
        <v>6.4148202731298079E-2</v>
      </c>
      <c r="O225">
        <v>-8.4008635730430992E-2</v>
      </c>
      <c r="P225">
        <v>-0.25634016262102399</v>
      </c>
      <c r="Q225">
        <v>-2.7202254151684018E-2</v>
      </c>
      <c r="R225">
        <v>-3.9185919414243382E-2</v>
      </c>
      <c r="S225">
        <v>9.1931535708581869E-2</v>
      </c>
      <c r="T225">
        <v>2.313198542203871E-2</v>
      </c>
      <c r="U225">
        <v>4.301171588409735E-2</v>
      </c>
      <c r="V225">
        <v>-8.3948967186357387E-2</v>
      </c>
      <c r="W225">
        <v>-9.7672563826055672E-3</v>
      </c>
      <c r="X225">
        <v>-3.2564508531968323E-2</v>
      </c>
      <c r="Y225">
        <v>2.306030051403514E-3</v>
      </c>
      <c r="Z225">
        <v>-1.3471962305394479E-2</v>
      </c>
      <c r="AA225">
        <v>2.2917770418592612E-2</v>
      </c>
      <c r="AB225">
        <v>5.8141894364308382E-2</v>
      </c>
      <c r="AC225">
        <v>0.19962018233453055</v>
      </c>
      <c r="AD225">
        <v>6.233763277620058E-2</v>
      </c>
      <c r="AE225">
        <v>2.8131641311803238E-2</v>
      </c>
      <c r="AF225">
        <v>9.155604649499198E-2</v>
      </c>
      <c r="AG225">
        <v>-6.6015234495064079E-2</v>
      </c>
      <c r="AH225">
        <v>-3.6397741276542231E-2</v>
      </c>
      <c r="AI225">
        <v>0.12514672305635166</v>
      </c>
      <c r="AJ225">
        <v>2.1172793666027263E-2</v>
      </c>
      <c r="AK225">
        <v>-4.8846794328649676E-2</v>
      </c>
      <c r="AL225">
        <v>1.7211679239532436E-2</v>
      </c>
      <c r="AM225">
        <v>3.1997044297943519E-2</v>
      </c>
      <c r="AN225">
        <v>2.1837988048985631E-2</v>
      </c>
      <c r="AO225">
        <v>-0.10515039137038174</v>
      </c>
      <c r="AP225">
        <v>-2.3184805210966511E-2</v>
      </c>
      <c r="AQ225">
        <v>5.9418815452595711E-2</v>
      </c>
      <c r="AR225">
        <v>-1.5364716676455387E-2</v>
      </c>
      <c r="AS225">
        <v>7.0308819203328141E-2</v>
      </c>
      <c r="AT225">
        <v>-2.6642805588726913E-2</v>
      </c>
      <c r="AU225">
        <v>6.0679203315556263E-2</v>
      </c>
      <c r="AW225">
        <v>1.0000000000000013</v>
      </c>
    </row>
    <row r="226" spans="3:49" x14ac:dyDescent="0.2">
      <c r="C226" t="s">
        <v>8</v>
      </c>
      <c r="D226">
        <v>-0.68055991683771044</v>
      </c>
      <c r="E226">
        <v>-0.37303418982893394</v>
      </c>
      <c r="F226">
        <v>-0.22943777650793584</v>
      </c>
      <c r="G226">
        <v>7.8652013826429987E-2</v>
      </c>
      <c r="H226">
        <v>1.7308453551062749E-2</v>
      </c>
      <c r="I226">
        <v>-0.11429650058639414</v>
      </c>
      <c r="J226">
        <v>8.6212474681083423E-2</v>
      </c>
      <c r="K226">
        <v>0.19391680606364312</v>
      </c>
      <c r="L226">
        <v>0.17944812718859829</v>
      </c>
      <c r="M226">
        <v>2.6905043331972387E-2</v>
      </c>
      <c r="N226">
        <v>0.1094795083956713</v>
      </c>
      <c r="O226">
        <v>9.650514397622767E-2</v>
      </c>
      <c r="P226">
        <v>-4.6673192579009384E-2</v>
      </c>
      <c r="Q226">
        <v>0.21725815553055114</v>
      </c>
      <c r="R226">
        <v>-0.1070599554227151</v>
      </c>
      <c r="S226">
        <v>-0.24548945175421633</v>
      </c>
      <c r="T226">
        <v>4.8868136214278241E-2</v>
      </c>
      <c r="U226">
        <v>-9.2982205393180112E-2</v>
      </c>
      <c r="V226">
        <v>-3.0752752165666721E-2</v>
      </c>
      <c r="W226">
        <v>-6.4698804677245647E-2</v>
      </c>
      <c r="X226">
        <v>9.7591031374845413E-2</v>
      </c>
      <c r="Y226">
        <v>6.3327540763399554E-2</v>
      </c>
      <c r="Z226">
        <v>4.7271351817837495E-2</v>
      </c>
      <c r="AA226">
        <v>0.12571158706295835</v>
      </c>
      <c r="AB226">
        <v>-5.5882906021364189E-3</v>
      </c>
      <c r="AC226">
        <v>-7.4446029328144356E-2</v>
      </c>
      <c r="AD226">
        <v>-7.632088875656963E-2</v>
      </c>
      <c r="AE226">
        <v>-1.6928624627794889E-2</v>
      </c>
      <c r="AF226">
        <v>-6.2019572860463217E-4</v>
      </c>
      <c r="AG226">
        <v>0.10382240205836758</v>
      </c>
      <c r="AH226">
        <v>7.4076763407460181E-2</v>
      </c>
      <c r="AI226">
        <v>-3.0327820899736384E-2</v>
      </c>
      <c r="AJ226">
        <v>3.6259635602992162E-2</v>
      </c>
      <c r="AK226">
        <v>-5.6562152424443145E-2</v>
      </c>
      <c r="AL226">
        <v>1.3289716709251054E-2</v>
      </c>
      <c r="AM226">
        <v>4.885559395423749E-2</v>
      </c>
      <c r="AN226">
        <v>-1.2482123029466836E-2</v>
      </c>
      <c r="AO226">
        <v>5.1495438053731829E-2</v>
      </c>
      <c r="AP226">
        <v>-7.0150811053940124E-2</v>
      </c>
      <c r="AQ226">
        <v>-7.6685934264887221E-2</v>
      </c>
      <c r="AR226">
        <v>-4.6401824600097105E-2</v>
      </c>
      <c r="AS226">
        <v>2.4093886041325112E-2</v>
      </c>
      <c r="AT226">
        <v>-1.4910426490595482E-3</v>
      </c>
      <c r="AU226">
        <v>7.1366453428519397E-2</v>
      </c>
      <c r="AW226">
        <v>0.99999999999999889</v>
      </c>
    </row>
    <row r="227" spans="3:49" x14ac:dyDescent="0.2">
      <c r="C227" t="s">
        <v>9</v>
      </c>
      <c r="D227">
        <v>-0.70856777607009835</v>
      </c>
      <c r="E227">
        <v>-0.36948672403402499</v>
      </c>
      <c r="F227">
        <v>0.18216587304020249</v>
      </c>
      <c r="G227">
        <v>0.26588886722516819</v>
      </c>
      <c r="H227">
        <v>0.15605741042407736</v>
      </c>
      <c r="I227">
        <v>-4.0176746897093399E-2</v>
      </c>
      <c r="J227">
        <v>-2.1546639740355811E-2</v>
      </c>
      <c r="K227">
        <v>9.9835144674367174E-2</v>
      </c>
      <c r="L227">
        <v>8.6035295990902094E-2</v>
      </c>
      <c r="M227">
        <v>-3.5757257249837429E-2</v>
      </c>
      <c r="N227">
        <v>-0.11121069338928405</v>
      </c>
      <c r="O227">
        <v>0.14279287489933715</v>
      </c>
      <c r="P227">
        <v>6.1537996080959868E-2</v>
      </c>
      <c r="Q227">
        <v>6.7356803519037209E-2</v>
      </c>
      <c r="R227">
        <v>-8.7087036874139628E-2</v>
      </c>
      <c r="S227">
        <v>0.10055852001901264</v>
      </c>
      <c r="T227">
        <v>-7.556002331946482E-2</v>
      </c>
      <c r="U227">
        <v>-8.8189535784059178E-2</v>
      </c>
      <c r="V227">
        <v>-8.0955146092505537E-2</v>
      </c>
      <c r="W227">
        <v>-4.1072385665294135E-2</v>
      </c>
      <c r="X227">
        <v>-1.8733137882201319E-2</v>
      </c>
      <c r="Y227">
        <v>-0.21920562374135769</v>
      </c>
      <c r="Z227">
        <v>-0.11427972037926397</v>
      </c>
      <c r="AA227">
        <v>7.9317501584195593E-2</v>
      </c>
      <c r="AB227">
        <v>3.1003029259170489E-2</v>
      </c>
      <c r="AC227">
        <v>2.2924899710563794E-2</v>
      </c>
      <c r="AD227">
        <v>-0.12318933388226778</v>
      </c>
      <c r="AE227">
        <v>7.1058741778598014E-2</v>
      </c>
      <c r="AF227">
        <v>-6.5439087314130256E-2</v>
      </c>
      <c r="AG227">
        <v>-6.9733458190097034E-2</v>
      </c>
      <c r="AH227">
        <v>5.5366791433848553E-2</v>
      </c>
      <c r="AI227">
        <v>2.5200680587010641E-2</v>
      </c>
      <c r="AJ227">
        <v>-2.7604859859561872E-2</v>
      </c>
      <c r="AK227">
        <v>-6.6163316632057573E-2</v>
      </c>
      <c r="AL227">
        <v>6.7330844855734498E-2</v>
      </c>
      <c r="AM227">
        <v>-5.7128616026769781E-2</v>
      </c>
      <c r="AN227">
        <v>5.3079602411602533E-2</v>
      </c>
      <c r="AO227">
        <v>2.3889857913671656E-2</v>
      </c>
      <c r="AP227">
        <v>1.4674484337668487E-2</v>
      </c>
      <c r="AQ227">
        <v>-1.2371767078756464E-2</v>
      </c>
      <c r="AR227">
        <v>-4.6188112131162092E-2</v>
      </c>
      <c r="AS227">
        <v>6.2588637746544287E-2</v>
      </c>
      <c r="AT227">
        <v>4.3609099439907435E-2</v>
      </c>
      <c r="AU227">
        <v>-7.0630733645384358E-2</v>
      </c>
      <c r="AW227">
        <v>0.99999999999999922</v>
      </c>
    </row>
    <row r="228" spans="3:49" x14ac:dyDescent="0.2">
      <c r="C228" t="s">
        <v>10</v>
      </c>
      <c r="D228">
        <v>-0.69577894126729967</v>
      </c>
      <c r="E228">
        <v>-0.17290020994311167</v>
      </c>
      <c r="F228">
        <v>-0.26211970209548391</v>
      </c>
      <c r="G228">
        <v>9.0449368306834386E-3</v>
      </c>
      <c r="H228">
        <v>5.0482910887203518E-2</v>
      </c>
      <c r="I228">
        <v>-0.12467587978033452</v>
      </c>
      <c r="J228">
        <v>0.29149982941836711</v>
      </c>
      <c r="K228">
        <v>0.14838441275228434</v>
      </c>
      <c r="L228">
        <v>1.5588175533958595E-2</v>
      </c>
      <c r="M228">
        <v>-6.6049623121860787E-2</v>
      </c>
      <c r="N228">
        <v>-0.22912075790947173</v>
      </c>
      <c r="O228">
        <v>1.4240980157336033E-2</v>
      </c>
      <c r="P228">
        <v>0.20083129120018098</v>
      </c>
      <c r="Q228">
        <v>0.25470650933446953</v>
      </c>
      <c r="R228">
        <v>-9.8730572091997301E-2</v>
      </c>
      <c r="S228">
        <v>3.5410029398945921E-2</v>
      </c>
      <c r="T228">
        <v>4.3308912706800026E-3</v>
      </c>
      <c r="U228">
        <v>1.9062772220390611E-2</v>
      </c>
      <c r="V228">
        <v>-4.1923349648818886E-2</v>
      </c>
      <c r="W228">
        <v>-0.13593990215459151</v>
      </c>
      <c r="X228">
        <v>0.15072563859272556</v>
      </c>
      <c r="Y228">
        <v>-1.2050841130639575E-2</v>
      </c>
      <c r="Z228">
        <v>-1.4540389527387901E-2</v>
      </c>
      <c r="AA228">
        <v>6.590028121621043E-2</v>
      </c>
      <c r="AB228">
        <v>2.3217929015424438E-2</v>
      </c>
      <c r="AC228">
        <v>0.10152201057850202</v>
      </c>
      <c r="AD228">
        <v>0.10040618342635521</v>
      </c>
      <c r="AE228">
        <v>-4.3176276065788409E-2</v>
      </c>
      <c r="AF228">
        <v>-0.10491252449158157</v>
      </c>
      <c r="AG228">
        <v>-3.592315466158844E-4</v>
      </c>
      <c r="AH228">
        <v>-7.1470893178002939E-2</v>
      </c>
      <c r="AI228">
        <v>-3.6587541074407551E-2</v>
      </c>
      <c r="AJ228">
        <v>-4.0944125899253024E-2</v>
      </c>
      <c r="AK228">
        <v>1.9067527868115313E-2</v>
      </c>
      <c r="AL228">
        <v>3.7598105710335041E-2</v>
      </c>
      <c r="AM228">
        <v>1.1355116601831626E-2</v>
      </c>
      <c r="AN228">
        <v>-4.9185964422160883E-3</v>
      </c>
      <c r="AO228">
        <v>3.5379000659398599E-2</v>
      </c>
      <c r="AP228">
        <v>-2.4643223070715061E-2</v>
      </c>
      <c r="AQ228">
        <v>0.13347185241555182</v>
      </c>
      <c r="AR228">
        <v>2.912178711707435E-2</v>
      </c>
      <c r="AS228">
        <v>-7.7672307339632679E-2</v>
      </c>
      <c r="AT228">
        <v>-1.278250689076656E-2</v>
      </c>
      <c r="AU228">
        <v>-2.0503936565850344E-3</v>
      </c>
      <c r="AW228">
        <v>1.0000000000000056</v>
      </c>
    </row>
    <row r="229" spans="3:49" x14ac:dyDescent="0.2">
      <c r="C229" t="s">
        <v>11</v>
      </c>
      <c r="D229">
        <v>-0.72405651990119901</v>
      </c>
      <c r="E229">
        <v>-0.35821445369019955</v>
      </c>
      <c r="F229">
        <v>7.724712856726712E-2</v>
      </c>
      <c r="G229">
        <v>-4.6737360438990058E-2</v>
      </c>
      <c r="H229">
        <v>0.20342635725297684</v>
      </c>
      <c r="I229">
        <v>0.21001468706278981</v>
      </c>
      <c r="J229">
        <v>0.18022008814293822</v>
      </c>
      <c r="K229">
        <v>4.007261151794031E-2</v>
      </c>
      <c r="L229">
        <v>5.6500561165824338E-2</v>
      </c>
      <c r="M229">
        <v>0.17088583956459485</v>
      </c>
      <c r="N229">
        <v>0.13013982231597188</v>
      </c>
      <c r="O229">
        <v>3.1036198103515079E-2</v>
      </c>
      <c r="P229">
        <v>0.10533968691498523</v>
      </c>
      <c r="Q229">
        <v>-7.8116540710734803E-2</v>
      </c>
      <c r="R229">
        <v>9.439118101441675E-2</v>
      </c>
      <c r="S229">
        <v>-9.5157418450767944E-3</v>
      </c>
      <c r="T229">
        <v>2.8968284134170139E-3</v>
      </c>
      <c r="U229">
        <v>-0.1492090915319868</v>
      </c>
      <c r="V229">
        <v>0.14441903945956547</v>
      </c>
      <c r="W229">
        <v>-6.0143377190203434E-2</v>
      </c>
      <c r="X229">
        <v>-1.9516468148818831E-2</v>
      </c>
      <c r="Y229">
        <v>-1.4593931187170121E-2</v>
      </c>
      <c r="Z229">
        <v>8.6625983826276232E-2</v>
      </c>
      <c r="AA229">
        <v>-5.5965339647082619E-2</v>
      </c>
      <c r="AB229">
        <v>3.256648877276852E-2</v>
      </c>
      <c r="AC229">
        <v>-2.9025096566717135E-2</v>
      </c>
      <c r="AD229">
        <v>8.1361378313448529E-2</v>
      </c>
      <c r="AE229">
        <v>1.1710141887251706E-2</v>
      </c>
      <c r="AF229">
        <v>-3.1684560938356962E-2</v>
      </c>
      <c r="AG229">
        <v>1.3249721740946428E-2</v>
      </c>
      <c r="AH229">
        <v>-4.279113702372743E-2</v>
      </c>
      <c r="AI229">
        <v>8.3877678380020929E-2</v>
      </c>
      <c r="AJ229">
        <v>0.14949870065291504</v>
      </c>
      <c r="AK229">
        <v>2.7294191399808331E-2</v>
      </c>
      <c r="AL229">
        <v>0.16661468841171459</v>
      </c>
      <c r="AM229">
        <v>-3.4505504543253199E-2</v>
      </c>
      <c r="AN229">
        <v>-1.0670171474042388E-2</v>
      </c>
      <c r="AO229">
        <v>8.9473792402626623E-3</v>
      </c>
      <c r="AP229">
        <v>9.0975860923928051E-2</v>
      </c>
      <c r="AQ229">
        <v>-5.3967493906078745E-2</v>
      </c>
      <c r="AR229">
        <v>1.930403227109722E-2</v>
      </c>
      <c r="AS229">
        <v>-3.3983891841973292E-2</v>
      </c>
      <c r="AT229">
        <v>-3.9575787003899771E-2</v>
      </c>
      <c r="AU229">
        <v>-1.5084371970467407E-3</v>
      </c>
      <c r="AW229">
        <v>0.99999999999999833</v>
      </c>
    </row>
    <row r="230" spans="3:49" x14ac:dyDescent="0.2">
      <c r="C230" t="s">
        <v>12</v>
      </c>
      <c r="D230">
        <v>-0.72032249828291506</v>
      </c>
      <c r="E230">
        <v>-0.27455062056924467</v>
      </c>
      <c r="F230">
        <v>8.6271411759147737E-2</v>
      </c>
      <c r="G230">
        <v>0.3594072464376365</v>
      </c>
      <c r="H230">
        <v>0.12465285791669939</v>
      </c>
      <c r="I230">
        <v>-2.3076447914363224E-2</v>
      </c>
      <c r="J230">
        <v>4.8352863929131788E-2</v>
      </c>
      <c r="K230">
        <v>-3.1729145612366859E-2</v>
      </c>
      <c r="L230">
        <v>0.12821907961010684</v>
      </c>
      <c r="M230">
        <v>0.24389709340798207</v>
      </c>
      <c r="N230">
        <v>3.9518137490590292E-2</v>
      </c>
      <c r="O230">
        <v>-9.5306181452006907E-4</v>
      </c>
      <c r="P230">
        <v>0.10041351645149514</v>
      </c>
      <c r="Q230">
        <v>0.13216991107714623</v>
      </c>
      <c r="R230">
        <v>-5.1657085622619857E-2</v>
      </c>
      <c r="S230">
        <v>-7.1222488911909928E-3</v>
      </c>
      <c r="T230">
        <v>7.7179277450804037E-2</v>
      </c>
      <c r="U230">
        <v>9.7993089110710946E-2</v>
      </c>
      <c r="V230">
        <v>-1.345100774072429E-2</v>
      </c>
      <c r="W230">
        <v>-0.15748243970133155</v>
      </c>
      <c r="X230">
        <v>4.9486351293910213E-2</v>
      </c>
      <c r="Y230">
        <v>-3.3428890310437061E-2</v>
      </c>
      <c r="Z230">
        <v>7.475688185967358E-2</v>
      </c>
      <c r="AA230">
        <v>-0.13053814946691386</v>
      </c>
      <c r="AB230">
        <v>-8.2059606537712854E-3</v>
      </c>
      <c r="AC230">
        <v>-0.12606189178207364</v>
      </c>
      <c r="AD230">
        <v>-2.9080822540073464E-2</v>
      </c>
      <c r="AE230">
        <v>-0.1143890001052744</v>
      </c>
      <c r="AF230">
        <v>6.1951391504822834E-3</v>
      </c>
      <c r="AG230">
        <v>-1.0000509942473621E-2</v>
      </c>
      <c r="AH230">
        <v>-5.7651165038983522E-2</v>
      </c>
      <c r="AI230">
        <v>-4.3013622951742804E-2</v>
      </c>
      <c r="AJ230">
        <v>-7.3365248631437729E-2</v>
      </c>
      <c r="AK230">
        <v>7.5007003715660048E-2</v>
      </c>
      <c r="AL230">
        <v>-5.8167502636298829E-2</v>
      </c>
      <c r="AM230">
        <v>2.9318171536454499E-2</v>
      </c>
      <c r="AN230">
        <v>-4.5548551079668889E-2</v>
      </c>
      <c r="AO230">
        <v>-6.5083261236365486E-2</v>
      </c>
      <c r="AP230">
        <v>3.5322628392117673E-2</v>
      </c>
      <c r="AQ230">
        <v>-5.5834817094066701E-3</v>
      </c>
      <c r="AR230">
        <v>7.5724284151859556E-2</v>
      </c>
      <c r="AS230">
        <v>0.10617426459370635</v>
      </c>
      <c r="AT230">
        <v>-4.5225957258418778E-3</v>
      </c>
      <c r="AU230">
        <v>-1.2640203690216239E-2</v>
      </c>
      <c r="AW230">
        <v>1.0000000000000004</v>
      </c>
    </row>
    <row r="231" spans="3:49" x14ac:dyDescent="0.2">
      <c r="C231" t="s">
        <v>13</v>
      </c>
      <c r="D231">
        <v>-0.70708720540225434</v>
      </c>
      <c r="E231">
        <v>-0.23640009854036326</v>
      </c>
      <c r="F231">
        <v>4.6125582652537529E-2</v>
      </c>
      <c r="G231">
        <v>0.17035450265406998</v>
      </c>
      <c r="H231">
        <v>0.21329243772613737</v>
      </c>
      <c r="I231">
        <v>0.23321045640011157</v>
      </c>
      <c r="J231">
        <v>7.1675696267580226E-3</v>
      </c>
      <c r="K231">
        <v>-1.8065124598869136E-3</v>
      </c>
      <c r="L231">
        <v>6.7963784507116431E-2</v>
      </c>
      <c r="M231">
        <v>0.18128862168107338</v>
      </c>
      <c r="N231">
        <v>0.23123327223104864</v>
      </c>
      <c r="O231">
        <v>-7.7676689533725238E-2</v>
      </c>
      <c r="P231">
        <v>-0.1454634731957325</v>
      </c>
      <c r="Q231">
        <v>-4.5154683408621991E-2</v>
      </c>
      <c r="R231">
        <v>9.0964785008772045E-2</v>
      </c>
      <c r="S231">
        <v>3.1147725575463758E-2</v>
      </c>
      <c r="T231">
        <v>-9.4443603655073746E-2</v>
      </c>
      <c r="U231">
        <v>0.14263188969198226</v>
      </c>
      <c r="V231">
        <v>0.29260874886523935</v>
      </c>
      <c r="W231">
        <v>1.9959344277728826E-2</v>
      </c>
      <c r="X231">
        <v>8.6319904409100881E-2</v>
      </c>
      <c r="Y231">
        <v>2.0088906478906394E-2</v>
      </c>
      <c r="Z231">
        <v>3.4643896395532649E-2</v>
      </c>
      <c r="AA231">
        <v>-4.323228148610804E-2</v>
      </c>
      <c r="AB231">
        <v>-3.4432685298713683E-2</v>
      </c>
      <c r="AC231">
        <v>-3.4966166728094265E-2</v>
      </c>
      <c r="AD231">
        <v>-8.9753703992094452E-2</v>
      </c>
      <c r="AE231">
        <v>2.8900982098666192E-2</v>
      </c>
      <c r="AF231">
        <v>-8.0380776010384222E-2</v>
      </c>
      <c r="AG231">
        <v>-2.7544439251673478E-2</v>
      </c>
      <c r="AH231">
        <v>-4.5755093270706142E-2</v>
      </c>
      <c r="AI231">
        <v>-5.4431398353343022E-3</v>
      </c>
      <c r="AJ231">
        <v>-2.4477839782135906E-2</v>
      </c>
      <c r="AK231">
        <v>6.8201610747530228E-2</v>
      </c>
      <c r="AL231">
        <v>-5.3402378674909462E-2</v>
      </c>
      <c r="AM231">
        <v>-9.226210909092928E-3</v>
      </c>
      <c r="AN231">
        <v>7.0397112544720003E-2</v>
      </c>
      <c r="AO231">
        <v>-3.4385857216941963E-2</v>
      </c>
      <c r="AP231">
        <v>-0.1131651812371343</v>
      </c>
      <c r="AQ231">
        <v>1.4570052275943952E-2</v>
      </c>
      <c r="AR231">
        <v>-7.4149743873512558E-2</v>
      </c>
      <c r="AS231">
        <v>-5.9108528489085016E-2</v>
      </c>
      <c r="AT231">
        <v>-2.2318793192109237E-3</v>
      </c>
      <c r="AU231">
        <v>-2.0962908551973605E-2</v>
      </c>
      <c r="AW231">
        <v>1.000000000000002</v>
      </c>
    </row>
    <row r="232" spans="3:49" x14ac:dyDescent="0.2">
      <c r="C232" t="s">
        <v>14</v>
      </c>
      <c r="D232">
        <v>-0.34151869833724718</v>
      </c>
      <c r="E232">
        <v>0.39597877482097626</v>
      </c>
      <c r="F232">
        <v>-0.53928915466571081</v>
      </c>
      <c r="G232">
        <v>-0.26314416219242198</v>
      </c>
      <c r="H232">
        <v>-0.12377761286426153</v>
      </c>
      <c r="I232">
        <v>0.24086886191799878</v>
      </c>
      <c r="J232">
        <v>7.173025864239016E-2</v>
      </c>
      <c r="K232">
        <v>0.14160692112355378</v>
      </c>
      <c r="L232">
        <v>8.9353784477993581E-2</v>
      </c>
      <c r="M232">
        <v>9.4224844177064435E-2</v>
      </c>
      <c r="N232">
        <v>0.2058176546687687</v>
      </c>
      <c r="O232">
        <v>0.18621215062891289</v>
      </c>
      <c r="P232">
        <v>-0.21608468979245754</v>
      </c>
      <c r="Q232">
        <v>5.8636967714525388E-2</v>
      </c>
      <c r="R232">
        <v>-2.0778250839840304E-3</v>
      </c>
      <c r="S232">
        <v>0.13601972361315809</v>
      </c>
      <c r="T232">
        <v>2.6535550873097644E-2</v>
      </c>
      <c r="U232">
        <v>-2.368198149358574E-2</v>
      </c>
      <c r="V232">
        <v>8.2797178202435373E-2</v>
      </c>
      <c r="W232">
        <v>-0.117724478323571</v>
      </c>
      <c r="X232">
        <v>-6.7481289301422429E-2</v>
      </c>
      <c r="Y232">
        <v>-6.7860961334713213E-2</v>
      </c>
      <c r="Z232">
        <v>-4.2658441022817475E-2</v>
      </c>
      <c r="AA232">
        <v>4.8219428216007658E-2</v>
      </c>
      <c r="AB232">
        <v>-0.11689927737268609</v>
      </c>
      <c r="AC232">
        <v>5.6599609127049748E-2</v>
      </c>
      <c r="AD232">
        <v>-8.9205124840723432E-3</v>
      </c>
      <c r="AE232">
        <v>-2.0181348841439337E-2</v>
      </c>
      <c r="AF232">
        <v>8.6034384926513746E-2</v>
      </c>
      <c r="AG232">
        <v>-4.4212721633817002E-2</v>
      </c>
      <c r="AH232">
        <v>9.735550222556133E-2</v>
      </c>
      <c r="AI232">
        <v>-2.9042592149598801E-2</v>
      </c>
      <c r="AJ232">
        <v>5.3112150994512421E-2</v>
      </c>
      <c r="AK232">
        <v>5.5163328062610026E-2</v>
      </c>
      <c r="AL232">
        <v>2.8247230264677767E-2</v>
      </c>
      <c r="AM232">
        <v>9.9996712226207637E-3</v>
      </c>
      <c r="AN232">
        <v>-0.14786402741354354</v>
      </c>
      <c r="AO232">
        <v>-8.0962329043352786E-3</v>
      </c>
      <c r="AP232">
        <v>-3.6159071799493486E-2</v>
      </c>
      <c r="AQ232">
        <v>2.6354296892716129E-2</v>
      </c>
      <c r="AR232">
        <v>5.4324673829404205E-3</v>
      </c>
      <c r="AS232">
        <v>6.3435296509714205E-3</v>
      </c>
      <c r="AT232">
        <v>2.8015750137841786E-2</v>
      </c>
      <c r="AU232">
        <v>-3.9394176622844057E-2</v>
      </c>
      <c r="AW232">
        <v>0.99999999999999734</v>
      </c>
    </row>
    <row r="233" spans="3:49" x14ac:dyDescent="0.2">
      <c r="C233" t="s">
        <v>15</v>
      </c>
      <c r="D233">
        <v>-0.44959928243634889</v>
      </c>
      <c r="E233">
        <v>0.46566197115855174</v>
      </c>
      <c r="F233">
        <v>-0.26063948713312918</v>
      </c>
      <c r="G233">
        <v>-0.33043568018765013</v>
      </c>
      <c r="H233">
        <v>-4.4226333497316014E-2</v>
      </c>
      <c r="I233">
        <v>0.35095479139551594</v>
      </c>
      <c r="J233">
        <v>0.33406431664248504</v>
      </c>
      <c r="K233">
        <v>8.2313578434506665E-2</v>
      </c>
      <c r="L233">
        <v>-1.4617067577630623E-3</v>
      </c>
      <c r="M233">
        <v>-9.56331191350034E-2</v>
      </c>
      <c r="N233">
        <v>2.2661475795877066E-2</v>
      </c>
      <c r="O233">
        <v>-7.0102974263063694E-2</v>
      </c>
      <c r="P233">
        <v>5.6621341609154621E-2</v>
      </c>
      <c r="Q233">
        <v>7.5443975782980205E-2</v>
      </c>
      <c r="R233">
        <v>-4.0321184159411239E-3</v>
      </c>
      <c r="S233">
        <v>1.0277271424110886E-2</v>
      </c>
      <c r="T233">
        <v>-4.6657467016034168E-2</v>
      </c>
      <c r="U233">
        <v>1.627381821207613E-2</v>
      </c>
      <c r="V233">
        <v>-0.10052106169456565</v>
      </c>
      <c r="W233">
        <v>4.3646771185423379E-2</v>
      </c>
      <c r="X233">
        <v>-8.191642658421136E-2</v>
      </c>
      <c r="Y233">
        <v>-0.13174029348911434</v>
      </c>
      <c r="Z233">
        <v>-0.10288949022402305</v>
      </c>
      <c r="AA233">
        <v>6.6215935851945698E-2</v>
      </c>
      <c r="AB233">
        <v>-0.12397770840106717</v>
      </c>
      <c r="AC233">
        <v>-0.13287068739373611</v>
      </c>
      <c r="AD233">
        <v>-0.11221674067066183</v>
      </c>
      <c r="AE233">
        <v>5.2094196553256374E-2</v>
      </c>
      <c r="AF233">
        <v>-1.3343719643979795E-2</v>
      </c>
      <c r="AG233">
        <v>-5.2591526286380794E-2</v>
      </c>
      <c r="AH233">
        <v>-6.571615051319904E-2</v>
      </c>
      <c r="AI233">
        <v>-1.7592147961517618E-2</v>
      </c>
      <c r="AJ233">
        <v>-5.1205950767052866E-2</v>
      </c>
      <c r="AK233">
        <v>5.0161313659184852E-2</v>
      </c>
      <c r="AL233">
        <v>2.446296118726491E-2</v>
      </c>
      <c r="AM233">
        <v>3.3826580663670128E-2</v>
      </c>
      <c r="AN233">
        <v>0.1008229649739851</v>
      </c>
      <c r="AO233">
        <v>-4.6252451397370005E-2</v>
      </c>
      <c r="AP233">
        <v>5.1501424447459775E-2</v>
      </c>
      <c r="AQ233">
        <v>-2.8461620803488002E-2</v>
      </c>
      <c r="AR233">
        <v>3.3908417061000284E-2</v>
      </c>
      <c r="AS233">
        <v>-1.8082787694340602E-2</v>
      </c>
      <c r="AT233">
        <v>1.6834067340513872E-2</v>
      </c>
      <c r="AU233">
        <v>5.4809705708497053E-2</v>
      </c>
      <c r="AW233">
        <v>1.0000000000000011</v>
      </c>
    </row>
    <row r="234" spans="3:49" x14ac:dyDescent="0.2">
      <c r="C234" t="s">
        <v>16</v>
      </c>
      <c r="D234">
        <v>-0.58329028788207238</v>
      </c>
      <c r="E234">
        <v>0.34135979217899648</v>
      </c>
      <c r="F234">
        <v>0.18863114496880448</v>
      </c>
      <c r="G234">
        <v>-8.8248593358608338E-2</v>
      </c>
      <c r="H234">
        <v>-0.13747102656412249</v>
      </c>
      <c r="I234">
        <v>3.1217266796991347E-3</v>
      </c>
      <c r="J234">
        <v>0.35001623645223456</v>
      </c>
      <c r="K234">
        <v>4.7433091351864978E-2</v>
      </c>
      <c r="L234">
        <v>0.16963539298157956</v>
      </c>
      <c r="M234">
        <v>0.2081655401292517</v>
      </c>
      <c r="N234">
        <v>0.19602875478080903</v>
      </c>
      <c r="O234">
        <v>0.16097344676304812</v>
      </c>
      <c r="P234">
        <v>3.7302629762927003E-2</v>
      </c>
      <c r="Q234">
        <v>-6.6424227248217921E-2</v>
      </c>
      <c r="R234">
        <v>-1.3926056041047817E-2</v>
      </c>
      <c r="S234">
        <v>4.6825799852981825E-2</v>
      </c>
      <c r="T234">
        <v>-0.18160513742996656</v>
      </c>
      <c r="U234">
        <v>9.2058234476559864E-2</v>
      </c>
      <c r="V234">
        <v>-0.20665527409671416</v>
      </c>
      <c r="W234">
        <v>2.4390275842012133E-2</v>
      </c>
      <c r="X234">
        <v>-0.13541089129676087</v>
      </c>
      <c r="Y234">
        <v>-4.7869608979441099E-2</v>
      </c>
      <c r="Z234">
        <v>-0.12362407393112083</v>
      </c>
      <c r="AA234">
        <v>-0.12023419129731819</v>
      </c>
      <c r="AB234">
        <v>0.13533516900138906</v>
      </c>
      <c r="AC234">
        <v>0.10479606975104454</v>
      </c>
      <c r="AD234">
        <v>3.881166416485389E-2</v>
      </c>
      <c r="AE234">
        <v>-7.0976367357462128E-2</v>
      </c>
      <c r="AF234">
        <v>1.5216461174044847E-2</v>
      </c>
      <c r="AG234">
        <v>0.10977764986678082</v>
      </c>
      <c r="AH234">
        <v>-8.5273997577346161E-2</v>
      </c>
      <c r="AI234">
        <v>-5.687104248442109E-2</v>
      </c>
      <c r="AJ234">
        <v>5.7403483716693467E-2</v>
      </c>
      <c r="AK234">
        <v>9.7727887073226268E-3</v>
      </c>
      <c r="AL234">
        <v>-7.1583083464249436E-2</v>
      </c>
      <c r="AM234">
        <v>-6.8554187723628882E-2</v>
      </c>
      <c r="AN234">
        <v>1.033106616129012E-2</v>
      </c>
      <c r="AO234">
        <v>4.262587625960064E-2</v>
      </c>
      <c r="AP234">
        <v>-2.1745383586793912E-2</v>
      </c>
      <c r="AQ234">
        <v>-1.4841433226804077E-2</v>
      </c>
      <c r="AR234">
        <v>-4.0647593469707095E-2</v>
      </c>
      <c r="AS234">
        <v>1.3350261534491622E-2</v>
      </c>
      <c r="AT234">
        <v>-6.7555197622568928E-3</v>
      </c>
      <c r="AU234">
        <v>1.0344462715935586E-2</v>
      </c>
      <c r="AW234">
        <v>0.99999999999999611</v>
      </c>
    </row>
    <row r="235" spans="3:49" x14ac:dyDescent="0.2">
      <c r="C235" t="s">
        <v>17</v>
      </c>
      <c r="D235">
        <v>-0.34409801252149641</v>
      </c>
      <c r="E235">
        <v>0.43444691350593945</v>
      </c>
      <c r="F235">
        <v>-0.1528849001988411</v>
      </c>
      <c r="G235">
        <v>-0.37190690964150175</v>
      </c>
      <c r="H235">
        <v>6.8493623401092385E-2</v>
      </c>
      <c r="I235">
        <v>0.17760462148192921</v>
      </c>
      <c r="J235">
        <v>0.43993896079350642</v>
      </c>
      <c r="K235">
        <v>-6.8611159042667472E-2</v>
      </c>
      <c r="L235">
        <v>-0.27408564488928222</v>
      </c>
      <c r="M235">
        <v>-3.9140001245168456E-2</v>
      </c>
      <c r="N235">
        <v>-2.78135444687829E-2</v>
      </c>
      <c r="O235">
        <v>-0.14520382829412395</v>
      </c>
      <c r="P235">
        <v>3.8662586498639386E-2</v>
      </c>
      <c r="Q235">
        <v>5.8296801065878485E-2</v>
      </c>
      <c r="R235">
        <v>-0.22588893680472488</v>
      </c>
      <c r="S235">
        <v>-1.9640583560571728E-2</v>
      </c>
      <c r="T235">
        <v>9.7308978629932499E-2</v>
      </c>
      <c r="U235">
        <v>7.1490075755143892E-2</v>
      </c>
      <c r="V235">
        <v>2.0407796498188729E-2</v>
      </c>
      <c r="W235">
        <v>3.238586332887148E-2</v>
      </c>
      <c r="X235">
        <v>0.11485328058196669</v>
      </c>
      <c r="Y235">
        <v>0.12525249270882163</v>
      </c>
      <c r="Z235">
        <v>0.18502382451398205</v>
      </c>
      <c r="AA235">
        <v>-7.5977685866258624E-2</v>
      </c>
      <c r="AB235">
        <v>8.373940090750602E-2</v>
      </c>
      <c r="AC235">
        <v>4.5085030958959403E-2</v>
      </c>
      <c r="AD235">
        <v>-0.11942916022121924</v>
      </c>
      <c r="AE235">
        <v>6.2462530227150044E-2</v>
      </c>
      <c r="AF235">
        <v>-1.0729422435109591E-2</v>
      </c>
      <c r="AG235">
        <v>3.2503932896246396E-2</v>
      </c>
      <c r="AH235">
        <v>4.1801259601631391E-2</v>
      </c>
      <c r="AI235">
        <v>9.5175244044903726E-2</v>
      </c>
      <c r="AJ235">
        <v>-7.9606080180888827E-2</v>
      </c>
      <c r="AK235">
        <v>-3.0319258286461804E-2</v>
      </c>
      <c r="AL235">
        <v>-1.6137895102494668E-2</v>
      </c>
      <c r="AM235">
        <v>-5.0870923539577298E-2</v>
      </c>
      <c r="AN235">
        <v>-3.8075611049502675E-2</v>
      </c>
      <c r="AO235">
        <v>2.3456868286568802E-2</v>
      </c>
      <c r="AP235">
        <v>3.5896797663603812E-2</v>
      </c>
      <c r="AQ235">
        <v>-9.9648361848734719E-3</v>
      </c>
      <c r="AR235">
        <v>-4.6266600359137128E-2</v>
      </c>
      <c r="AS235">
        <v>3.5764541942446125E-2</v>
      </c>
      <c r="AT235">
        <v>-9.3633210991404259E-3</v>
      </c>
      <c r="AU235">
        <v>-2.7197851598844199E-2</v>
      </c>
      <c r="AW235">
        <v>0.99999999999999767</v>
      </c>
    </row>
    <row r="236" spans="3:49" x14ac:dyDescent="0.2">
      <c r="C236" t="s">
        <v>18</v>
      </c>
      <c r="D236">
        <v>-0.40214932374452311</v>
      </c>
      <c r="E236">
        <v>3.3870871069750501E-2</v>
      </c>
      <c r="F236">
        <v>-0.25442792605372733</v>
      </c>
      <c r="G236">
        <v>0.21191655774963872</v>
      </c>
      <c r="H236">
        <v>-0.15743956400055062</v>
      </c>
      <c r="I236">
        <v>-0.40454375595206549</v>
      </c>
      <c r="J236">
        <v>0.13486996320154668</v>
      </c>
      <c r="K236">
        <v>0.21664474609811485</v>
      </c>
      <c r="L236">
        <v>-0.27756601243522677</v>
      </c>
      <c r="M236">
        <v>0.27699160417764052</v>
      </c>
      <c r="N236">
        <v>0.15550233102936251</v>
      </c>
      <c r="O236">
        <v>0.11275539008521263</v>
      </c>
      <c r="P236">
        <v>-5.9612261492518547E-2</v>
      </c>
      <c r="Q236">
        <v>-0.29733646785171164</v>
      </c>
      <c r="R236">
        <v>-0.28133629270896165</v>
      </c>
      <c r="S236">
        <v>5.7970434220394822E-2</v>
      </c>
      <c r="T236">
        <v>-2.8381265851271237E-2</v>
      </c>
      <c r="U236">
        <v>-9.6798125139992752E-2</v>
      </c>
      <c r="V236">
        <v>-4.1636125141202858E-2</v>
      </c>
      <c r="W236">
        <v>5.3294479008791681E-2</v>
      </c>
      <c r="X236">
        <v>-3.3094905633281727E-2</v>
      </c>
      <c r="Y236">
        <v>0.1822966970186608</v>
      </c>
      <c r="Z236">
        <v>-8.2363256860127857E-3</v>
      </c>
      <c r="AA236">
        <v>-6.0738036654505063E-2</v>
      </c>
      <c r="AB236">
        <v>-8.8991338025403058E-2</v>
      </c>
      <c r="AC236">
        <v>-6.7822363122254911E-2</v>
      </c>
      <c r="AD236">
        <v>0.11455442232571413</v>
      </c>
      <c r="AE236">
        <v>9.4914088231552188E-2</v>
      </c>
      <c r="AF236">
        <v>-7.0856359347394177E-2</v>
      </c>
      <c r="AG236">
        <v>-8.0382963928058229E-2</v>
      </c>
      <c r="AH236">
        <v>4.389301751862814E-2</v>
      </c>
      <c r="AI236">
        <v>8.5807584492661459E-3</v>
      </c>
      <c r="AJ236">
        <v>-1.0516336197895304E-2</v>
      </c>
      <c r="AK236">
        <v>2.7933717318772852E-2</v>
      </c>
      <c r="AL236">
        <v>2.4238725924624727E-2</v>
      </c>
      <c r="AM236">
        <v>-1.7544313667936587E-2</v>
      </c>
      <c r="AN236">
        <v>5.3473896263381358E-2</v>
      </c>
      <c r="AO236">
        <v>8.0586545467904551E-3</v>
      </c>
      <c r="AP236">
        <v>-2.4783886902002842E-2</v>
      </c>
      <c r="AQ236">
        <v>2.0000846903727301E-2</v>
      </c>
      <c r="AR236">
        <v>2.7694499138355901E-2</v>
      </c>
      <c r="AS236">
        <v>2.5478955687781042E-2</v>
      </c>
      <c r="AT236">
        <v>2.2562847951995382E-2</v>
      </c>
      <c r="AU236">
        <v>1.2916116580719427E-2</v>
      </c>
      <c r="AW236">
        <v>1.0000000000000064</v>
      </c>
    </row>
    <row r="237" spans="3:49" x14ac:dyDescent="0.2">
      <c r="C237" t="s">
        <v>19</v>
      </c>
      <c r="D237">
        <v>-0.5815240895027507</v>
      </c>
      <c r="E237">
        <v>0.12387936875920999</v>
      </c>
      <c r="F237">
        <v>0.29706663640159053</v>
      </c>
      <c r="G237">
        <v>0.18091931350653162</v>
      </c>
      <c r="H237">
        <v>-0.22320768854403542</v>
      </c>
      <c r="I237">
        <v>0.3380017377372907</v>
      </c>
      <c r="J237">
        <v>-0.23359938616134487</v>
      </c>
      <c r="K237">
        <v>0.18839679240982007</v>
      </c>
      <c r="L237">
        <v>0.22827896108465978</v>
      </c>
      <c r="M237">
        <v>-6.4962875061714512E-2</v>
      </c>
      <c r="N237">
        <v>6.0305940115409511E-2</v>
      </c>
      <c r="O237">
        <v>0.16457687087522158</v>
      </c>
      <c r="P237">
        <v>-3.416144700181134E-2</v>
      </c>
      <c r="Q237">
        <v>-9.0408698933931012E-2</v>
      </c>
      <c r="R237">
        <v>-0.11634050559415544</v>
      </c>
      <c r="S237">
        <v>-7.0654366957219345E-3</v>
      </c>
      <c r="T237">
        <v>0.21833846941076421</v>
      </c>
      <c r="U237">
        <v>-5.5647255148448149E-2</v>
      </c>
      <c r="V237">
        <v>-0.11015587662253802</v>
      </c>
      <c r="W237">
        <v>4.079517149663154E-2</v>
      </c>
      <c r="X237">
        <v>6.3818825110080968E-2</v>
      </c>
      <c r="Y237">
        <v>9.5971584367201282E-2</v>
      </c>
      <c r="Z237">
        <v>-4.7071649900422265E-2</v>
      </c>
      <c r="AA237">
        <v>-4.6414218051271737E-2</v>
      </c>
      <c r="AB237">
        <v>0.14749719094710251</v>
      </c>
      <c r="AC237">
        <v>-1.2990821708415897E-2</v>
      </c>
      <c r="AD237">
        <v>1.9281031122529997E-2</v>
      </c>
      <c r="AE237">
        <v>1.0372669860803608E-2</v>
      </c>
      <c r="AF237">
        <v>4.368406769409014E-2</v>
      </c>
      <c r="AG237">
        <v>3.472326135349018E-3</v>
      </c>
      <c r="AH237">
        <v>0.10296397903586603</v>
      </c>
      <c r="AI237">
        <v>-7.8817162870058743E-2</v>
      </c>
      <c r="AJ237">
        <v>-0.14472627322706269</v>
      </c>
      <c r="AK237">
        <v>4.1441852548184971E-2</v>
      </c>
      <c r="AL237">
        <v>6.9378309802908086E-2</v>
      </c>
      <c r="AM237">
        <v>-3.2207610891660264E-2</v>
      </c>
      <c r="AN237">
        <v>-1.1343605372416475E-3</v>
      </c>
      <c r="AO237">
        <v>-5.9733625863265888E-2</v>
      </c>
      <c r="AP237">
        <v>2.3264788034006167E-2</v>
      </c>
      <c r="AQ237">
        <v>-6.9599455567457124E-3</v>
      </c>
      <c r="AR237">
        <v>-1.1894823550749918E-2</v>
      </c>
      <c r="AS237">
        <v>-6.7256104863947022E-2</v>
      </c>
      <c r="AT237">
        <v>-2.6252909603243287E-2</v>
      </c>
      <c r="AU237">
        <v>3.1521873676355235E-3</v>
      </c>
      <c r="AW237">
        <v>0.99999999999999678</v>
      </c>
    </row>
    <row r="238" spans="3:49" x14ac:dyDescent="0.2">
      <c r="C238" t="s">
        <v>20</v>
      </c>
      <c r="D238">
        <v>-0.53827914783113917</v>
      </c>
      <c r="E238">
        <v>0.33579546250241271</v>
      </c>
      <c r="F238">
        <v>0.45262562450388633</v>
      </c>
      <c r="G238">
        <v>-7.2898082620718826E-2</v>
      </c>
      <c r="H238">
        <v>-0.13989770000043389</v>
      </c>
      <c r="I238">
        <v>0.14597454491034687</v>
      </c>
      <c r="J238">
        <v>-0.1658502623020027</v>
      </c>
      <c r="K238">
        <v>0.23872604141533674</v>
      </c>
      <c r="L238">
        <v>0.1770364051993864</v>
      </c>
      <c r="M238">
        <v>-0.11519929824794589</v>
      </c>
      <c r="N238">
        <v>-6.1997365386218417E-2</v>
      </c>
      <c r="O238">
        <v>0.11684807595285018</v>
      </c>
      <c r="P238">
        <v>0.11266505067874776</v>
      </c>
      <c r="Q238">
        <v>2.0523815323113166E-2</v>
      </c>
      <c r="R238">
        <v>-2.5327508913283496E-2</v>
      </c>
      <c r="S238">
        <v>7.5911667775399344E-2</v>
      </c>
      <c r="T238">
        <v>8.6042844125223478E-2</v>
      </c>
      <c r="U238">
        <v>-0.18918954594598533</v>
      </c>
      <c r="V238">
        <v>-5.7721137361264954E-2</v>
      </c>
      <c r="W238">
        <v>5.9681961218098468E-2</v>
      </c>
      <c r="X238">
        <v>0.10589313936246321</v>
      </c>
      <c r="Y238">
        <v>0.13036110786944324</v>
      </c>
      <c r="Z238">
        <v>2.8213165018338211E-2</v>
      </c>
      <c r="AA238">
        <v>0.15639221166221456</v>
      </c>
      <c r="AB238">
        <v>-0.13992050391097374</v>
      </c>
      <c r="AC238">
        <v>1.48469119886441E-2</v>
      </c>
      <c r="AD238">
        <v>2.3614135066831046E-2</v>
      </c>
      <c r="AE238">
        <v>9.5488229555881144E-5</v>
      </c>
      <c r="AF238">
        <v>-5.4592590179207104E-2</v>
      </c>
      <c r="AG238">
        <v>-2.5272327298193605E-5</v>
      </c>
      <c r="AH238">
        <v>-6.0458401099342057E-2</v>
      </c>
      <c r="AI238">
        <v>0.108415149895596</v>
      </c>
      <c r="AJ238">
        <v>8.1606327278792912E-2</v>
      </c>
      <c r="AK238">
        <v>9.8801361251726491E-2</v>
      </c>
      <c r="AL238">
        <v>-0.13475150159471608</v>
      </c>
      <c r="AM238">
        <v>1.9127338814237463E-3</v>
      </c>
      <c r="AN238">
        <v>1.1494989962190312E-2</v>
      </c>
      <c r="AO238">
        <v>1.2453028781515375E-2</v>
      </c>
      <c r="AP238">
        <v>1.6588582266290453E-2</v>
      </c>
      <c r="AQ238">
        <v>4.4553387034261703E-3</v>
      </c>
      <c r="AR238">
        <v>-1.8305656305254214E-2</v>
      </c>
      <c r="AS238">
        <v>3.5146831400807134E-2</v>
      </c>
      <c r="AT238">
        <v>-2.8095632498708216E-2</v>
      </c>
      <c r="AU238">
        <v>-2.2048360545417367E-2</v>
      </c>
      <c r="AW238">
        <v>0.99999999999999645</v>
      </c>
    </row>
    <row r="239" spans="3:49" x14ac:dyDescent="0.2">
      <c r="C239" t="s">
        <v>21</v>
      </c>
      <c r="D239">
        <v>-0.50871239760795361</v>
      </c>
      <c r="E239">
        <v>0.51975768065284778</v>
      </c>
      <c r="F239">
        <v>0.20195952821614438</v>
      </c>
      <c r="G239">
        <v>0.1669019357467571</v>
      </c>
      <c r="H239">
        <v>-0.18896445959816227</v>
      </c>
      <c r="I239">
        <v>0.29036570184636012</v>
      </c>
      <c r="J239">
        <v>-4.3450112720560513E-2</v>
      </c>
      <c r="K239">
        <v>0.18198645863280197</v>
      </c>
      <c r="L239">
        <v>4.1122171148229442E-2</v>
      </c>
      <c r="M239">
        <v>4.6635427937753951E-2</v>
      </c>
      <c r="N239">
        <v>-0.14762991802617495</v>
      </c>
      <c r="O239">
        <v>-8.4825815811081118E-2</v>
      </c>
      <c r="P239">
        <v>9.3716246235628478E-2</v>
      </c>
      <c r="Q239">
        <v>-5.5313560575652246E-3</v>
      </c>
      <c r="R239">
        <v>0.26355325626006709</v>
      </c>
      <c r="S239">
        <v>-8.5567406231805546E-2</v>
      </c>
      <c r="T239">
        <v>0.15474799807745224</v>
      </c>
      <c r="U239">
        <v>-8.3445314538324752E-2</v>
      </c>
      <c r="V239">
        <v>8.6007707303431043E-3</v>
      </c>
      <c r="W239">
        <v>-7.1201964894272288E-2</v>
      </c>
      <c r="X239">
        <v>-5.7138852419286575E-2</v>
      </c>
      <c r="Y239">
        <v>3.347928802381528E-3</v>
      </c>
      <c r="Z239">
        <v>0.17062567783158802</v>
      </c>
      <c r="AA239">
        <v>-0.12446961802259598</v>
      </c>
      <c r="AB239">
        <v>-1.7213048682094274E-3</v>
      </c>
      <c r="AC239">
        <v>-4.8819313701707792E-2</v>
      </c>
      <c r="AD239">
        <v>5.8755141845515044E-2</v>
      </c>
      <c r="AE239">
        <v>-1.3338950438970985E-2</v>
      </c>
      <c r="AF239">
        <v>1.604009445466607E-2</v>
      </c>
      <c r="AG239">
        <v>-8.1199619277604981E-2</v>
      </c>
      <c r="AH239">
        <v>-3.4524120975968922E-2</v>
      </c>
      <c r="AI239">
        <v>-2.3861421404601967E-2</v>
      </c>
      <c r="AJ239">
        <v>2.9787611249950156E-2</v>
      </c>
      <c r="AK239">
        <v>-0.11619472479925742</v>
      </c>
      <c r="AL239">
        <v>1.7077108501936455E-2</v>
      </c>
      <c r="AM239">
        <v>-1.335046301274012E-2</v>
      </c>
      <c r="AN239">
        <v>1.900582503850835E-2</v>
      </c>
      <c r="AO239">
        <v>4.3254420034617463E-2</v>
      </c>
      <c r="AP239">
        <v>-4.1326437181318516E-2</v>
      </c>
      <c r="AQ239">
        <v>5.7950441513073443E-2</v>
      </c>
      <c r="AR239">
        <v>-2.3853495664543971E-2</v>
      </c>
      <c r="AS239">
        <v>2.1820726922396363E-2</v>
      </c>
      <c r="AT239">
        <v>8.1201485023583625E-2</v>
      </c>
      <c r="AU239">
        <v>2.4128340343433231E-2</v>
      </c>
      <c r="AW239">
        <v>0.99999999999999745</v>
      </c>
    </row>
    <row r="240" spans="3:49" x14ac:dyDescent="0.2">
      <c r="C240" t="s">
        <v>22</v>
      </c>
      <c r="D240">
        <v>-0.43509948159366552</v>
      </c>
      <c r="E240">
        <v>0.51953566782564009</v>
      </c>
      <c r="F240">
        <v>-3.7808890574312436E-2</v>
      </c>
      <c r="G240">
        <v>0.21839119043472824</v>
      </c>
      <c r="H240">
        <v>-7.0678504233334258E-2</v>
      </c>
      <c r="I240">
        <v>-0.17473001104625613</v>
      </c>
      <c r="J240">
        <v>-0.14524172667383073</v>
      </c>
      <c r="K240">
        <v>0.11244162730892646</v>
      </c>
      <c r="L240">
        <v>-3.1399951310215536E-2</v>
      </c>
      <c r="M240">
        <v>-8.2016087124786238E-2</v>
      </c>
      <c r="N240">
        <v>-0.15727323888723932</v>
      </c>
      <c r="O240">
        <v>-0.14996571149608465</v>
      </c>
      <c r="P240">
        <v>-0.20258698769172265</v>
      </c>
      <c r="Q240">
        <v>-0.26351162904332992</v>
      </c>
      <c r="R240">
        <v>-0.24711996611100373</v>
      </c>
      <c r="S240">
        <v>-0.14455164623603872</v>
      </c>
      <c r="T240">
        <v>8.3173280525618898E-2</v>
      </c>
      <c r="U240">
        <v>0.17963632233415097</v>
      </c>
      <c r="V240">
        <v>-8.6340870617724105E-3</v>
      </c>
      <c r="W240">
        <v>-0.12496936958313483</v>
      </c>
      <c r="X240">
        <v>6.8243395392825618E-2</v>
      </c>
      <c r="Y240">
        <v>-0.26217535110055423</v>
      </c>
      <c r="Z240">
        <v>5.5547848904417135E-2</v>
      </c>
      <c r="AA240">
        <v>-4.460961295216892E-2</v>
      </c>
      <c r="AB240">
        <v>-3.2571209343663578E-3</v>
      </c>
      <c r="AC240">
        <v>1.9836114572845481E-2</v>
      </c>
      <c r="AD240">
        <v>-3.3108476287405438E-2</v>
      </c>
      <c r="AE240">
        <v>-0.12368728575380757</v>
      </c>
      <c r="AF240">
        <v>-3.0755643897889697E-4</v>
      </c>
      <c r="AG240">
        <v>-2.4434510324620538E-2</v>
      </c>
      <c r="AH240">
        <v>5.1049421596714627E-2</v>
      </c>
      <c r="AI240">
        <v>3.1856115719240609E-2</v>
      </c>
      <c r="AJ240">
        <v>8.8279843366511637E-2</v>
      </c>
      <c r="AK240">
        <v>5.7259338083548765E-2</v>
      </c>
      <c r="AL240">
        <v>1.8306601316093653E-3</v>
      </c>
      <c r="AM240">
        <v>5.043367041230512E-2</v>
      </c>
      <c r="AN240">
        <v>4.4763087950879653E-2</v>
      </c>
      <c r="AO240">
        <v>4.2061257430833207E-2</v>
      </c>
      <c r="AP240">
        <v>3.4207043388617339E-2</v>
      </c>
      <c r="AQ240">
        <v>-6.0621220648675901E-3</v>
      </c>
      <c r="AR240">
        <v>-2.7319594846333856E-2</v>
      </c>
      <c r="AS240">
        <v>-2.6167319402287698E-2</v>
      </c>
      <c r="AT240">
        <v>-2.4626986839679444E-2</v>
      </c>
      <c r="AU240">
        <v>1.2462786098193361E-3</v>
      </c>
      <c r="AW240">
        <v>1.0000000000000029</v>
      </c>
    </row>
    <row r="241" spans="3:49" x14ac:dyDescent="0.2">
      <c r="C241" t="s">
        <v>23</v>
      </c>
      <c r="D241">
        <v>-0.38929391293835486</v>
      </c>
      <c r="E241">
        <v>0.43568867601895317</v>
      </c>
      <c r="F241">
        <v>0.54909683911816776</v>
      </c>
      <c r="G241">
        <v>-4.787170110016014E-3</v>
      </c>
      <c r="H241">
        <v>5.7887154391730138E-2</v>
      </c>
      <c r="I241">
        <v>-6.7673736820987082E-2</v>
      </c>
      <c r="J241">
        <v>-4.2672507868318485E-2</v>
      </c>
      <c r="K241">
        <v>3.0225608516896197E-2</v>
      </c>
      <c r="L241">
        <v>-0.24239389221178745</v>
      </c>
      <c r="M241">
        <v>5.8756825066636771E-2</v>
      </c>
      <c r="N241">
        <v>-0.18993239161406775</v>
      </c>
      <c r="O241">
        <v>2.2882360867375183E-2</v>
      </c>
      <c r="P241">
        <v>-2.4486915363942777E-2</v>
      </c>
      <c r="Q241">
        <v>5.211184304758984E-2</v>
      </c>
      <c r="R241">
        <v>-0.10941278726266944</v>
      </c>
      <c r="S241">
        <v>8.314653917225695E-2</v>
      </c>
      <c r="T241">
        <v>-0.30300967881059099</v>
      </c>
      <c r="U241">
        <v>8.8334234498928355E-2</v>
      </c>
      <c r="V241">
        <v>-5.2019832590971069E-3</v>
      </c>
      <c r="W241">
        <v>-5.2427254259514014E-2</v>
      </c>
      <c r="X241">
        <v>0.19686643636792783</v>
      </c>
      <c r="Y241">
        <v>-2.5006879582053866E-2</v>
      </c>
      <c r="Z241">
        <v>6.9276484419392131E-2</v>
      </c>
      <c r="AA241">
        <v>0.12688247096515384</v>
      </c>
      <c r="AB241">
        <v>1.225772913609866E-2</v>
      </c>
      <c r="AC241">
        <v>-8.4407482760906691E-2</v>
      </c>
      <c r="AD241">
        <v>3.4319174715854252E-2</v>
      </c>
      <c r="AE241">
        <v>4.1884783389788023E-2</v>
      </c>
      <c r="AF241">
        <v>0.15589286054372614</v>
      </c>
      <c r="AG241">
        <v>-5.2106420544939108E-2</v>
      </c>
      <c r="AH241">
        <v>-4.8422606472338307E-2</v>
      </c>
      <c r="AI241">
        <v>-4.8463929367319108E-2</v>
      </c>
      <c r="AJ241">
        <v>3.0010703596115549E-2</v>
      </c>
      <c r="AK241">
        <v>-2.4159075714113309E-2</v>
      </c>
      <c r="AL241">
        <v>4.6583271505026509E-2</v>
      </c>
      <c r="AM241">
        <v>-7.8253386326046767E-2</v>
      </c>
      <c r="AN241">
        <v>-4.7174554557499151E-2</v>
      </c>
      <c r="AO241">
        <v>-4.2163526198739587E-2</v>
      </c>
      <c r="AP241">
        <v>-6.0636671668854267E-2</v>
      </c>
      <c r="AQ241">
        <v>-4.6181668314799799E-2</v>
      </c>
      <c r="AR241">
        <v>2.8350018952469292E-2</v>
      </c>
      <c r="AS241">
        <v>-1.3114164199439782E-2</v>
      </c>
      <c r="AT241">
        <v>-8.6862362374695093E-3</v>
      </c>
      <c r="AU241">
        <v>1.384733946908444E-2</v>
      </c>
      <c r="AW241">
        <v>0.99999999999999356</v>
      </c>
    </row>
    <row r="242" spans="3:49" x14ac:dyDescent="0.2">
      <c r="C242" t="s">
        <v>24</v>
      </c>
      <c r="D242">
        <v>-0.1777296669691823</v>
      </c>
      <c r="E242">
        <v>0.29693027956260171</v>
      </c>
      <c r="F242">
        <v>0.23651967465278737</v>
      </c>
      <c r="G242">
        <v>-0.1075039650937285</v>
      </c>
      <c r="H242">
        <v>0.21412707922557095</v>
      </c>
      <c r="I242">
        <v>0.23204472852677885</v>
      </c>
      <c r="J242">
        <v>-0.34671869470405292</v>
      </c>
      <c r="K242">
        <v>-0.19842004350828546</v>
      </c>
      <c r="L242">
        <v>-0.3267300985710675</v>
      </c>
      <c r="M242">
        <v>0.18885955870206494</v>
      </c>
      <c r="N242">
        <v>0.28827382284412434</v>
      </c>
      <c r="O242">
        <v>-4.3120616898188226E-2</v>
      </c>
      <c r="P242">
        <v>0.23935056585482153</v>
      </c>
      <c r="Q242">
        <v>0.17118664021224411</v>
      </c>
      <c r="R242">
        <v>-0.35405282367974372</v>
      </c>
      <c r="S242">
        <v>-5.7936257672189483E-2</v>
      </c>
      <c r="T242">
        <v>1.3259209796131521E-2</v>
      </c>
      <c r="U242">
        <v>-0.19109997870884896</v>
      </c>
      <c r="V242">
        <v>0.12122750754431101</v>
      </c>
      <c r="W242">
        <v>-6.5831965521581742E-2</v>
      </c>
      <c r="X242">
        <v>-0.1283589605945599</v>
      </c>
      <c r="Y242">
        <v>-1.8136948700427438E-2</v>
      </c>
      <c r="Z242">
        <v>-1.8030382314389453E-2</v>
      </c>
      <c r="AA242">
        <v>2.0496246594060616E-2</v>
      </c>
      <c r="AB242">
        <v>5.8240828331735956E-3</v>
      </c>
      <c r="AC242">
        <v>0.12747608756884116</v>
      </c>
      <c r="AD242">
        <v>-1.6342909505892133E-2</v>
      </c>
      <c r="AE242">
        <v>-4.2408289623202436E-2</v>
      </c>
      <c r="AF242">
        <v>-1.9558700941891251E-2</v>
      </c>
      <c r="AG242">
        <v>-1.33526915281131E-2</v>
      </c>
      <c r="AH242">
        <v>6.1333886502276478E-3</v>
      </c>
      <c r="AI242">
        <v>-9.874844887600126E-2</v>
      </c>
      <c r="AJ242">
        <v>2.8241346235640275E-2</v>
      </c>
      <c r="AK242">
        <v>-5.4139132723317961E-2</v>
      </c>
      <c r="AL242">
        <v>-2.7962844974180372E-2</v>
      </c>
      <c r="AM242">
        <v>4.6283538591564012E-2</v>
      </c>
      <c r="AN242">
        <v>4.1331484888666621E-2</v>
      </c>
      <c r="AO242">
        <v>-1.3562376911484795E-3</v>
      </c>
      <c r="AP242">
        <v>2.7998427455318774E-3</v>
      </c>
      <c r="AQ242">
        <v>8.4359310638608114E-3</v>
      </c>
      <c r="AR242">
        <v>1.6197572365915045E-2</v>
      </c>
      <c r="AS242">
        <v>-7.6357949562623154E-3</v>
      </c>
      <c r="AT242">
        <v>-5.2796324386378346E-3</v>
      </c>
      <c r="AU242">
        <v>4.0364371443844171E-3</v>
      </c>
      <c r="AW242">
        <v>0.99999999999999889</v>
      </c>
    </row>
    <row r="243" spans="3:49" x14ac:dyDescent="0.2">
      <c r="C243" t="s">
        <v>25</v>
      </c>
      <c r="D243">
        <v>-0.62998066192640989</v>
      </c>
      <c r="E243">
        <v>0.24758868493225947</v>
      </c>
      <c r="F243">
        <v>0.16265453363457311</v>
      </c>
      <c r="G243">
        <v>-0.21700551246660107</v>
      </c>
      <c r="H243">
        <v>0.21502906600749902</v>
      </c>
      <c r="I243">
        <v>-1.1396156804424358E-3</v>
      </c>
      <c r="J243">
        <v>-0.28304699558105251</v>
      </c>
      <c r="K243">
        <v>0.16739532388975614</v>
      </c>
      <c r="L243">
        <v>8.4098048455422209E-2</v>
      </c>
      <c r="M243">
        <v>-0.14325132675073679</v>
      </c>
      <c r="N243">
        <v>0.12476771341575429</v>
      </c>
      <c r="O243">
        <v>-7.0634564080070406E-2</v>
      </c>
      <c r="P243">
        <v>-9.2099305271206772E-2</v>
      </c>
      <c r="Q243">
        <v>9.4000968115162203E-2</v>
      </c>
      <c r="R243">
        <v>-6.165268351997244E-2</v>
      </c>
      <c r="S243">
        <v>-0.24858841473995993</v>
      </c>
      <c r="T243">
        <v>-0.22403480149090282</v>
      </c>
      <c r="U243">
        <v>9.3868639612832039E-2</v>
      </c>
      <c r="V243">
        <v>9.9835723793580619E-2</v>
      </c>
      <c r="W243">
        <v>7.7432136497622608E-2</v>
      </c>
      <c r="X243">
        <v>-8.2466280943500989E-2</v>
      </c>
      <c r="Y243">
        <v>2.4033963547001828E-3</v>
      </c>
      <c r="Z243">
        <v>-7.6630721727929008E-2</v>
      </c>
      <c r="AA243">
        <v>-3.751335491266581E-2</v>
      </c>
      <c r="AB243">
        <v>-9.5373666535002663E-2</v>
      </c>
      <c r="AC243">
        <v>-4.0778886898257309E-2</v>
      </c>
      <c r="AD243">
        <v>0.14891410074894995</v>
      </c>
      <c r="AE243">
        <v>-7.2416325260874242E-2</v>
      </c>
      <c r="AF243">
        <v>-1.6212037819476013E-2</v>
      </c>
      <c r="AG243">
        <v>0.10892125326786112</v>
      </c>
      <c r="AH243">
        <v>1.0969669591117241E-3</v>
      </c>
      <c r="AI243">
        <v>0.13593356226755188</v>
      </c>
      <c r="AJ243">
        <v>-0.1325243140636094</v>
      </c>
      <c r="AK243">
        <v>-9.1743710562425355E-3</v>
      </c>
      <c r="AL243">
        <v>5.7618984726507755E-2</v>
      </c>
      <c r="AM243">
        <v>-2.3436659602946368E-2</v>
      </c>
      <c r="AN243">
        <v>-1.7452571419471173E-2</v>
      </c>
      <c r="AO243">
        <v>3.5811674464324823E-2</v>
      </c>
      <c r="AP243">
        <v>4.8919151588669363E-3</v>
      </c>
      <c r="AQ243">
        <v>1.8778332805770383E-2</v>
      </c>
      <c r="AR243">
        <v>1.8812624540036092E-2</v>
      </c>
      <c r="AS243">
        <v>1.7156354517494869E-2</v>
      </c>
      <c r="AT243">
        <v>2.8356946022904821E-2</v>
      </c>
      <c r="AU243">
        <v>-8.1900586979206345E-3</v>
      </c>
      <c r="AW243">
        <v>0.999999999999997</v>
      </c>
    </row>
    <row r="244" spans="3:49" x14ac:dyDescent="0.2">
      <c r="C244" t="s">
        <v>26</v>
      </c>
      <c r="D244">
        <v>-0.60582737857038571</v>
      </c>
      <c r="E244">
        <v>0.31082032875400667</v>
      </c>
      <c r="F244">
        <v>0.11828043284357853</v>
      </c>
      <c r="G244">
        <v>0.22580609912060393</v>
      </c>
      <c r="H244">
        <v>0.10471744954870563</v>
      </c>
      <c r="I244">
        <v>-0.2735668991084188</v>
      </c>
      <c r="J244">
        <v>8.6199059184322843E-2</v>
      </c>
      <c r="K244">
        <v>1.0377819806377246E-4</v>
      </c>
      <c r="L244">
        <v>-0.30698509454455908</v>
      </c>
      <c r="M244">
        <v>-0.13547888172981418</v>
      </c>
      <c r="N244">
        <v>3.0641665942702342E-2</v>
      </c>
      <c r="O244">
        <v>0.1418436652842858</v>
      </c>
      <c r="P244">
        <v>-5.2602522966631621E-2</v>
      </c>
      <c r="Q244">
        <v>-9.2529103082105754E-2</v>
      </c>
      <c r="R244">
        <v>0.14151120835029607</v>
      </c>
      <c r="S244">
        <v>-0.22200419558050483</v>
      </c>
      <c r="T244">
        <v>9.6670538968313652E-2</v>
      </c>
      <c r="U244">
        <v>-0.13007567929228769</v>
      </c>
      <c r="V244">
        <v>1.3200935421876867E-2</v>
      </c>
      <c r="W244">
        <v>-0.19210386482945185</v>
      </c>
      <c r="X244">
        <v>9.1952065631581061E-3</v>
      </c>
      <c r="Y244">
        <v>5.2920581544434624E-2</v>
      </c>
      <c r="Z244">
        <v>-0.15457951549130197</v>
      </c>
      <c r="AA244">
        <v>-4.4164285121805848E-2</v>
      </c>
      <c r="AB244">
        <v>-1.7166869954935368E-3</v>
      </c>
      <c r="AC244">
        <v>-1.1780344366334237E-2</v>
      </c>
      <c r="AD244">
        <v>-8.3307065380338816E-2</v>
      </c>
      <c r="AE244">
        <v>0.12908963830129636</v>
      </c>
      <c r="AF244">
        <v>8.6427925676278494E-2</v>
      </c>
      <c r="AG244">
        <v>0.11965518962649545</v>
      </c>
      <c r="AH244">
        <v>-0.11273605712887347</v>
      </c>
      <c r="AI244">
        <v>1.9952539008138776E-2</v>
      </c>
      <c r="AJ244">
        <v>5.5563834405340405E-3</v>
      </c>
      <c r="AK244">
        <v>-1.0074232303229656E-2</v>
      </c>
      <c r="AL244">
        <v>-6.8745959789635368E-3</v>
      </c>
      <c r="AM244">
        <v>7.2502249063008534E-2</v>
      </c>
      <c r="AN244">
        <v>-2.6514600452498389E-2</v>
      </c>
      <c r="AO244">
        <v>-6.0763358293528122E-2</v>
      </c>
      <c r="AP244">
        <v>1.983679018019209E-2</v>
      </c>
      <c r="AQ244">
        <v>2.0795503007493912E-2</v>
      </c>
      <c r="AR244">
        <v>-2.1236053266614246E-2</v>
      </c>
      <c r="AS244">
        <v>-2.8627270381765019E-2</v>
      </c>
      <c r="AT244">
        <v>1.7559843833475253E-2</v>
      </c>
      <c r="AU244">
        <v>-3.0120307359238947E-2</v>
      </c>
      <c r="AW244">
        <v>0.99999999999999312</v>
      </c>
    </row>
    <row r="245" spans="3:49" x14ac:dyDescent="0.2">
      <c r="C245" t="s">
        <v>27</v>
      </c>
      <c r="D245">
        <v>-0.74268135733023277</v>
      </c>
      <c r="E245">
        <v>0.2019972115076428</v>
      </c>
      <c r="F245">
        <v>7.0006301691819636E-2</v>
      </c>
      <c r="G245">
        <v>-4.3187956919903313E-2</v>
      </c>
      <c r="H245">
        <v>0.26670256758265831</v>
      </c>
      <c r="I245">
        <v>4.575396049991861E-2</v>
      </c>
      <c r="J245">
        <v>-4.5918172544000616E-2</v>
      </c>
      <c r="K245">
        <v>-3.5800120646710371E-2</v>
      </c>
      <c r="L245">
        <v>-0.10754314081482845</v>
      </c>
      <c r="M245">
        <v>-0.23608284249114314</v>
      </c>
      <c r="N245">
        <v>-0.14516288556496396</v>
      </c>
      <c r="O245">
        <v>-0.16121364525770759</v>
      </c>
      <c r="P245">
        <v>4.946660479573433E-2</v>
      </c>
      <c r="Q245">
        <v>9.8681554842433905E-2</v>
      </c>
      <c r="R245">
        <v>0.17467353050646775</v>
      </c>
      <c r="S245">
        <v>1.1076012214299595E-2</v>
      </c>
      <c r="T245">
        <v>4.315479136972003E-2</v>
      </c>
      <c r="U245">
        <v>9.414748457723543E-2</v>
      </c>
      <c r="V245">
        <v>1.9996962104059119E-2</v>
      </c>
      <c r="W245">
        <v>-6.3430226228706685E-2</v>
      </c>
      <c r="X245">
        <v>4.666197358940212E-2</v>
      </c>
      <c r="Y245">
        <v>2.5984590587058765E-2</v>
      </c>
      <c r="Z245">
        <v>-0.18556696711739237</v>
      </c>
      <c r="AA245">
        <v>-0.15541011436722243</v>
      </c>
      <c r="AB245">
        <v>-3.9357037479670696E-2</v>
      </c>
      <c r="AC245">
        <v>3.3834821704174074E-2</v>
      </c>
      <c r="AD245">
        <v>0.10339113476125281</v>
      </c>
      <c r="AE245">
        <v>0.15110963966869803</v>
      </c>
      <c r="AF245">
        <v>-0.11220208013375174</v>
      </c>
      <c r="AG245">
        <v>-4.3543474816987296E-2</v>
      </c>
      <c r="AH245">
        <v>0.13155522788709514</v>
      </c>
      <c r="AI245">
        <v>-9.3427102168045992E-2</v>
      </c>
      <c r="AJ245">
        <v>4.6773366587242897E-2</v>
      </c>
      <c r="AK245">
        <v>3.6001833289522452E-2</v>
      </c>
      <c r="AL245">
        <v>-3.142422231081167E-2</v>
      </c>
      <c r="AM245">
        <v>-1.1273794159009767E-2</v>
      </c>
      <c r="AN245">
        <v>-2.7868729027524082E-2</v>
      </c>
      <c r="AO245">
        <v>3.5261225070377961E-2</v>
      </c>
      <c r="AP245">
        <v>-2.2495381651714011E-2</v>
      </c>
      <c r="AQ245">
        <v>-5.3171582828645925E-2</v>
      </c>
      <c r="AR245">
        <v>1.0833012491720541E-2</v>
      </c>
      <c r="AS245">
        <v>3.9545752512579212E-2</v>
      </c>
      <c r="AT245">
        <v>-4.1511057000265777E-2</v>
      </c>
      <c r="AU245">
        <v>1.9405950806378223E-2</v>
      </c>
      <c r="AW245">
        <v>1.0000000000000018</v>
      </c>
    </row>
    <row r="246" spans="3:49" x14ac:dyDescent="0.2">
      <c r="C246" t="s">
        <v>28</v>
      </c>
      <c r="D246">
        <v>-0.69065373856233603</v>
      </c>
      <c r="E246">
        <v>0.11403783623268857</v>
      </c>
      <c r="F246">
        <v>-0.22932680315583781</v>
      </c>
      <c r="G246">
        <v>-6.6526223500298709E-3</v>
      </c>
      <c r="H246">
        <v>0.2633047216182951</v>
      </c>
      <c r="I246">
        <v>-0.19631034663834135</v>
      </c>
      <c r="J246">
        <v>0.12580788919039987</v>
      </c>
      <c r="K246">
        <v>0.17549645412930637</v>
      </c>
      <c r="L246">
        <v>-9.6270688397307846E-2</v>
      </c>
      <c r="M246">
        <v>2.9659069450258717E-3</v>
      </c>
      <c r="N246">
        <v>-0.20621741208977692</v>
      </c>
      <c r="O246">
        <v>-6.1339388165227498E-3</v>
      </c>
      <c r="P246">
        <v>0.1761558645855327</v>
      </c>
      <c r="Q246">
        <v>-6.6942556892396129E-2</v>
      </c>
      <c r="R246">
        <v>0.17363506578177146</v>
      </c>
      <c r="S246">
        <v>0.21252025304822558</v>
      </c>
      <c r="T246">
        <v>3.9750356599537316E-2</v>
      </c>
      <c r="U246">
        <v>-0.18403738803851558</v>
      </c>
      <c r="V246">
        <v>9.7086632423478078E-2</v>
      </c>
      <c r="W246">
        <v>2.038411703685632E-2</v>
      </c>
      <c r="X246">
        <v>-3.9745685057415103E-2</v>
      </c>
      <c r="Y246">
        <v>-2.5353256538555212E-2</v>
      </c>
      <c r="Z246">
        <v>1.1838138606653717E-2</v>
      </c>
      <c r="AA246">
        <v>-2.6589471513851898E-2</v>
      </c>
      <c r="AB246">
        <v>-1.499954247842372E-2</v>
      </c>
      <c r="AC246">
        <v>6.8830269526726578E-2</v>
      </c>
      <c r="AD246">
        <v>-3.2637948835321758E-3</v>
      </c>
      <c r="AE246">
        <v>-0.15904563184539813</v>
      </c>
      <c r="AF246">
        <v>0.11027996741358283</v>
      </c>
      <c r="AG246">
        <v>6.9652713703086247E-2</v>
      </c>
      <c r="AH246">
        <v>0.12981413761880731</v>
      </c>
      <c r="AI246">
        <v>6.1513829754252819E-2</v>
      </c>
      <c r="AJ246">
        <v>-4.5796210692519594E-2</v>
      </c>
      <c r="AK246">
        <v>-2.7991319521370579E-2</v>
      </c>
      <c r="AL246">
        <v>-6.6094233344019232E-2</v>
      </c>
      <c r="AM246">
        <v>-2.4786345207457192E-2</v>
      </c>
      <c r="AN246">
        <v>7.1772040731818185E-2</v>
      </c>
      <c r="AO246">
        <v>-4.6337460561281039E-2</v>
      </c>
      <c r="AP246">
        <v>-4.2579207970640097E-2</v>
      </c>
      <c r="AQ246">
        <v>-6.1012947558131844E-2</v>
      </c>
      <c r="AR246">
        <v>4.4778817867414375E-2</v>
      </c>
      <c r="AS246">
        <v>-3.4717734666900653E-2</v>
      </c>
      <c r="AT246">
        <v>1.5246697821971716E-3</v>
      </c>
      <c r="AU246">
        <v>-2.9886150445840869E-3</v>
      </c>
      <c r="AW246">
        <v>1.000000000000002</v>
      </c>
    </row>
    <row r="247" spans="3:49" x14ac:dyDescent="0.2">
      <c r="C247" t="s">
        <v>29</v>
      </c>
      <c r="D247">
        <v>-0.4796107595698198</v>
      </c>
      <c r="E247">
        <v>0.10612194014999873</v>
      </c>
      <c r="F247">
        <v>-0.3286754244076327</v>
      </c>
      <c r="G247">
        <v>3.4405971048148232E-4</v>
      </c>
      <c r="H247">
        <v>0.55612613694056823</v>
      </c>
      <c r="I247">
        <v>-7.5297693173234648E-2</v>
      </c>
      <c r="J247">
        <v>-0.19161834281736612</v>
      </c>
      <c r="K247">
        <v>0.19064671987638271</v>
      </c>
      <c r="L247">
        <v>-2.276336728929762E-2</v>
      </c>
      <c r="M247">
        <v>1.9638315810729334E-2</v>
      </c>
      <c r="N247">
        <v>-0.18508360692048767</v>
      </c>
      <c r="O247">
        <v>-5.3829939879933932E-2</v>
      </c>
      <c r="P247">
        <v>0.19785604581737751</v>
      </c>
      <c r="Q247">
        <v>-6.7307267972215687E-2</v>
      </c>
      <c r="R247">
        <v>-3.3546470600359098E-2</v>
      </c>
      <c r="S247">
        <v>0.12076176743201708</v>
      </c>
      <c r="T247">
        <v>-3.3570891487400431E-2</v>
      </c>
      <c r="U247">
        <v>6.2486009747817532E-2</v>
      </c>
      <c r="V247">
        <v>-6.5755057814359322E-2</v>
      </c>
      <c r="W247">
        <v>0.17740496332524025</v>
      </c>
      <c r="X247">
        <v>-0.23149009563905348</v>
      </c>
      <c r="Y247">
        <v>3.3511534928373131E-2</v>
      </c>
      <c r="Z247">
        <v>6.698525045748592E-2</v>
      </c>
      <c r="AA247">
        <v>6.4458145828294428E-2</v>
      </c>
      <c r="AB247">
        <v>8.7833789188000347E-2</v>
      </c>
      <c r="AC247">
        <v>-0.16578402523777183</v>
      </c>
      <c r="AD247">
        <v>2.2872553721738319E-2</v>
      </c>
      <c r="AE247">
        <v>2.0410408765867707E-2</v>
      </c>
      <c r="AF247">
        <v>3.8888844530268349E-2</v>
      </c>
      <c r="AG247">
        <v>1.5428300041868771E-2</v>
      </c>
      <c r="AH247">
        <v>-1.1885732614677865E-2</v>
      </c>
      <c r="AI247">
        <v>-6.5020598129890236E-2</v>
      </c>
      <c r="AJ247">
        <v>2.8106947203286957E-2</v>
      </c>
      <c r="AK247">
        <v>2.8461382806591069E-2</v>
      </c>
      <c r="AL247">
        <v>1.9242740710329937E-4</v>
      </c>
      <c r="AM247">
        <v>5.6540044551044347E-2</v>
      </c>
      <c r="AN247">
        <v>-5.6334809380975265E-2</v>
      </c>
      <c r="AO247">
        <v>-1.3382749754693253E-2</v>
      </c>
      <c r="AP247">
        <v>2.0595948434749423E-2</v>
      </c>
      <c r="AQ247">
        <v>4.8558076402108324E-2</v>
      </c>
      <c r="AR247">
        <v>-8.6052338443940682E-2</v>
      </c>
      <c r="AS247">
        <v>4.189033343457188E-3</v>
      </c>
      <c r="AT247">
        <v>-2.0393565493594067E-2</v>
      </c>
      <c r="AU247">
        <v>-4.7035090425257978E-3</v>
      </c>
      <c r="AW247">
        <v>1</v>
      </c>
    </row>
    <row r="248" spans="3:49" x14ac:dyDescent="0.2">
      <c r="C248" t="s">
        <v>30</v>
      </c>
      <c r="D248">
        <v>-0.34176600368600779</v>
      </c>
      <c r="E248">
        <v>0.33697131471414632</v>
      </c>
      <c r="F248">
        <v>-0.35392788984248197</v>
      </c>
      <c r="G248">
        <v>-0.1502845327349587</v>
      </c>
      <c r="H248">
        <v>0.33523115125023101</v>
      </c>
      <c r="I248">
        <v>2.2491902611406669E-2</v>
      </c>
      <c r="J248">
        <v>-0.32428821292216231</v>
      </c>
      <c r="K248">
        <v>-6.2247532394679402E-2</v>
      </c>
      <c r="L248">
        <v>4.7785135969629272E-2</v>
      </c>
      <c r="M248">
        <v>0.11537196481739927</v>
      </c>
      <c r="N248">
        <v>0.24899568317398255</v>
      </c>
      <c r="O248">
        <v>-0.17285912550982727</v>
      </c>
      <c r="P248">
        <v>-0.18506661182046377</v>
      </c>
      <c r="Q248">
        <v>-0.16697630740843553</v>
      </c>
      <c r="R248">
        <v>0.15725062076904459</v>
      </c>
      <c r="S248">
        <v>7.7306731450323352E-2</v>
      </c>
      <c r="T248">
        <v>-3.7422799297957832E-2</v>
      </c>
      <c r="U248">
        <v>-0.17270966681345212</v>
      </c>
      <c r="V248">
        <v>-0.25713407775687941</v>
      </c>
      <c r="W248">
        <v>4.4569746065053407E-2</v>
      </c>
      <c r="X248">
        <v>0.23171437820431115</v>
      </c>
      <c r="Y248">
        <v>-5.204624909019296E-2</v>
      </c>
      <c r="Z248">
        <v>2.7966789347219231E-2</v>
      </c>
      <c r="AA248">
        <v>1.3798918767509423E-2</v>
      </c>
      <c r="AB248">
        <v>8.7326925109177458E-2</v>
      </c>
      <c r="AC248">
        <v>-4.1572342135008426E-2</v>
      </c>
      <c r="AD248">
        <v>-9.0163229147216292E-2</v>
      </c>
      <c r="AE248">
        <v>1.1965577936135081E-2</v>
      </c>
      <c r="AF248">
        <v>-0.10444544289372648</v>
      </c>
      <c r="AG248">
        <v>5.4431606878120251E-2</v>
      </c>
      <c r="AH248">
        <v>-2.4144029524040826E-2</v>
      </c>
      <c r="AI248">
        <v>-3.9936855905818346E-3</v>
      </c>
      <c r="AJ248">
        <v>1.1488293528966229E-2</v>
      </c>
      <c r="AK248">
        <v>-5.1677319325450291E-2</v>
      </c>
      <c r="AL248">
        <v>-5.1196700057218238E-3</v>
      </c>
      <c r="AM248">
        <v>-1.9897177978951346E-2</v>
      </c>
      <c r="AN248">
        <v>-1.3136860224254303E-2</v>
      </c>
      <c r="AO248">
        <v>2.2739178885726352E-2</v>
      </c>
      <c r="AP248">
        <v>-1.6353480325777017E-2</v>
      </c>
      <c r="AQ248">
        <v>3.3090878631527355E-2</v>
      </c>
      <c r="AR248">
        <v>7.3666955637609263E-2</v>
      </c>
      <c r="AS248">
        <v>-2.054935231942404E-3</v>
      </c>
      <c r="AT248">
        <v>-3.7207596327333168E-3</v>
      </c>
      <c r="AU248">
        <v>-6.2511848441090759E-3</v>
      </c>
      <c r="AW248">
        <v>1.0000000000000042</v>
      </c>
    </row>
    <row r="249" spans="3:49" x14ac:dyDescent="0.2">
      <c r="C249" t="s">
        <v>31</v>
      </c>
      <c r="D249">
        <v>-0.44573521069870548</v>
      </c>
      <c r="E249">
        <v>0.42083252907246599</v>
      </c>
      <c r="F249">
        <v>-4.8069687688202314E-2</v>
      </c>
      <c r="G249">
        <v>7.2860910872130979E-2</v>
      </c>
      <c r="H249">
        <v>-0.13105345573759999</v>
      </c>
      <c r="I249">
        <v>-0.43522826208381193</v>
      </c>
      <c r="J249">
        <v>8.5464077619599559E-3</v>
      </c>
      <c r="K249">
        <v>-4.5145200032328185E-2</v>
      </c>
      <c r="L249">
        <v>-4.8429748940067553E-2</v>
      </c>
      <c r="M249">
        <v>-6.2532320394742477E-2</v>
      </c>
      <c r="N249">
        <v>0.23365826252052424</v>
      </c>
      <c r="O249">
        <v>0.16829475281616157</v>
      </c>
      <c r="P249">
        <v>-0.15015473865519802</v>
      </c>
      <c r="Q249">
        <v>0.33074257108179972</v>
      </c>
      <c r="R249">
        <v>0.14643877066927322</v>
      </c>
      <c r="S249">
        <v>4.5868767940946846E-2</v>
      </c>
      <c r="T249">
        <v>-1.0180548605203385E-2</v>
      </c>
      <c r="U249">
        <v>-8.7098392986931589E-2</v>
      </c>
      <c r="V249">
        <v>0.21737157996713824</v>
      </c>
      <c r="W249">
        <v>0.19578498759459179</v>
      </c>
      <c r="X249">
        <v>0.10251150031714032</v>
      </c>
      <c r="Y249">
        <v>-4.220574244017021E-2</v>
      </c>
      <c r="Z249">
        <v>-4.8811061030500306E-2</v>
      </c>
      <c r="AA249">
        <v>-1.8569632942122164E-2</v>
      </c>
      <c r="AB249">
        <v>0.14069337882505872</v>
      </c>
      <c r="AC249">
        <v>-5.8100076340541401E-2</v>
      </c>
      <c r="AD249">
        <v>-6.8632948054224022E-3</v>
      </c>
      <c r="AE249">
        <v>-6.4226072540198562E-2</v>
      </c>
      <c r="AF249">
        <v>7.9067751208448805E-3</v>
      </c>
      <c r="AG249">
        <v>-0.12669343643983233</v>
      </c>
      <c r="AH249">
        <v>1.0331177069796393E-2</v>
      </c>
      <c r="AI249">
        <v>5.1758559172213588E-3</v>
      </c>
      <c r="AJ249">
        <v>5.7560941246147367E-3</v>
      </c>
      <c r="AK249">
        <v>-1.1391192016799726E-2</v>
      </c>
      <c r="AL249">
        <v>-2.8435266316505153E-2</v>
      </c>
      <c r="AM249">
        <v>-1.1471439561996123E-2</v>
      </c>
      <c r="AN249">
        <v>4.7585250515639957E-3</v>
      </c>
      <c r="AO249">
        <v>9.4028217190656547E-3</v>
      </c>
      <c r="AP249">
        <v>8.691566529388739E-2</v>
      </c>
      <c r="AQ249">
        <v>3.2528168219070605E-2</v>
      </c>
      <c r="AR249">
        <v>-2.6217966830276447E-2</v>
      </c>
      <c r="AS249">
        <v>4.9576637671566648E-3</v>
      </c>
      <c r="AT249">
        <v>-1.3202800127690095E-2</v>
      </c>
      <c r="AU249">
        <v>2.5276570426287195E-2</v>
      </c>
      <c r="AW249">
        <v>1.0000000000000038</v>
      </c>
    </row>
    <row r="250" spans="3:49" x14ac:dyDescent="0.2">
      <c r="C250" t="s">
        <v>32</v>
      </c>
      <c r="D250">
        <v>-0.59210980289671811</v>
      </c>
      <c r="E250">
        <v>5.4092545045406941E-2</v>
      </c>
      <c r="F250">
        <v>0.2943983069634834</v>
      </c>
      <c r="G250">
        <v>-0.1448214295024611</v>
      </c>
      <c r="H250">
        <v>-0.33835410317033765</v>
      </c>
      <c r="I250">
        <v>-0.22391698821972156</v>
      </c>
      <c r="J250">
        <v>-5.0156503581554927E-2</v>
      </c>
      <c r="K250">
        <v>7.6911255507525256E-2</v>
      </c>
      <c r="L250">
        <v>5.6959362196198432E-2</v>
      </c>
      <c r="M250">
        <v>-0.18542179459399358</v>
      </c>
      <c r="N250">
        <v>-3.655661870276198E-2</v>
      </c>
      <c r="O250">
        <v>-0.15373001958520521</v>
      </c>
      <c r="P250">
        <v>-0.2369786697470968</v>
      </c>
      <c r="Q250">
        <v>0.1640630962917802</v>
      </c>
      <c r="R250">
        <v>-7.1840261842877909E-2</v>
      </c>
      <c r="S250">
        <v>0.328602552585956</v>
      </c>
      <c r="T250">
        <v>6.2711829344346937E-2</v>
      </c>
      <c r="U250">
        <v>-2.8381559084893034E-2</v>
      </c>
      <c r="V250">
        <v>3.8696181537666859E-2</v>
      </c>
      <c r="W250">
        <v>3.819191238993988E-2</v>
      </c>
      <c r="X250">
        <v>-0.19612663567526772</v>
      </c>
      <c r="Y250">
        <v>3.8278948750854823E-2</v>
      </c>
      <c r="Z250">
        <v>7.9168753533710778E-2</v>
      </c>
      <c r="AA250">
        <v>-7.0072850471633377E-2</v>
      </c>
      <c r="AB250">
        <v>5.4857022421628078E-2</v>
      </c>
      <c r="AC250">
        <v>-9.9286515554997956E-3</v>
      </c>
      <c r="AD250">
        <v>-7.0595026785814127E-2</v>
      </c>
      <c r="AE250">
        <v>3.2035234894331834E-2</v>
      </c>
      <c r="AF250">
        <v>-4.1971448696346121E-2</v>
      </c>
      <c r="AG250">
        <v>4.2780417893204165E-2</v>
      </c>
      <c r="AH250">
        <v>-8.8572864405649654E-2</v>
      </c>
      <c r="AI250">
        <v>-1.1076039595881616E-2</v>
      </c>
      <c r="AJ250">
        <v>-1.0298832075787013E-2</v>
      </c>
      <c r="AK250">
        <v>-8.5700050635604368E-3</v>
      </c>
      <c r="AL250">
        <v>7.5086025676743662E-2</v>
      </c>
      <c r="AM250">
        <v>9.9948950634927494E-2</v>
      </c>
      <c r="AN250">
        <v>5.6825372518076785E-3</v>
      </c>
      <c r="AO250">
        <v>4.1666028011573507E-2</v>
      </c>
      <c r="AP250">
        <v>-6.5946666074228208E-2</v>
      </c>
      <c r="AQ250">
        <v>-4.6793922512432758E-2</v>
      </c>
      <c r="AR250">
        <v>4.7485586497354654E-2</v>
      </c>
      <c r="AS250">
        <v>-2.1688162096421002E-3</v>
      </c>
      <c r="AT250">
        <v>-2.0848682765362732E-2</v>
      </c>
      <c r="AU250">
        <v>-2.6132392963219141E-2</v>
      </c>
      <c r="AW250">
        <v>1.000000000000004</v>
      </c>
    </row>
    <row r="251" spans="3:49" x14ac:dyDescent="0.2">
      <c r="C251" t="s">
        <v>33</v>
      </c>
      <c r="D251">
        <v>-0.37597779602256504</v>
      </c>
      <c r="E251">
        <v>-0.16018772262310013</v>
      </c>
      <c r="F251">
        <v>-0.32745729894748371</v>
      </c>
      <c r="G251">
        <v>-1.8651619585180551E-2</v>
      </c>
      <c r="H251">
        <v>-0.34361772522162909</v>
      </c>
      <c r="I251">
        <v>-0.1086217622131022</v>
      </c>
      <c r="J251">
        <v>-0.21797960359442065</v>
      </c>
      <c r="K251">
        <v>-0.17069786162901823</v>
      </c>
      <c r="L251">
        <v>2.6612546872946549E-2</v>
      </c>
      <c r="M251">
        <v>-0.38549072948368296</v>
      </c>
      <c r="N251">
        <v>0.34119866806168897</v>
      </c>
      <c r="O251">
        <v>-7.2491188373164567E-2</v>
      </c>
      <c r="P251">
        <v>0.28781725074945069</v>
      </c>
      <c r="Q251">
        <v>9.3513178465491134E-3</v>
      </c>
      <c r="R251">
        <v>-8.8452314953341507E-2</v>
      </c>
      <c r="S251">
        <v>0.23357638776797143</v>
      </c>
      <c r="T251">
        <v>-5.0487555914671536E-2</v>
      </c>
      <c r="U251">
        <v>5.3016835446500654E-2</v>
      </c>
      <c r="V251">
        <v>-1.2052798803686333E-2</v>
      </c>
      <c r="W251">
        <v>-0.1689342104113554</v>
      </c>
      <c r="X251">
        <v>5.8771649386539546E-2</v>
      </c>
      <c r="Y251">
        <v>-0.10329503782119534</v>
      </c>
      <c r="Z251">
        <v>9.9557713604569498E-2</v>
      </c>
      <c r="AA251">
        <v>-2.633825538312334E-2</v>
      </c>
      <c r="AB251">
        <v>2.8969251322779586E-2</v>
      </c>
      <c r="AC251">
        <v>-7.7600663090002978E-2</v>
      </c>
      <c r="AD251">
        <v>0.12010665925312883</v>
      </c>
      <c r="AE251">
        <v>7.3025963954183593E-2</v>
      </c>
      <c r="AF251">
        <v>-6.6043069803933185E-3</v>
      </c>
      <c r="AG251">
        <v>7.2279922896019227E-2</v>
      </c>
      <c r="AH251">
        <v>7.3026660982130655E-3</v>
      </c>
      <c r="AI251">
        <v>2.95564463346593E-2</v>
      </c>
      <c r="AJ251">
        <v>2.1042278148223521E-2</v>
      </c>
      <c r="AK251">
        <v>1.6889756913711601E-3</v>
      </c>
      <c r="AL251">
        <v>-4.9072859491392777E-2</v>
      </c>
      <c r="AM251">
        <v>-2.856011657390356E-2</v>
      </c>
      <c r="AN251">
        <v>2.4411529221252254E-3</v>
      </c>
      <c r="AO251">
        <v>-4.7299577626654828E-2</v>
      </c>
      <c r="AP251">
        <v>1.6734082483095099E-2</v>
      </c>
      <c r="AQ251">
        <v>-2.4314970813032414E-2</v>
      </c>
      <c r="AR251">
        <v>-3.6666683666276283E-2</v>
      </c>
      <c r="AS251">
        <v>-2.053579597891058E-2</v>
      </c>
      <c r="AT251">
        <v>4.8863234821839789E-2</v>
      </c>
      <c r="AU251">
        <v>7.9760521496654024E-3</v>
      </c>
      <c r="AW251">
        <v>0.99999999999999456</v>
      </c>
    </row>
    <row r="252" spans="3:49" x14ac:dyDescent="0.2">
      <c r="C252" t="s">
        <v>34</v>
      </c>
      <c r="D252">
        <v>-0.67348410300742056</v>
      </c>
      <c r="E252">
        <v>0.1425548198178159</v>
      </c>
      <c r="F252">
        <v>7.3787305435914594E-2</v>
      </c>
      <c r="G252">
        <v>-1.8361019858993684E-2</v>
      </c>
      <c r="H252">
        <v>-4.5560761595247606E-2</v>
      </c>
      <c r="I252">
        <v>-0.15076030758886211</v>
      </c>
      <c r="J252">
        <v>0.21160558204804678</v>
      </c>
      <c r="K252">
        <v>-0.30762640690377707</v>
      </c>
      <c r="L252">
        <v>0.2580197697323115</v>
      </c>
      <c r="M252">
        <v>-0.17130196722186086</v>
      </c>
      <c r="N252">
        <v>0.24099745576669679</v>
      </c>
      <c r="O252">
        <v>0.10056306049277733</v>
      </c>
      <c r="P252">
        <v>0.20299237616588164</v>
      </c>
      <c r="Q252">
        <v>-0.12102506801864134</v>
      </c>
      <c r="R252">
        <v>1.6079136824557239E-2</v>
      </c>
      <c r="S252">
        <v>-0.13638211456543275</v>
      </c>
      <c r="T252">
        <v>5.2803774977432341E-2</v>
      </c>
      <c r="U252">
        <v>0.10023822547973689</v>
      </c>
      <c r="V252">
        <v>-6.8807724740714948E-2</v>
      </c>
      <c r="W252">
        <v>0.14717861989142778</v>
      </c>
      <c r="X252">
        <v>1.4189007422300128E-3</v>
      </c>
      <c r="Y252">
        <v>-3.30320001581631E-2</v>
      </c>
      <c r="Z252">
        <v>6.3458893103308683E-2</v>
      </c>
      <c r="AA252">
        <v>3.8573812119642431E-4</v>
      </c>
      <c r="AB252">
        <v>-0.1743387721156418</v>
      </c>
      <c r="AC252">
        <v>-3.7565413874987408E-2</v>
      </c>
      <c r="AD252">
        <v>2.0249899286863819E-2</v>
      </c>
      <c r="AE252">
        <v>-3.2446966768140974E-3</v>
      </c>
      <c r="AF252">
        <v>5.1743807566929818E-2</v>
      </c>
      <c r="AG252">
        <v>-4.9194901375631962E-2</v>
      </c>
      <c r="AH252">
        <v>3.3262396991469864E-2</v>
      </c>
      <c r="AI252">
        <v>-3.6199249874488734E-2</v>
      </c>
      <c r="AJ252">
        <v>1.2425730007228844E-2</v>
      </c>
      <c r="AK252">
        <v>-0.14575370526406034</v>
      </c>
      <c r="AL252">
        <v>2.2637030319609387E-2</v>
      </c>
      <c r="AM252">
        <v>2.706292397535567E-2</v>
      </c>
      <c r="AN252">
        <v>1.3257513449242477E-2</v>
      </c>
      <c r="AO252">
        <v>-2.1059873773873309E-2</v>
      </c>
      <c r="AP252">
        <v>-3.8664450334717312E-2</v>
      </c>
      <c r="AQ252">
        <v>2.9798394177798487E-2</v>
      </c>
      <c r="AR252">
        <v>1.5276917692924528E-2</v>
      </c>
      <c r="AS252">
        <v>-4.1181279629933327E-3</v>
      </c>
      <c r="AT252">
        <v>-7.2961294216560738E-2</v>
      </c>
      <c r="AU252">
        <v>-4.4336577480455969E-2</v>
      </c>
      <c r="AW252">
        <v>0.99999999999999623</v>
      </c>
    </row>
    <row r="253" spans="3:49" x14ac:dyDescent="0.2">
      <c r="C253" t="s">
        <v>35</v>
      </c>
      <c r="D253">
        <v>-0.64962425444973748</v>
      </c>
      <c r="E253">
        <v>6.8995562020122109E-2</v>
      </c>
      <c r="F253">
        <v>0.16867159851414121</v>
      </c>
      <c r="G253">
        <v>-2.8077596443979339E-2</v>
      </c>
      <c r="H253">
        <v>0.20109779347835113</v>
      </c>
      <c r="I253">
        <v>-0.16324761044020736</v>
      </c>
      <c r="J253">
        <v>0.10090900136573897</v>
      </c>
      <c r="K253">
        <v>-0.39440045530798207</v>
      </c>
      <c r="L253">
        <v>0.17495700382435758</v>
      </c>
      <c r="M253">
        <v>-0.24177146904995195</v>
      </c>
      <c r="N253">
        <v>8.5049976236648686E-2</v>
      </c>
      <c r="O253">
        <v>-1.7665712615669311E-2</v>
      </c>
      <c r="P253">
        <v>0.16341002182810777</v>
      </c>
      <c r="Q253">
        <v>-0.24787650796612401</v>
      </c>
      <c r="R253">
        <v>9.970350582039452E-4</v>
      </c>
      <c r="S253">
        <v>-0.11073819817219185</v>
      </c>
      <c r="T253">
        <v>9.2772647594589405E-2</v>
      </c>
      <c r="U253">
        <v>7.524941892458145E-3</v>
      </c>
      <c r="V253">
        <v>8.359533915878288E-2</v>
      </c>
      <c r="W253">
        <v>2.4657333849626963E-2</v>
      </c>
      <c r="X253">
        <v>-8.3613012705041151E-2</v>
      </c>
      <c r="Y253">
        <v>6.1558368590518935E-2</v>
      </c>
      <c r="Z253">
        <v>6.3452081966988809E-3</v>
      </c>
      <c r="AA253">
        <v>0.14318668015407202</v>
      </c>
      <c r="AB253">
        <v>0.13618562225204089</v>
      </c>
      <c r="AC253">
        <v>5.3419118861910822E-2</v>
      </c>
      <c r="AD253">
        <v>-6.7016633067300976E-2</v>
      </c>
      <c r="AE253">
        <v>-6.3954302572323107E-3</v>
      </c>
      <c r="AF253">
        <v>3.5167618139801023E-2</v>
      </c>
      <c r="AG253">
        <v>-7.44219169451657E-2</v>
      </c>
      <c r="AH253">
        <v>-2.0889440438823328E-3</v>
      </c>
      <c r="AI253">
        <v>7.9134890456042922E-3</v>
      </c>
      <c r="AJ253">
        <v>-9.9931359248801692E-3</v>
      </c>
      <c r="AK253">
        <v>0.13931024087440447</v>
      </c>
      <c r="AL253">
        <v>2.3302965479087504E-2</v>
      </c>
      <c r="AM253">
        <v>-2.1699876810824647E-2</v>
      </c>
      <c r="AN253">
        <v>-2.4803926488608942E-2</v>
      </c>
      <c r="AO253">
        <v>6.1237924122124081E-2</v>
      </c>
      <c r="AP253">
        <v>-4.7111342128802552E-2</v>
      </c>
      <c r="AQ253">
        <v>2.1497744427363603E-3</v>
      </c>
      <c r="AR253">
        <v>5.0918915085187463E-2</v>
      </c>
      <c r="AS253">
        <v>1.1888940208799768E-2</v>
      </c>
      <c r="AT253">
        <v>5.859153318536324E-2</v>
      </c>
      <c r="AU253">
        <v>2.2616216971956732E-2</v>
      </c>
      <c r="AW253">
        <v>1.0000000000000007</v>
      </c>
    </row>
    <row r="254" spans="3:49" x14ac:dyDescent="0.2">
      <c r="C254" t="s">
        <v>36</v>
      </c>
      <c r="D254">
        <v>-0.4803238390682707</v>
      </c>
      <c r="E254">
        <v>-0.3229167669400515</v>
      </c>
      <c r="F254">
        <v>0.24771830394923447</v>
      </c>
      <c r="G254">
        <v>-0.18033624825807301</v>
      </c>
      <c r="H254">
        <v>0.18857406075888816</v>
      </c>
      <c r="I254">
        <v>-8.3640044727086547E-3</v>
      </c>
      <c r="J254">
        <v>-0.1432561083128373</v>
      </c>
      <c r="K254">
        <v>-0.43227221279778311</v>
      </c>
      <c r="L254">
        <v>-0.10838659470748835</v>
      </c>
      <c r="M254">
        <v>-4.0370904634354943E-2</v>
      </c>
      <c r="N254">
        <v>-0.17770829879747763</v>
      </c>
      <c r="O254">
        <v>0.31692374342288848</v>
      </c>
      <c r="P254">
        <v>-0.10076957685596155</v>
      </c>
      <c r="Q254">
        <v>1.4736554851944368E-2</v>
      </c>
      <c r="R254">
        <v>-8.7543203576686268E-2</v>
      </c>
      <c r="S254">
        <v>0.21370619392604615</v>
      </c>
      <c r="T254">
        <v>5.6877649927106685E-2</v>
      </c>
      <c r="U254">
        <v>-3.0786943048296433E-2</v>
      </c>
      <c r="V254">
        <v>-9.3383972084344069E-2</v>
      </c>
      <c r="W254">
        <v>5.3066531950001987E-2</v>
      </c>
      <c r="X254">
        <v>4.6567131619885807E-2</v>
      </c>
      <c r="Y254">
        <v>7.6108189222979048E-3</v>
      </c>
      <c r="Z254">
        <v>4.7174512916684716E-3</v>
      </c>
      <c r="AA254">
        <v>-0.17734039523120512</v>
      </c>
      <c r="AB254">
        <v>-0.19735351529212791</v>
      </c>
      <c r="AC254">
        <v>-3.8782379664649529E-2</v>
      </c>
      <c r="AD254">
        <v>-0.10287893596045609</v>
      </c>
      <c r="AE254">
        <v>-6.4450530488720584E-2</v>
      </c>
      <c r="AF254">
        <v>1.76853484441385E-2</v>
      </c>
      <c r="AG254">
        <v>4.62306015033878E-2</v>
      </c>
      <c r="AH254">
        <v>5.7391114184583668E-3</v>
      </c>
      <c r="AI254">
        <v>8.2706716595466832E-3</v>
      </c>
      <c r="AJ254">
        <v>1.3175482778957573E-2</v>
      </c>
      <c r="AK254">
        <v>2.2971003852852848E-2</v>
      </c>
      <c r="AL254">
        <v>2.9935761653005506E-2</v>
      </c>
      <c r="AM254">
        <v>-2.9641130818091114E-2</v>
      </c>
      <c r="AN254">
        <v>-2.2460604572281034E-2</v>
      </c>
      <c r="AO254">
        <v>4.0434694896076102E-2</v>
      </c>
      <c r="AP254">
        <v>1.3672402380642944E-2</v>
      </c>
      <c r="AQ254">
        <v>4.6391803170581586E-2</v>
      </c>
      <c r="AR254">
        <v>-3.4064218483733449E-2</v>
      </c>
      <c r="AS254">
        <v>-2.8584500790983135E-2</v>
      </c>
      <c r="AT254">
        <v>2.4545097239814365E-2</v>
      </c>
      <c r="AU254">
        <v>4.8148037096899923E-2</v>
      </c>
      <c r="AW254">
        <v>1.0000000000000038</v>
      </c>
    </row>
    <row r="255" spans="3:49" x14ac:dyDescent="0.2">
      <c r="C255" t="s">
        <v>37</v>
      </c>
      <c r="D255">
        <v>-0.37483338921771586</v>
      </c>
      <c r="E255">
        <v>9.6502295268417068E-2</v>
      </c>
      <c r="F255">
        <v>-0.28173641026244933</v>
      </c>
      <c r="G255">
        <v>-0.34004607438861173</v>
      </c>
      <c r="H255">
        <v>-0.15199735882218929</v>
      </c>
      <c r="I255">
        <v>0.11212217470024731</v>
      </c>
      <c r="J255">
        <v>-0.15929196278750798</v>
      </c>
      <c r="K255">
        <v>-0.30875897013535142</v>
      </c>
      <c r="L255">
        <v>-0.15098389243273716</v>
      </c>
      <c r="M255">
        <v>7.3910204610150382E-2</v>
      </c>
      <c r="N255">
        <v>-0.24055459457519818</v>
      </c>
      <c r="O255">
        <v>0.4967607807563803</v>
      </c>
      <c r="P255">
        <v>-7.4091592093136968E-2</v>
      </c>
      <c r="Q255">
        <v>4.0292660029672349E-2</v>
      </c>
      <c r="R255">
        <v>0.13522771701483588</v>
      </c>
      <c r="S255">
        <v>-0.18106862830330964</v>
      </c>
      <c r="T255">
        <v>-0.14075611699955995</v>
      </c>
      <c r="U255">
        <v>-2.7158712580189776E-2</v>
      </c>
      <c r="V255">
        <v>-6.2446427440704E-2</v>
      </c>
      <c r="W255">
        <v>-7.0195438283274333E-2</v>
      </c>
      <c r="X255">
        <v>-6.9369152927303696E-2</v>
      </c>
      <c r="Y255">
        <v>-6.2653583865283219E-2</v>
      </c>
      <c r="Z255">
        <v>0.15703759443762724</v>
      </c>
      <c r="AA255">
        <v>3.7028723869989002E-3</v>
      </c>
      <c r="AB255">
        <v>0.11770552205488113</v>
      </c>
      <c r="AC255">
        <v>-1.4436431627455001E-2</v>
      </c>
      <c r="AD255">
        <v>8.5606235719088347E-2</v>
      </c>
      <c r="AE255">
        <v>3.9366857498118656E-2</v>
      </c>
      <c r="AF255">
        <v>-7.0823534340717337E-2</v>
      </c>
      <c r="AG255">
        <v>-1.6782484417923488E-2</v>
      </c>
      <c r="AH255">
        <v>2.8700269234547715E-2</v>
      </c>
      <c r="AI255">
        <v>3.5869084090127179E-2</v>
      </c>
      <c r="AJ255">
        <v>-3.7829261386143356E-2</v>
      </c>
      <c r="AK255">
        <v>5.4290944073264284E-2</v>
      </c>
      <c r="AL255">
        <v>-1.3714863748215575E-2</v>
      </c>
      <c r="AM255">
        <v>5.6558114440727059E-2</v>
      </c>
      <c r="AN255">
        <v>5.7987523361216389E-2</v>
      </c>
      <c r="AO255">
        <v>-1.4891340795898003E-2</v>
      </c>
      <c r="AP255">
        <v>-4.0877294097191631E-2</v>
      </c>
      <c r="AQ255">
        <v>-2.0230932418409849E-2</v>
      </c>
      <c r="AR255">
        <v>5.5177646596066337E-3</v>
      </c>
      <c r="AS255">
        <v>1.6570626322800611E-2</v>
      </c>
      <c r="AT255">
        <v>-2.3594064555962101E-2</v>
      </c>
      <c r="AU255">
        <v>-1.6972402552708446E-2</v>
      </c>
      <c r="AW255">
        <v>0.99999999999999412</v>
      </c>
    </row>
    <row r="256" spans="3:49" x14ac:dyDescent="0.2">
      <c r="C256" t="s">
        <v>38</v>
      </c>
      <c r="D256">
        <v>-0.38260687638861396</v>
      </c>
      <c r="E256">
        <v>0.25154922008763642</v>
      </c>
      <c r="F256">
        <v>-0.29088452021224032</v>
      </c>
      <c r="G256">
        <v>0.53349474397920016</v>
      </c>
      <c r="H256">
        <v>-0.21510711176658212</v>
      </c>
      <c r="I256">
        <v>2.6414601672331447E-2</v>
      </c>
      <c r="J256">
        <v>-0.1225002346237019</v>
      </c>
      <c r="K256">
        <v>-0.27680277507425322</v>
      </c>
      <c r="L256">
        <v>-8.0633092483400573E-2</v>
      </c>
      <c r="M256">
        <v>7.1895726729280296E-2</v>
      </c>
      <c r="N256">
        <v>-8.5754419568262449E-2</v>
      </c>
      <c r="O256">
        <v>-0.14975598843636023</v>
      </c>
      <c r="P256">
        <v>-8.1900119101645102E-2</v>
      </c>
      <c r="Q256">
        <v>0.30430238258929165</v>
      </c>
      <c r="R256">
        <v>1.9636483093351007E-2</v>
      </c>
      <c r="S256">
        <v>-8.2290611156474402E-2</v>
      </c>
      <c r="T256">
        <v>7.4411635411830615E-2</v>
      </c>
      <c r="U256">
        <v>0.10895475249524049</v>
      </c>
      <c r="V256">
        <v>-9.3292263749960525E-2</v>
      </c>
      <c r="W256">
        <v>1.0107223609114178E-2</v>
      </c>
      <c r="X256">
        <v>-0.17863747027746896</v>
      </c>
      <c r="Y256">
        <v>0.13477214709742913</v>
      </c>
      <c r="Z256">
        <v>-1.9176617595239268E-2</v>
      </c>
      <c r="AA256">
        <v>7.6039828625628872E-2</v>
      </c>
      <c r="AB256">
        <v>-1.613810887212239E-2</v>
      </c>
      <c r="AC256">
        <v>-4.7631195483163483E-2</v>
      </c>
      <c r="AD256">
        <v>-6.0050156739740665E-2</v>
      </c>
      <c r="AE256">
        <v>-1.2235310340586166E-2</v>
      </c>
      <c r="AF256">
        <v>-5.9576642384605791E-3</v>
      </c>
      <c r="AG256">
        <v>7.7305052757032894E-2</v>
      </c>
      <c r="AH256">
        <v>4.9839876373644079E-2</v>
      </c>
      <c r="AI256">
        <v>4.3754101168264524E-2</v>
      </c>
      <c r="AJ256">
        <v>0.10068704291414929</v>
      </c>
      <c r="AK256">
        <v>3.4505509143970201E-2</v>
      </c>
      <c r="AL256">
        <v>3.3144713215051615E-2</v>
      </c>
      <c r="AM256">
        <v>-0.13063838104403849</v>
      </c>
      <c r="AN256">
        <v>4.6651796640907059E-2</v>
      </c>
      <c r="AO256">
        <v>-3.6027290472255842E-2</v>
      </c>
      <c r="AP256">
        <v>-1.1678673001123968E-2</v>
      </c>
      <c r="AQ256">
        <v>3.4516730761382106E-2</v>
      </c>
      <c r="AR256">
        <v>2.5641249614005015E-2</v>
      </c>
      <c r="AS256">
        <v>-1.0642768147891989E-2</v>
      </c>
      <c r="AT256">
        <v>-1.1783708524149696E-2</v>
      </c>
      <c r="AU256">
        <v>-1.5960708311601915E-2</v>
      </c>
      <c r="AW256">
        <v>1.0000000000000042</v>
      </c>
    </row>
    <row r="257" spans="3:49" x14ac:dyDescent="0.2">
      <c r="C257" t="s">
        <v>39</v>
      </c>
      <c r="D257">
        <v>-0.45150600787871215</v>
      </c>
      <c r="E257">
        <v>0.10475899541791961</v>
      </c>
      <c r="F257">
        <v>-0.41698307384610417</v>
      </c>
      <c r="G257">
        <v>0.49733852666688494</v>
      </c>
      <c r="H257">
        <v>-0.16227385642925468</v>
      </c>
      <c r="I257">
        <v>0.24441280892403081</v>
      </c>
      <c r="J257">
        <v>-0.12119203615205081</v>
      </c>
      <c r="K257">
        <v>-0.20047927910866725</v>
      </c>
      <c r="L257">
        <v>-7.1998178532000204E-2</v>
      </c>
      <c r="M257">
        <v>7.7779248448983124E-2</v>
      </c>
      <c r="N257">
        <v>-4.9151233893406594E-2</v>
      </c>
      <c r="O257">
        <v>-4.3383658249466141E-2</v>
      </c>
      <c r="P257">
        <v>0.19731083895374599</v>
      </c>
      <c r="Q257">
        <v>1.7468148206401482E-2</v>
      </c>
      <c r="R257">
        <v>1.5078744961804081E-2</v>
      </c>
      <c r="S257">
        <v>5.9051283823717396E-2</v>
      </c>
      <c r="T257">
        <v>-0.15758340402718535</v>
      </c>
      <c r="U257">
        <v>5.8843680602407009E-2</v>
      </c>
      <c r="V257">
        <v>-0.1094653477140711</v>
      </c>
      <c r="W257">
        <v>8.9013674345322147E-2</v>
      </c>
      <c r="X257">
        <v>0.12601373561412366</v>
      </c>
      <c r="Y257">
        <v>0.16053473561268017</v>
      </c>
      <c r="Z257">
        <v>-0.12839564984503798</v>
      </c>
      <c r="AA257">
        <v>-4.3939337760942297E-2</v>
      </c>
      <c r="AB257">
        <v>2.1369039071561721E-3</v>
      </c>
      <c r="AC257">
        <v>4.9267244200051366E-2</v>
      </c>
      <c r="AD257">
        <v>-1.1759352730733833E-3</v>
      </c>
      <c r="AE257">
        <v>-8.2461958056104498E-2</v>
      </c>
      <c r="AF257">
        <v>4.1854672073516529E-2</v>
      </c>
      <c r="AG257">
        <v>-9.2794303437047809E-2</v>
      </c>
      <c r="AH257">
        <v>-5.5759023313352356E-2</v>
      </c>
      <c r="AI257">
        <v>8.6279494968844905E-2</v>
      </c>
      <c r="AJ257">
        <v>-1.3863838195263985E-2</v>
      </c>
      <c r="AK257">
        <v>-1.9229940932662094E-2</v>
      </c>
      <c r="AL257">
        <v>3.2817719415104439E-2</v>
      </c>
      <c r="AM257">
        <v>0.10907768532716677</v>
      </c>
      <c r="AN257">
        <v>-3.4664256244231188E-2</v>
      </c>
      <c r="AO257">
        <v>5.4044903756331912E-2</v>
      </c>
      <c r="AP257">
        <v>1.2650758910966137E-6</v>
      </c>
      <c r="AQ257">
        <v>-8.3114772953099089E-2</v>
      </c>
      <c r="AR257">
        <v>-1.9843391927991491E-2</v>
      </c>
      <c r="AS257">
        <v>-2.4144110934897864E-2</v>
      </c>
      <c r="AT257">
        <v>1.7269876139801705E-2</v>
      </c>
      <c r="AU257">
        <v>-1.5982920655158106E-2</v>
      </c>
      <c r="AW257">
        <v>0.99999999999999889</v>
      </c>
    </row>
    <row r="258" spans="3:49" x14ac:dyDescent="0.2">
      <c r="C258" t="s">
        <v>40</v>
      </c>
      <c r="D258">
        <v>-0.36442436359161923</v>
      </c>
      <c r="E258">
        <v>0.23636939034571661</v>
      </c>
      <c r="F258">
        <v>-0.32345133021903677</v>
      </c>
      <c r="G258">
        <v>0.4825632260893572</v>
      </c>
      <c r="H258">
        <v>-0.24080215585623135</v>
      </c>
      <c r="I258">
        <v>8.9091451494275914E-2</v>
      </c>
      <c r="J258">
        <v>-2.3932683472769306E-2</v>
      </c>
      <c r="K258">
        <v>-0.17078308573253259</v>
      </c>
      <c r="L258">
        <v>0.21715741120410112</v>
      </c>
      <c r="M258">
        <v>7.5018244794057845E-2</v>
      </c>
      <c r="N258">
        <v>-0.27990545830723201</v>
      </c>
      <c r="O258">
        <v>-1.9820168993825438E-2</v>
      </c>
      <c r="P258">
        <v>9.2276846385476279E-3</v>
      </c>
      <c r="Q258">
        <v>-0.13024488195629205</v>
      </c>
      <c r="R258">
        <v>-8.6603280802147811E-2</v>
      </c>
      <c r="S258">
        <v>3.1368794863188914E-3</v>
      </c>
      <c r="T258">
        <v>-0.10722160580676927</v>
      </c>
      <c r="U258">
        <v>-0.16354074888681044</v>
      </c>
      <c r="V258">
        <v>0.24617707162576427</v>
      </c>
      <c r="W258">
        <v>0.18879485795083903</v>
      </c>
      <c r="X258">
        <v>3.0941093573018257E-2</v>
      </c>
      <c r="Y258">
        <v>-0.14770996843673512</v>
      </c>
      <c r="Z258">
        <v>4.9840309101936695E-2</v>
      </c>
      <c r="AA258">
        <v>4.2393164895789303E-3</v>
      </c>
      <c r="AB258">
        <v>-5.84250970224202E-2</v>
      </c>
      <c r="AC258">
        <v>0.11342316955408607</v>
      </c>
      <c r="AD258">
        <v>1.2082673020913433E-3</v>
      </c>
      <c r="AE258">
        <v>0.13099309451254654</v>
      </c>
      <c r="AF258">
        <v>-7.1363651518972912E-3</v>
      </c>
      <c r="AG258">
        <v>0.12269704737509218</v>
      </c>
      <c r="AH258">
        <v>-4.9923976814540215E-2</v>
      </c>
      <c r="AI258">
        <v>-6.4767057326401312E-2</v>
      </c>
      <c r="AJ258">
        <v>-4.9097447030973601E-2</v>
      </c>
      <c r="AK258">
        <v>-3.4322150037639798E-3</v>
      </c>
      <c r="AL258">
        <v>-5.5900378902319324E-3</v>
      </c>
      <c r="AM258">
        <v>-1.5997779960315473E-2</v>
      </c>
      <c r="AN258">
        <v>-4.051189030095631E-2</v>
      </c>
      <c r="AO258">
        <v>2.14494335854934E-4</v>
      </c>
      <c r="AP258">
        <v>2.4402704372939038E-2</v>
      </c>
      <c r="AQ258">
        <v>7.21717514689507E-3</v>
      </c>
      <c r="AR258">
        <v>1.1805679208788911E-2</v>
      </c>
      <c r="AS258">
        <v>3.2094751906665116E-2</v>
      </c>
      <c r="AT258">
        <v>-1.296378574973465E-2</v>
      </c>
      <c r="AU258">
        <v>2.7497842784598252E-2</v>
      </c>
      <c r="AW258">
        <v>1.0000000000000033</v>
      </c>
    </row>
    <row r="259" spans="3:49" x14ac:dyDescent="0.2">
      <c r="C259" t="s">
        <v>41</v>
      </c>
      <c r="D259">
        <v>-0.51671070647719242</v>
      </c>
      <c r="E259">
        <v>-5.6144496277620519E-2</v>
      </c>
      <c r="F259">
        <v>0.29163697446291642</v>
      </c>
      <c r="G259">
        <v>7.0659331421083785E-2</v>
      </c>
      <c r="H259">
        <v>-5.2730269697201383E-2</v>
      </c>
      <c r="I259">
        <v>0.22621275644053196</v>
      </c>
      <c r="J259">
        <v>0.35276980707769279</v>
      </c>
      <c r="K259">
        <v>-0.39653062926957999</v>
      </c>
      <c r="L259">
        <v>-8.2012575573005467E-2</v>
      </c>
      <c r="M259">
        <v>3.0661305472608293E-2</v>
      </c>
      <c r="N259">
        <v>-9.4942197641470036E-2</v>
      </c>
      <c r="O259">
        <v>-0.16460390931622337</v>
      </c>
      <c r="P259">
        <v>-0.30438137670416243</v>
      </c>
      <c r="Q259">
        <v>-0.1373623502414742</v>
      </c>
      <c r="R259">
        <v>-2.2246636639642593E-2</v>
      </c>
      <c r="S259">
        <v>0.12172711447383398</v>
      </c>
      <c r="T259">
        <v>1.3517748688432214E-2</v>
      </c>
      <c r="U259">
        <v>-9.5137034506477397E-2</v>
      </c>
      <c r="V259">
        <v>4.1171593717760441E-2</v>
      </c>
      <c r="W259">
        <v>-5.2976438827946767E-2</v>
      </c>
      <c r="X259">
        <v>-4.0744352720017843E-3</v>
      </c>
      <c r="Y259">
        <v>2.83215149148341E-2</v>
      </c>
      <c r="Z259">
        <v>-8.4105076080395899E-2</v>
      </c>
      <c r="AA259">
        <v>0.17048111986618514</v>
      </c>
      <c r="AB259">
        <v>3.7550810606851615E-2</v>
      </c>
      <c r="AC259">
        <v>-0.14011646822979348</v>
      </c>
      <c r="AD259">
        <v>0.1662348884636469</v>
      </c>
      <c r="AE259">
        <v>-9.9526698925678933E-2</v>
      </c>
      <c r="AF259">
        <v>-7.5041445177819785E-2</v>
      </c>
      <c r="AG259">
        <v>5.3103321515689951E-2</v>
      </c>
      <c r="AH259">
        <v>6.1241641761259007E-2</v>
      </c>
      <c r="AI259">
        <v>-3.5000632946260192E-2</v>
      </c>
      <c r="AJ259">
        <v>-1.5169215784304999E-2</v>
      </c>
      <c r="AK259">
        <v>-6.2918496784887715E-2</v>
      </c>
      <c r="AL259">
        <v>-4.2181030436432301E-2</v>
      </c>
      <c r="AM259">
        <v>4.9754588051270705E-2</v>
      </c>
      <c r="AN259">
        <v>-1.0457834415719156E-2</v>
      </c>
      <c r="AO259">
        <v>-2.816363042926717E-3</v>
      </c>
      <c r="AP259">
        <v>3.3952492469760141E-2</v>
      </c>
      <c r="AQ259">
        <v>7.3356653978763064E-3</v>
      </c>
      <c r="AR259">
        <v>-2.4069574507877719E-2</v>
      </c>
      <c r="AS259">
        <v>2.5518195087263049E-3</v>
      </c>
      <c r="AT259">
        <v>1.869803870072374E-2</v>
      </c>
      <c r="AU259">
        <v>-1.3043618682531498E-2</v>
      </c>
      <c r="AW259">
        <v>0.99999999999999367</v>
      </c>
    </row>
    <row r="260" spans="3:49" x14ac:dyDescent="0.2">
      <c r="C260" t="s">
        <v>42</v>
      </c>
      <c r="D260">
        <v>-0.61759475041054301</v>
      </c>
      <c r="E260">
        <v>5.2870001198972442E-2</v>
      </c>
      <c r="F260">
        <v>0.25344432176217557</v>
      </c>
      <c r="G260">
        <v>-0.3434390151246986</v>
      </c>
      <c r="H260">
        <v>-0.10171807575971839</v>
      </c>
      <c r="I260">
        <v>-0.3506976734556328</v>
      </c>
      <c r="J260">
        <v>-3.8681207415763634E-2</v>
      </c>
      <c r="K260">
        <v>-5.9315904661966012E-2</v>
      </c>
      <c r="L260">
        <v>0.11629155649663198</v>
      </c>
      <c r="M260">
        <v>0.33470095317850684</v>
      </c>
      <c r="N260">
        <v>-0.1092724682215208</v>
      </c>
      <c r="O260">
        <v>-0.14902431895708773</v>
      </c>
      <c r="P260">
        <v>4.3705215846942751E-2</v>
      </c>
      <c r="Q260">
        <v>6.8212236788692912E-2</v>
      </c>
      <c r="R260">
        <v>4.6264249940026127E-2</v>
      </c>
      <c r="S260">
        <v>-0.1057123793565619</v>
      </c>
      <c r="T260">
        <v>5.802006537771584E-2</v>
      </c>
      <c r="U260">
        <v>8.4494042871508621E-2</v>
      </c>
      <c r="V260">
        <v>-9.3973568758958445E-2</v>
      </c>
      <c r="W260">
        <v>0.15339271297890417</v>
      </c>
      <c r="X260">
        <v>2.1482394823561769E-2</v>
      </c>
      <c r="Y260">
        <v>-1.9388514534809852E-2</v>
      </c>
      <c r="Z260">
        <v>3.5297810355057489E-2</v>
      </c>
      <c r="AA260">
        <v>1.9888353345357861E-2</v>
      </c>
      <c r="AB260">
        <v>-3.8928011316045688E-2</v>
      </c>
      <c r="AC260">
        <v>0.13148388680709672</v>
      </c>
      <c r="AD260">
        <v>6.4075685150803054E-3</v>
      </c>
      <c r="AE260">
        <v>6.2975110478666555E-3</v>
      </c>
      <c r="AF260">
        <v>-0.13887577438489301</v>
      </c>
      <c r="AG260">
        <v>-9.1484171854159507E-3</v>
      </c>
      <c r="AH260">
        <v>3.3317577353095727E-2</v>
      </c>
      <c r="AI260">
        <v>-3.3707453073306419E-3</v>
      </c>
      <c r="AJ260">
        <v>3.0785981235898412E-2</v>
      </c>
      <c r="AK260">
        <v>2.2146323369627422E-3</v>
      </c>
      <c r="AL260">
        <v>2.0266041608883689E-2</v>
      </c>
      <c r="AM260">
        <v>3.535118412033917E-2</v>
      </c>
      <c r="AN260">
        <v>-5.6591324836010433E-2</v>
      </c>
      <c r="AO260">
        <v>-0.12858863852506475</v>
      </c>
      <c r="AP260">
        <v>2.2875722701039894E-2</v>
      </c>
      <c r="AQ260">
        <v>-4.5205382719466405E-2</v>
      </c>
      <c r="AR260">
        <v>-2.3222864012019839E-2</v>
      </c>
      <c r="AS260">
        <v>-3.5774039719156721E-2</v>
      </c>
      <c r="AT260">
        <v>6.4908784546913664E-2</v>
      </c>
      <c r="AU260">
        <v>1.021758752463508E-3</v>
      </c>
      <c r="AW260">
        <v>0.99999999999999989</v>
      </c>
    </row>
    <row r="261" spans="3:49" x14ac:dyDescent="0.2">
      <c r="C261" t="s">
        <v>43</v>
      </c>
      <c r="D261">
        <v>-0.49280330620830459</v>
      </c>
      <c r="E261">
        <v>-0.20466698891598301</v>
      </c>
      <c r="F261">
        <v>0.17562471478358643</v>
      </c>
      <c r="G261">
        <v>-0.29371202134475793</v>
      </c>
      <c r="H261">
        <v>-0.27281469225199573</v>
      </c>
      <c r="I261">
        <v>-0.1421477357594729</v>
      </c>
      <c r="J261">
        <v>-0.10968664499276301</v>
      </c>
      <c r="K261">
        <v>-0.14142885759787671</v>
      </c>
      <c r="L261">
        <v>9.0712958908352487E-2</v>
      </c>
      <c r="M261">
        <v>0.51142602671013604</v>
      </c>
      <c r="N261">
        <v>3.4230774742157583E-3</v>
      </c>
      <c r="O261">
        <v>-0.27212085609067554</v>
      </c>
      <c r="P261">
        <v>0.11547062940321444</v>
      </c>
      <c r="Q261">
        <v>4.6044668758008708E-2</v>
      </c>
      <c r="R261">
        <v>9.5166726472664623E-2</v>
      </c>
      <c r="S261">
        <v>3.1388656436868431E-2</v>
      </c>
      <c r="T261">
        <v>3.5348893440121182E-2</v>
      </c>
      <c r="U261">
        <v>-2.5958745797535737E-2</v>
      </c>
      <c r="V261">
        <v>-3.2227153323429646E-2</v>
      </c>
      <c r="W261">
        <v>-9.9200463519701312E-2</v>
      </c>
      <c r="X261">
        <v>-1.0250469734982229E-2</v>
      </c>
      <c r="Y261">
        <v>-8.7398392996719573E-2</v>
      </c>
      <c r="Z261">
        <v>-6.5481489508869575E-2</v>
      </c>
      <c r="AA261">
        <v>2.8072353372328961E-2</v>
      </c>
      <c r="AB261">
        <v>-2.1594999573599509E-3</v>
      </c>
      <c r="AC261">
        <v>-4.5738440425537957E-2</v>
      </c>
      <c r="AD261">
        <v>8.2734153153573502E-4</v>
      </c>
      <c r="AE261">
        <v>0.13352345047850633</v>
      </c>
      <c r="AF261">
        <v>0.16470981696012862</v>
      </c>
      <c r="AG261">
        <v>-5.9504574657992431E-3</v>
      </c>
      <c r="AH261">
        <v>6.6642406883487826E-2</v>
      </c>
      <c r="AI261">
        <v>8.6656975352518109E-2</v>
      </c>
      <c r="AJ261">
        <v>-6.6395345337960293E-2</v>
      </c>
      <c r="AK261">
        <v>3.2698518276543534E-2</v>
      </c>
      <c r="AL261">
        <v>-2.7203050092016737E-2</v>
      </c>
      <c r="AM261">
        <v>2.6005597863082538E-2</v>
      </c>
      <c r="AN261">
        <v>1.1462313209758716E-2</v>
      </c>
      <c r="AO261">
        <v>8.0000176879736651E-2</v>
      </c>
      <c r="AP261">
        <v>8.763333538489777E-3</v>
      </c>
      <c r="AQ261">
        <v>4.8139753476552985E-2</v>
      </c>
      <c r="AR261">
        <v>-1.6810382783959202E-2</v>
      </c>
      <c r="AS261">
        <v>-1.4384496473828738E-2</v>
      </c>
      <c r="AT261">
        <v>-3.2854438508125243E-2</v>
      </c>
      <c r="AU261">
        <v>9.1759244985107659E-3</v>
      </c>
      <c r="AW261">
        <v>1.0000000000000087</v>
      </c>
    </row>
    <row r="262" spans="3:49" x14ac:dyDescent="0.2">
      <c r="C262" t="s">
        <v>44</v>
      </c>
      <c r="D262">
        <v>-0.45556640805272969</v>
      </c>
      <c r="E262">
        <v>5.620587506552837E-2</v>
      </c>
      <c r="F262">
        <v>-0.42766485106695912</v>
      </c>
      <c r="G262">
        <v>-0.42788533174660726</v>
      </c>
      <c r="H262">
        <v>6.9473085570932111E-2</v>
      </c>
      <c r="I262">
        <v>-0.10377698174710737</v>
      </c>
      <c r="J262">
        <v>-0.27020616863798497</v>
      </c>
      <c r="K262">
        <v>-4.6521085927721265E-2</v>
      </c>
      <c r="L262">
        <v>0.13205261690842854</v>
      </c>
      <c r="M262">
        <v>0.1498815055126593</v>
      </c>
      <c r="N262">
        <v>-0.13633688336435867</v>
      </c>
      <c r="O262">
        <v>0.12367320588257448</v>
      </c>
      <c r="P262">
        <v>-7.6877936921989867E-2</v>
      </c>
      <c r="Q262">
        <v>-8.8362127301198107E-2</v>
      </c>
      <c r="R262">
        <v>-2.7608065749452352E-2</v>
      </c>
      <c r="S262">
        <v>7.0197135856506179E-2</v>
      </c>
      <c r="T262">
        <v>0.28800254479520548</v>
      </c>
      <c r="U262">
        <v>0.21652261518052865</v>
      </c>
      <c r="V262">
        <v>0.1440809002147562</v>
      </c>
      <c r="W262">
        <v>-9.2910810823515544E-2</v>
      </c>
      <c r="X262">
        <v>4.5547975548879863E-2</v>
      </c>
      <c r="Y262">
        <v>0.10727325003137872</v>
      </c>
      <c r="Z262">
        <v>-8.860318179283902E-2</v>
      </c>
      <c r="AA262">
        <v>9.2612393181621316E-2</v>
      </c>
      <c r="AB262">
        <v>-1.7015758498139837E-2</v>
      </c>
      <c r="AC262">
        <v>1.9530963409345764E-2</v>
      </c>
      <c r="AD262">
        <v>5.4979568370214886E-2</v>
      </c>
      <c r="AE262">
        <v>-7.1366896482584451E-3</v>
      </c>
      <c r="AF262">
        <v>3.0649668562495767E-2</v>
      </c>
      <c r="AG262">
        <v>-4.7706741450696472E-3</v>
      </c>
      <c r="AH262">
        <v>-0.14501459041748696</v>
      </c>
      <c r="AI262">
        <v>-5.9383884638465216E-2</v>
      </c>
      <c r="AJ262">
        <v>-2.0069798260351157E-2</v>
      </c>
      <c r="AK262">
        <v>-8.6029493198865228E-2</v>
      </c>
      <c r="AL262">
        <v>2.8408062581407219E-3</v>
      </c>
      <c r="AM262">
        <v>-6.515630385208647E-2</v>
      </c>
      <c r="AN262">
        <v>5.6413097469101142E-2</v>
      </c>
      <c r="AO262">
        <v>2.4889598078365553E-2</v>
      </c>
      <c r="AP262">
        <v>3.6698687492014694E-2</v>
      </c>
      <c r="AQ262">
        <v>-5.586719751689391E-2</v>
      </c>
      <c r="AR262">
        <v>-5.6572580234740787E-3</v>
      </c>
      <c r="AS262">
        <v>2.0074014016297353E-2</v>
      </c>
      <c r="AT262">
        <v>3.0420068621219839E-3</v>
      </c>
      <c r="AU262">
        <v>-9.4520218438103876E-3</v>
      </c>
      <c r="AW262">
        <v>1.0000000000000058</v>
      </c>
    </row>
    <row r="264" spans="3:49" x14ac:dyDescent="0.2">
      <c r="C264" t="s">
        <v>201</v>
      </c>
    </row>
    <row r="266" spans="3:49" x14ac:dyDescent="0.2">
      <c r="D266" t="s">
        <v>202</v>
      </c>
      <c r="E266" t="s">
        <v>203</v>
      </c>
      <c r="F266" t="s">
        <v>204</v>
      </c>
    </row>
    <row r="267" spans="3:49" x14ac:dyDescent="0.2">
      <c r="D267">
        <v>13.383033759894325</v>
      </c>
      <c r="E267">
        <v>0.30415985817941649</v>
      </c>
      <c r="F267">
        <v>0.30415985817941649</v>
      </c>
    </row>
    <row r="268" spans="3:49" x14ac:dyDescent="0.2">
      <c r="D268">
        <v>4.1086932775634635</v>
      </c>
      <c r="E268">
        <v>9.3379392671896891E-2</v>
      </c>
      <c r="F268">
        <v>0.39753925085131336</v>
      </c>
    </row>
    <row r="269" spans="3:49" x14ac:dyDescent="0.2">
      <c r="D269">
        <v>2.8772258894369891</v>
      </c>
      <c r="E269">
        <v>6.5391497487204298E-2</v>
      </c>
      <c r="F269">
        <v>0.46293074833851766</v>
      </c>
    </row>
    <row r="270" spans="3:49" x14ac:dyDescent="0.2">
      <c r="D270">
        <v>2.5247540885382866</v>
      </c>
      <c r="E270">
        <v>5.7380774739506514E-2</v>
      </c>
      <c r="F270">
        <v>0.5203115230780242</v>
      </c>
    </row>
    <row r="271" spans="3:49" x14ac:dyDescent="0.2">
      <c r="D271">
        <v>1.929701001007005</v>
      </c>
      <c r="E271">
        <v>4.3856840931977385E-2</v>
      </c>
      <c r="F271">
        <v>0.56416836401000159</v>
      </c>
    </row>
    <row r="272" spans="3:49" x14ac:dyDescent="0.2">
      <c r="D272">
        <v>1.6282218229654424</v>
      </c>
      <c r="E272">
        <v>3.7005041431032781E-2</v>
      </c>
      <c r="F272">
        <v>0.60117340544103437</v>
      </c>
    </row>
    <row r="273" spans="4:6" x14ac:dyDescent="0.2">
      <c r="D273">
        <v>1.4758366267872698</v>
      </c>
      <c r="E273">
        <v>3.3541741517892493E-2</v>
      </c>
      <c r="F273">
        <v>0.63471514695892683</v>
      </c>
    </row>
    <row r="274" spans="4:6" x14ac:dyDescent="0.2">
      <c r="D274">
        <v>1.4076918031914389</v>
      </c>
      <c r="E274">
        <v>3.1992995527078155E-2</v>
      </c>
      <c r="F274">
        <v>0.66670814248600496</v>
      </c>
    </row>
    <row r="275" spans="4:6" x14ac:dyDescent="0.2">
      <c r="D275">
        <v>1.3206899960175276</v>
      </c>
      <c r="E275">
        <v>3.0015681727671082E-2</v>
      </c>
      <c r="F275">
        <v>0.69672382421367607</v>
      </c>
    </row>
    <row r="276" spans="4:6" x14ac:dyDescent="0.2">
      <c r="D276">
        <v>1.199030422067245</v>
      </c>
      <c r="E276">
        <v>2.7250691410619202E-2</v>
      </c>
      <c r="F276">
        <v>0.72397451562429527</v>
      </c>
    </row>
    <row r="277" spans="4:6" x14ac:dyDescent="0.2">
      <c r="D277">
        <v>1.1541647871990708</v>
      </c>
      <c r="E277">
        <v>2.6231017890887973E-2</v>
      </c>
      <c r="F277">
        <v>0.75020553351518326</v>
      </c>
    </row>
    <row r="278" spans="4:6" x14ac:dyDescent="0.2">
      <c r="D278">
        <v>0.98945075737507548</v>
      </c>
      <c r="E278">
        <v>2.2487517213069897E-2</v>
      </c>
      <c r="F278">
        <v>0.77269305072825312</v>
      </c>
    </row>
    <row r="279" spans="4:6" x14ac:dyDescent="0.2">
      <c r="D279">
        <v>0.95985613579939499</v>
      </c>
      <c r="E279">
        <v>2.1814912177258977E-2</v>
      </c>
      <c r="F279">
        <v>0.79450796290551207</v>
      </c>
    </row>
    <row r="280" spans="4:6" x14ac:dyDescent="0.2">
      <c r="D280">
        <v>0.85509605929781618</v>
      </c>
      <c r="E280">
        <v>1.943400134767764E-2</v>
      </c>
      <c r="F280">
        <v>0.81394196425318965</v>
      </c>
    </row>
    <row r="281" spans="4:6" x14ac:dyDescent="0.2">
      <c r="D281">
        <v>0.7714465089064817</v>
      </c>
      <c r="E281">
        <v>1.7532875202420039E-2</v>
      </c>
      <c r="F281">
        <v>0.83147483945560974</v>
      </c>
    </row>
    <row r="282" spans="4:6" x14ac:dyDescent="0.2">
      <c r="D282">
        <v>0.71583412088056519</v>
      </c>
      <c r="E282">
        <v>1.6268957292740117E-2</v>
      </c>
      <c r="F282">
        <v>0.84774379674834988</v>
      </c>
    </row>
    <row r="283" spans="4:6" x14ac:dyDescent="0.2">
      <c r="D283">
        <v>0.64566516310734545</v>
      </c>
      <c r="E283">
        <v>1.4674208252439669E-2</v>
      </c>
      <c r="F283">
        <v>0.86241800500078958</v>
      </c>
    </row>
    <row r="284" spans="4:6" x14ac:dyDescent="0.2">
      <c r="D284">
        <v>0.59976498894437968</v>
      </c>
      <c r="E284">
        <v>1.363102247600863E-2</v>
      </c>
      <c r="F284">
        <v>0.87604902747679825</v>
      </c>
    </row>
    <row r="285" spans="4:6" x14ac:dyDescent="0.2">
      <c r="D285">
        <v>0.53379389972488522</v>
      </c>
      <c r="E285">
        <v>1.2131679539201938E-2</v>
      </c>
      <c r="F285">
        <v>0.88818070701600016</v>
      </c>
    </row>
    <row r="286" spans="4:6" x14ac:dyDescent="0.2">
      <c r="D286">
        <v>0.49038469759668846</v>
      </c>
      <c r="E286">
        <v>1.1145106763561102E-2</v>
      </c>
      <c r="F286">
        <v>0.89932581377956122</v>
      </c>
    </row>
    <row r="287" spans="4:6" x14ac:dyDescent="0.2">
      <c r="D287">
        <v>0.46455296427136628</v>
      </c>
      <c r="E287">
        <v>1.0558021915258325E-2</v>
      </c>
      <c r="F287">
        <v>0.90988383569481956</v>
      </c>
    </row>
    <row r="288" spans="4:6" x14ac:dyDescent="0.2">
      <c r="D288">
        <v>0.41782759959289845</v>
      </c>
      <c r="E288">
        <v>9.4960818089295101E-3</v>
      </c>
      <c r="F288">
        <v>0.91937991750374903</v>
      </c>
    </row>
    <row r="289" spans="4:6" x14ac:dyDescent="0.2">
      <c r="D289">
        <v>0.34032519454704274</v>
      </c>
      <c r="E289">
        <v>7.7346635124327899E-3</v>
      </c>
      <c r="F289">
        <v>0.92711458101618183</v>
      </c>
    </row>
    <row r="290" spans="4:6" x14ac:dyDescent="0.2">
      <c r="D290">
        <v>0.30876408959903084</v>
      </c>
      <c r="E290">
        <v>7.0173656727052468E-3</v>
      </c>
      <c r="F290">
        <v>0.9341319466888871</v>
      </c>
    </row>
    <row r="291" spans="4:6" x14ac:dyDescent="0.2">
      <c r="D291">
        <v>0.29280630488301135</v>
      </c>
      <c r="E291">
        <v>6.654688747341167E-3</v>
      </c>
      <c r="F291">
        <v>0.94078663543622831</v>
      </c>
    </row>
    <row r="292" spans="4:6" x14ac:dyDescent="0.2">
      <c r="D292">
        <v>0.2772953063069386</v>
      </c>
      <c r="E292">
        <v>6.3021660524304225E-3</v>
      </c>
      <c r="F292">
        <v>0.9470888014886587</v>
      </c>
    </row>
    <row r="293" spans="4:6" x14ac:dyDescent="0.2">
      <c r="D293">
        <v>0.26513248409811718</v>
      </c>
      <c r="E293">
        <v>6.025738274957209E-3</v>
      </c>
      <c r="F293">
        <v>0.95311453976361593</v>
      </c>
    </row>
    <row r="294" spans="4:6" x14ac:dyDescent="0.2">
      <c r="D294">
        <v>0.2283653125796693</v>
      </c>
      <c r="E294">
        <v>5.1901207404470295E-3</v>
      </c>
      <c r="F294">
        <v>0.95830466050406293</v>
      </c>
    </row>
    <row r="295" spans="4:6" x14ac:dyDescent="0.2">
      <c r="D295">
        <v>0.22108498073615895</v>
      </c>
      <c r="E295">
        <v>5.0246586530945216E-3</v>
      </c>
      <c r="F295">
        <v>0.96332931915715747</v>
      </c>
    </row>
    <row r="296" spans="4:6" x14ac:dyDescent="0.2">
      <c r="D296">
        <v>0.18205167576836781</v>
      </c>
      <c r="E296">
        <v>4.1375380856447227E-3</v>
      </c>
      <c r="F296">
        <v>0.96746685724280224</v>
      </c>
    </row>
    <row r="297" spans="4:6" x14ac:dyDescent="0.2">
      <c r="D297">
        <v>0.18080652214398227</v>
      </c>
      <c r="E297">
        <v>4.1092391396359606E-3</v>
      </c>
      <c r="F297">
        <v>0.97157609638243825</v>
      </c>
    </row>
    <row r="298" spans="4:6" x14ac:dyDescent="0.2">
      <c r="D298">
        <v>0.17100730447262052</v>
      </c>
      <c r="E298">
        <v>3.886529647105012E-3</v>
      </c>
      <c r="F298">
        <v>0.97546262602954326</v>
      </c>
    </row>
    <row r="299" spans="4:6" x14ac:dyDescent="0.2">
      <c r="D299">
        <v>0.15330312361563084</v>
      </c>
      <c r="E299">
        <v>3.4841619003552465E-3</v>
      </c>
      <c r="F299">
        <v>0.97894678792989853</v>
      </c>
    </row>
    <row r="300" spans="4:6" x14ac:dyDescent="0.2">
      <c r="D300">
        <v>0.14291631146388548</v>
      </c>
      <c r="E300">
        <v>3.248097987815579E-3</v>
      </c>
      <c r="F300">
        <v>0.98219488591771409</v>
      </c>
    </row>
    <row r="301" spans="4:6" x14ac:dyDescent="0.2">
      <c r="D301">
        <v>0.12984604775648162</v>
      </c>
      <c r="E301">
        <v>2.9510465399200368E-3</v>
      </c>
      <c r="F301">
        <v>0.98514593245763415</v>
      </c>
    </row>
    <row r="302" spans="4:6" x14ac:dyDescent="0.2">
      <c r="D302">
        <v>0.10592198760199421</v>
      </c>
      <c r="E302">
        <v>2.407317900045323E-3</v>
      </c>
      <c r="F302">
        <v>0.98755325035767949</v>
      </c>
    </row>
    <row r="303" spans="4:6" x14ac:dyDescent="0.2">
      <c r="D303">
        <v>9.8106061641290682E-2</v>
      </c>
      <c r="E303">
        <v>2.2296832191202429E-3</v>
      </c>
      <c r="F303">
        <v>0.98978293357679969</v>
      </c>
    </row>
    <row r="304" spans="4:6" x14ac:dyDescent="0.2">
      <c r="D304">
        <v>8.7891705685530425E-2</v>
      </c>
      <c r="E304">
        <v>1.9975387655802369E-3</v>
      </c>
      <c r="F304">
        <v>0.99178047234237998</v>
      </c>
    </row>
    <row r="305" spans="3:17" x14ac:dyDescent="0.2">
      <c r="D305">
        <v>8.4075734661547871E-2</v>
      </c>
      <c r="E305">
        <v>1.9108121513988152E-3</v>
      </c>
      <c r="F305">
        <v>0.99369128449377875</v>
      </c>
    </row>
    <row r="306" spans="3:17" x14ac:dyDescent="0.2">
      <c r="D306">
        <v>7.9156387248782059E-2</v>
      </c>
      <c r="E306">
        <v>1.7990088011086832E-3</v>
      </c>
      <c r="F306">
        <v>0.99549029329488747</v>
      </c>
    </row>
    <row r="307" spans="3:17" x14ac:dyDescent="0.2">
      <c r="D307">
        <v>6.2986522535111514E-2</v>
      </c>
      <c r="E307">
        <v>1.4315118757979889E-3</v>
      </c>
      <c r="F307">
        <v>0.99692180517068552</v>
      </c>
    </row>
    <row r="308" spans="3:17" x14ac:dyDescent="0.2">
      <c r="D308">
        <v>6.0150984472127488E-2</v>
      </c>
      <c r="E308">
        <v>1.3670678289119883E-3</v>
      </c>
      <c r="F308">
        <v>0.99828887299959745</v>
      </c>
    </row>
    <row r="309" spans="3:17" x14ac:dyDescent="0.2">
      <c r="D309">
        <v>4.171467706296933E-2</v>
      </c>
      <c r="E309">
        <v>9.4806084234021204E-4</v>
      </c>
      <c r="F309">
        <v>0.99923693384193768</v>
      </c>
    </row>
    <row r="310" spans="3:17" x14ac:dyDescent="0.2">
      <c r="D310">
        <v>3.3574910954760562E-2</v>
      </c>
      <c r="E310">
        <v>7.6306615806274005E-4</v>
      </c>
      <c r="F310">
        <v>1.0000000000000004</v>
      </c>
    </row>
    <row r="311" spans="3:17" x14ac:dyDescent="0.2">
      <c r="D311">
        <v>44</v>
      </c>
    </row>
    <row r="313" spans="3:17" x14ac:dyDescent="0.2">
      <c r="C313" t="s">
        <v>205</v>
      </c>
    </row>
    <row r="315" spans="3:17" x14ac:dyDescent="0.2">
      <c r="D315">
        <v>1</v>
      </c>
      <c r="E315">
        <v>2</v>
      </c>
      <c r="F315">
        <v>3</v>
      </c>
      <c r="G315">
        <v>4</v>
      </c>
      <c r="H315">
        <v>5</v>
      </c>
      <c r="I315">
        <v>6</v>
      </c>
      <c r="J315">
        <v>7</v>
      </c>
      <c r="K315">
        <v>8</v>
      </c>
      <c r="L315">
        <v>9</v>
      </c>
      <c r="M315">
        <v>10</v>
      </c>
      <c r="N315">
        <v>11</v>
      </c>
      <c r="P315" t="s">
        <v>200</v>
      </c>
      <c r="Q315" t="s">
        <v>206</v>
      </c>
    </row>
    <row r="316" spans="3:17" x14ac:dyDescent="0.2">
      <c r="C316" t="s">
        <v>1</v>
      </c>
      <c r="D316">
        <v>-0.53217159612506948</v>
      </c>
      <c r="E316">
        <v>-0.44320103566050928</v>
      </c>
      <c r="F316">
        <v>-0.24997576541566535</v>
      </c>
      <c r="G316">
        <v>-0.2573595092755479</v>
      </c>
      <c r="H316">
        <v>-0.23346395110073509</v>
      </c>
      <c r="I316">
        <v>-5.6089354937998839E-2</v>
      </c>
      <c r="J316">
        <v>-7.2180205222874994E-2</v>
      </c>
      <c r="K316">
        <v>-2.1537117605505491E-2</v>
      </c>
      <c r="L316">
        <v>-3.0328675219172135E-2</v>
      </c>
      <c r="M316">
        <v>-0.1391309486140225</v>
      </c>
      <c r="N316">
        <v>-0.152891805408301</v>
      </c>
      <c r="P316">
        <v>0.71533398126804526</v>
      </c>
      <c r="Q316">
        <v>0.28466601873195474</v>
      </c>
    </row>
    <row r="317" spans="3:17" x14ac:dyDescent="0.2">
      <c r="C317" t="s">
        <v>2</v>
      </c>
      <c r="D317">
        <v>-0.44005696285922064</v>
      </c>
      <c r="E317">
        <v>-0.42624981499123238</v>
      </c>
      <c r="F317">
        <v>-2.4067745359227417E-2</v>
      </c>
      <c r="G317">
        <v>-0.4205237987187278</v>
      </c>
      <c r="H317">
        <v>-0.35217414089020571</v>
      </c>
      <c r="I317">
        <v>0.19858658185737099</v>
      </c>
      <c r="J317">
        <v>-6.9548402272280582E-2</v>
      </c>
      <c r="K317">
        <v>0.13521525004647911</v>
      </c>
      <c r="L317">
        <v>-4.1390401556016004E-2</v>
      </c>
      <c r="M317">
        <v>-4.4214259264707817E-2</v>
      </c>
      <c r="N317">
        <v>-0.17926378258127998</v>
      </c>
      <c r="P317">
        <v>0.7751455269143982</v>
      </c>
      <c r="Q317">
        <v>0.2248544730856018</v>
      </c>
    </row>
    <row r="318" spans="3:17" x14ac:dyDescent="0.2">
      <c r="C318" t="s">
        <v>3</v>
      </c>
      <c r="D318">
        <v>-0.36913145413116244</v>
      </c>
      <c r="E318">
        <v>-0.36784226640767231</v>
      </c>
      <c r="F318">
        <v>9.4644501962652186E-2</v>
      </c>
      <c r="G318">
        <v>0.18710457134424824</v>
      </c>
      <c r="H318">
        <v>-0.14466061941692282</v>
      </c>
      <c r="I318">
        <v>0.15996847841122525</v>
      </c>
      <c r="J318">
        <v>-1.4042777802573864E-2</v>
      </c>
      <c r="K318">
        <v>0.14880913226298187</v>
      </c>
      <c r="L318">
        <v>-0.56725225033832605</v>
      </c>
      <c r="M318">
        <v>4.4850968720355371E-2</v>
      </c>
      <c r="N318">
        <v>0.1484045443874738</v>
      </c>
      <c r="P318">
        <v>0.73020026580706032</v>
      </c>
      <c r="Q318">
        <v>0.26979973419293968</v>
      </c>
    </row>
    <row r="319" spans="3:17" x14ac:dyDescent="0.2">
      <c r="C319" t="s">
        <v>4</v>
      </c>
      <c r="D319">
        <v>-0.61356277224307221</v>
      </c>
      <c r="E319">
        <v>-0.42595760760647217</v>
      </c>
      <c r="F319">
        <v>-8.2848374933357186E-2</v>
      </c>
      <c r="G319">
        <v>-0.18179106949792403</v>
      </c>
      <c r="H319">
        <v>-0.2122398401595621</v>
      </c>
      <c r="I319">
        <v>-1.526601075999218E-2</v>
      </c>
      <c r="J319">
        <v>-3.8557351269925613E-2</v>
      </c>
      <c r="K319">
        <v>5.3466978477183541E-2</v>
      </c>
      <c r="L319">
        <v>-0.31278218271552372</v>
      </c>
      <c r="M319">
        <v>-0.12815119026025623</v>
      </c>
      <c r="N319">
        <v>0.10228936725885765</v>
      </c>
      <c r="P319">
        <v>0.77215372914226832</v>
      </c>
      <c r="Q319">
        <v>0.22784627085773168</v>
      </c>
    </row>
    <row r="320" spans="3:17" x14ac:dyDescent="0.2">
      <c r="C320" t="s">
        <v>5</v>
      </c>
      <c r="D320">
        <v>-0.71076879907662804</v>
      </c>
      <c r="E320">
        <v>-0.10440795642479647</v>
      </c>
      <c r="F320">
        <v>0.14066696641860801</v>
      </c>
      <c r="G320">
        <v>6.8119135237798098E-2</v>
      </c>
      <c r="H320">
        <v>-0.24470539331871913</v>
      </c>
      <c r="I320">
        <v>-1.6067057964129664E-2</v>
      </c>
      <c r="J320">
        <v>-0.12559095363983094</v>
      </c>
      <c r="K320">
        <v>0.16311750672677564</v>
      </c>
      <c r="L320">
        <v>-0.12143561850825604</v>
      </c>
      <c r="M320">
        <v>-2.6241957365910621E-2</v>
      </c>
      <c r="N320">
        <v>4.9726061716421167E-2</v>
      </c>
      <c r="P320">
        <v>0.66094793862310952</v>
      </c>
      <c r="Q320">
        <v>0.33905206137689048</v>
      </c>
    </row>
    <row r="321" spans="3:17" x14ac:dyDescent="0.2">
      <c r="C321" t="s">
        <v>6</v>
      </c>
      <c r="D321">
        <v>-0.68042510045733295</v>
      </c>
      <c r="E321">
        <v>-0.45598592118851178</v>
      </c>
      <c r="F321">
        <v>-2.4016333113147419E-2</v>
      </c>
      <c r="G321">
        <v>0.13596013941432597</v>
      </c>
      <c r="H321">
        <v>0.23073747342891149</v>
      </c>
      <c r="I321">
        <v>0.10346639143985915</v>
      </c>
      <c r="J321">
        <v>4.5212459569649276E-2</v>
      </c>
      <c r="K321">
        <v>8.4382504023152491E-2</v>
      </c>
      <c r="L321">
        <v>0.10579540852354007</v>
      </c>
      <c r="M321">
        <v>-6.0814472529591025E-2</v>
      </c>
      <c r="N321">
        <v>-1.345995013467805E-2</v>
      </c>
      <c r="P321">
        <v>0.77814530949911331</v>
      </c>
      <c r="Q321">
        <v>0.22185469050088669</v>
      </c>
    </row>
    <row r="322" spans="3:17" x14ac:dyDescent="0.2">
      <c r="C322" t="s">
        <v>7</v>
      </c>
      <c r="D322">
        <v>-0.75892455011169258</v>
      </c>
      <c r="E322">
        <v>-0.37634146905022436</v>
      </c>
      <c r="F322">
        <v>-6.6724017400595859E-2</v>
      </c>
      <c r="G322">
        <v>5.4096488477735627E-2</v>
      </c>
      <c r="H322">
        <v>0.1559082859950886</v>
      </c>
      <c r="I322">
        <v>0.16078203514306746</v>
      </c>
      <c r="J322">
        <v>-2.9872231217585886E-2</v>
      </c>
      <c r="K322">
        <v>-8.2830108905267916E-3</v>
      </c>
      <c r="L322">
        <v>-1.0638340999047138E-2</v>
      </c>
      <c r="M322">
        <v>-0.13386335913760097</v>
      </c>
      <c r="N322">
        <v>6.4148202731298079E-2</v>
      </c>
      <c r="P322">
        <v>0.79824467871928528</v>
      </c>
      <c r="Q322">
        <v>0.20175532128071472</v>
      </c>
    </row>
    <row r="323" spans="3:17" x14ac:dyDescent="0.2">
      <c r="C323" t="s">
        <v>8</v>
      </c>
      <c r="D323">
        <v>-0.68055991683771044</v>
      </c>
      <c r="E323">
        <v>-0.37303418982893394</v>
      </c>
      <c r="F323">
        <v>-0.22943777650793584</v>
      </c>
      <c r="G323">
        <v>7.8652013826429987E-2</v>
      </c>
      <c r="H323">
        <v>1.7308453551062749E-2</v>
      </c>
      <c r="I323">
        <v>-0.11429650058639414</v>
      </c>
      <c r="J323">
        <v>8.6212474681083423E-2</v>
      </c>
      <c r="K323">
        <v>0.19391680606364312</v>
      </c>
      <c r="L323">
        <v>0.17944812718859829</v>
      </c>
      <c r="M323">
        <v>2.6905043331972387E-2</v>
      </c>
      <c r="N323">
        <v>0.1094795083956713</v>
      </c>
      <c r="P323">
        <v>0.76445500529727339</v>
      </c>
      <c r="Q323">
        <v>0.23554499470272661</v>
      </c>
    </row>
    <row r="324" spans="3:17" x14ac:dyDescent="0.2">
      <c r="C324" t="s">
        <v>9</v>
      </c>
      <c r="D324">
        <v>-0.70856777607009835</v>
      </c>
      <c r="E324">
        <v>-0.36948672403402499</v>
      </c>
      <c r="F324">
        <v>0.18216587304020249</v>
      </c>
      <c r="G324">
        <v>0.26588886722516819</v>
      </c>
      <c r="H324">
        <v>0.15605741042407736</v>
      </c>
      <c r="I324">
        <v>-4.0176746897093399E-2</v>
      </c>
      <c r="J324">
        <v>-2.1546639740355811E-2</v>
      </c>
      <c r="K324">
        <v>9.9835144674367174E-2</v>
      </c>
      <c r="L324">
        <v>8.6035295990902094E-2</v>
      </c>
      <c r="M324">
        <v>-3.5757257249837429E-2</v>
      </c>
      <c r="N324">
        <v>-0.11121069338928405</v>
      </c>
      <c r="P324">
        <v>0.79991789959925619</v>
      </c>
      <c r="Q324">
        <v>0.20008210040074381</v>
      </c>
    </row>
    <row r="325" spans="3:17" x14ac:dyDescent="0.2">
      <c r="C325" t="s">
        <v>10</v>
      </c>
      <c r="D325">
        <v>-0.69577894126729967</v>
      </c>
      <c r="E325">
        <v>-0.17290020994311167</v>
      </c>
      <c r="F325">
        <v>-0.26211970209548391</v>
      </c>
      <c r="G325">
        <v>9.0449368306834386E-3</v>
      </c>
      <c r="H325">
        <v>5.0482910887203518E-2</v>
      </c>
      <c r="I325">
        <v>-0.12467587978033452</v>
      </c>
      <c r="J325">
        <v>0.29149982941836711</v>
      </c>
      <c r="K325">
        <v>0.14838441275228434</v>
      </c>
      <c r="L325">
        <v>1.5588175533958595E-2</v>
      </c>
      <c r="M325">
        <v>-6.6049623121860787E-2</v>
      </c>
      <c r="N325">
        <v>-0.22912075790947173</v>
      </c>
      <c r="P325">
        <v>0.76497591624376415</v>
      </c>
      <c r="Q325">
        <v>0.23502408375623585</v>
      </c>
    </row>
    <row r="326" spans="3:17" x14ac:dyDescent="0.2">
      <c r="C326" t="s">
        <v>11</v>
      </c>
      <c r="D326">
        <v>-0.72405651990119901</v>
      </c>
      <c r="E326">
        <v>-0.35821445369019955</v>
      </c>
      <c r="F326">
        <v>7.724712856726712E-2</v>
      </c>
      <c r="G326">
        <v>-4.6737360438990058E-2</v>
      </c>
      <c r="H326">
        <v>0.20342635725297684</v>
      </c>
      <c r="I326">
        <v>0.21001468706278981</v>
      </c>
      <c r="J326">
        <v>0.18022008814293822</v>
      </c>
      <c r="K326">
        <v>4.007261151794031E-2</v>
      </c>
      <c r="L326">
        <v>5.6500561165824338E-2</v>
      </c>
      <c r="M326">
        <v>0.17088583956459485</v>
      </c>
      <c r="N326">
        <v>0.13013982231597188</v>
      </c>
      <c r="P326">
        <v>0.82963114147629102</v>
      </c>
      <c r="Q326">
        <v>0.17036885852370898</v>
      </c>
    </row>
    <row r="327" spans="3:17" x14ac:dyDescent="0.2">
      <c r="C327" t="s">
        <v>12</v>
      </c>
      <c r="D327">
        <v>-0.72032249828291506</v>
      </c>
      <c r="E327">
        <v>-0.27455062056924467</v>
      </c>
      <c r="F327">
        <v>8.6271411759147737E-2</v>
      </c>
      <c r="G327">
        <v>0.3594072464376365</v>
      </c>
      <c r="H327">
        <v>0.12465285791669939</v>
      </c>
      <c r="I327">
        <v>-2.3076447914363224E-2</v>
      </c>
      <c r="J327">
        <v>4.8352863929131788E-2</v>
      </c>
      <c r="K327">
        <v>-3.1729145612366859E-2</v>
      </c>
      <c r="L327">
        <v>0.12821907961010684</v>
      </c>
      <c r="M327">
        <v>0.24389709340798207</v>
      </c>
      <c r="N327">
        <v>3.9518137490590292E-2</v>
      </c>
      <c r="P327">
        <v>0.82776207337253305</v>
      </c>
      <c r="Q327">
        <v>0.17223792662746695</v>
      </c>
    </row>
    <row r="328" spans="3:17" x14ac:dyDescent="0.2">
      <c r="C328" t="s">
        <v>13</v>
      </c>
      <c r="D328">
        <v>-0.70708720540225434</v>
      </c>
      <c r="E328">
        <v>-0.23640009854036326</v>
      </c>
      <c r="F328">
        <v>4.6125582652537529E-2</v>
      </c>
      <c r="G328">
        <v>0.17035450265406998</v>
      </c>
      <c r="H328">
        <v>0.21329243772613737</v>
      </c>
      <c r="I328">
        <v>0.23321045640011157</v>
      </c>
      <c r="J328">
        <v>7.1675696267580226E-3</v>
      </c>
      <c r="K328">
        <v>-1.8065124598869136E-3</v>
      </c>
      <c r="L328">
        <v>6.7963784507116431E-2</v>
      </c>
      <c r="M328">
        <v>0.18128862168107338</v>
      </c>
      <c r="N328">
        <v>0.23123327223104864</v>
      </c>
      <c r="P328">
        <v>0.77789443363237498</v>
      </c>
      <c r="Q328">
        <v>0.22210556636762502</v>
      </c>
    </row>
    <row r="329" spans="3:17" x14ac:dyDescent="0.2">
      <c r="C329" t="s">
        <v>14</v>
      </c>
      <c r="D329">
        <v>-0.34151869833724718</v>
      </c>
      <c r="E329">
        <v>0.39597877482097626</v>
      </c>
      <c r="F329">
        <v>-0.53928915466571081</v>
      </c>
      <c r="G329">
        <v>-0.26314416219242198</v>
      </c>
      <c r="H329">
        <v>-0.12377761286426153</v>
      </c>
      <c r="I329">
        <v>0.24086886191799878</v>
      </c>
      <c r="J329">
        <v>7.173025864239016E-2</v>
      </c>
      <c r="K329">
        <v>0.14160692112355378</v>
      </c>
      <c r="L329">
        <v>8.9353784477993581E-2</v>
      </c>
      <c r="M329">
        <v>9.4224844177064435E-2</v>
      </c>
      <c r="N329">
        <v>0.2058176546687687</v>
      </c>
      <c r="P329">
        <v>0.79127163709582549</v>
      </c>
      <c r="Q329">
        <v>0.20872836290417451</v>
      </c>
    </row>
    <row r="330" spans="3:17" x14ac:dyDescent="0.2">
      <c r="C330" t="s">
        <v>15</v>
      </c>
      <c r="D330">
        <v>-0.44959928243634889</v>
      </c>
      <c r="E330">
        <v>0.46566197115855174</v>
      </c>
      <c r="F330">
        <v>-0.26063948713312918</v>
      </c>
      <c r="G330">
        <v>-0.33043568018765013</v>
      </c>
      <c r="H330">
        <v>-4.4226333497316014E-2</v>
      </c>
      <c r="I330">
        <v>0.35095479139551594</v>
      </c>
      <c r="J330">
        <v>0.33406431664248504</v>
      </c>
      <c r="K330">
        <v>8.2313578434506665E-2</v>
      </c>
      <c r="L330">
        <v>-1.4617067577630623E-3</v>
      </c>
      <c r="M330">
        <v>-9.56331191350034E-2</v>
      </c>
      <c r="N330">
        <v>2.2661475795877066E-2</v>
      </c>
      <c r="P330">
        <v>0.84926236671861599</v>
      </c>
      <c r="Q330">
        <v>0.15073763328138401</v>
      </c>
    </row>
    <row r="331" spans="3:17" x14ac:dyDescent="0.2">
      <c r="C331" t="s">
        <v>16</v>
      </c>
      <c r="D331">
        <v>-0.58329028788207238</v>
      </c>
      <c r="E331">
        <v>0.34135979217899648</v>
      </c>
      <c r="F331">
        <v>0.18863114496880448</v>
      </c>
      <c r="G331">
        <v>-8.8248593358608338E-2</v>
      </c>
      <c r="H331">
        <v>-0.13747102656412249</v>
      </c>
      <c r="I331">
        <v>3.1217266796991347E-3</v>
      </c>
      <c r="J331">
        <v>0.35001623645223456</v>
      </c>
      <c r="K331">
        <v>4.7433091351864978E-2</v>
      </c>
      <c r="L331">
        <v>0.16963539298157956</v>
      </c>
      <c r="M331">
        <v>0.2081655401292517</v>
      </c>
      <c r="N331">
        <v>0.19602875478080903</v>
      </c>
      <c r="P331">
        <v>0.75432921434372369</v>
      </c>
      <c r="Q331">
        <v>0.24567078565627631</v>
      </c>
    </row>
    <row r="332" spans="3:17" x14ac:dyDescent="0.2">
      <c r="C332" t="s">
        <v>17</v>
      </c>
      <c r="D332">
        <v>-0.34409801252149641</v>
      </c>
      <c r="E332">
        <v>0.43444691350593945</v>
      </c>
      <c r="F332">
        <v>-0.1528849001988411</v>
      </c>
      <c r="G332">
        <v>-0.37190690964150175</v>
      </c>
      <c r="H332">
        <v>6.8493623401092385E-2</v>
      </c>
      <c r="I332">
        <v>0.17760462148192921</v>
      </c>
      <c r="J332">
        <v>0.43993896079350642</v>
      </c>
      <c r="K332">
        <v>-6.8611159042667472E-2</v>
      </c>
      <c r="L332">
        <v>-0.27408564488928222</v>
      </c>
      <c r="M332">
        <v>-3.9140001245168456E-2</v>
      </c>
      <c r="N332">
        <v>-2.78135444687829E-2</v>
      </c>
      <c r="P332">
        <v>0.78075313709934402</v>
      </c>
      <c r="Q332">
        <v>0.21924686290065598</v>
      </c>
    </row>
    <row r="333" spans="3:17" x14ac:dyDescent="0.2">
      <c r="C333" t="s">
        <v>18</v>
      </c>
      <c r="D333">
        <v>-0.40214932374452311</v>
      </c>
      <c r="E333">
        <v>3.3870871069750501E-2</v>
      </c>
      <c r="F333">
        <v>-0.25442792605372733</v>
      </c>
      <c r="G333">
        <v>0.21191655774963872</v>
      </c>
      <c r="H333">
        <v>-0.15743956400055062</v>
      </c>
      <c r="I333">
        <v>-0.40454375595206549</v>
      </c>
      <c r="J333">
        <v>0.13486996320154668</v>
      </c>
      <c r="K333">
        <v>0.21664474609811485</v>
      </c>
      <c r="L333">
        <v>-0.27756601243522677</v>
      </c>
      <c r="M333">
        <v>0.27699160417764052</v>
      </c>
      <c r="N333">
        <v>0.15550233102936251</v>
      </c>
      <c r="P333">
        <v>0.70402944627770947</v>
      </c>
      <c r="Q333">
        <v>0.29597055372229053</v>
      </c>
    </row>
    <row r="334" spans="3:17" x14ac:dyDescent="0.2">
      <c r="C334" t="s">
        <v>19</v>
      </c>
      <c r="D334">
        <v>-0.5815240895027507</v>
      </c>
      <c r="E334">
        <v>0.12387936875920999</v>
      </c>
      <c r="F334">
        <v>0.29706663640159053</v>
      </c>
      <c r="G334">
        <v>0.18091931350653162</v>
      </c>
      <c r="H334">
        <v>-0.22320768854403542</v>
      </c>
      <c r="I334">
        <v>0.3380017377372907</v>
      </c>
      <c r="J334">
        <v>-0.23359938616134487</v>
      </c>
      <c r="K334">
        <v>0.18839679240982007</v>
      </c>
      <c r="L334">
        <v>0.22827896108465978</v>
      </c>
      <c r="M334">
        <v>-6.4962875061714512E-2</v>
      </c>
      <c r="N334">
        <v>6.0305940115409511E-2</v>
      </c>
      <c r="P334">
        <v>0.78859388630605742</v>
      </c>
      <c r="Q334">
        <v>0.21140611369394258</v>
      </c>
    </row>
    <row r="335" spans="3:17" x14ac:dyDescent="0.2">
      <c r="C335" t="s">
        <v>20</v>
      </c>
      <c r="D335">
        <v>-0.53827914783113917</v>
      </c>
      <c r="E335">
        <v>0.33579546250241271</v>
      </c>
      <c r="F335">
        <v>0.45262562450388633</v>
      </c>
      <c r="G335">
        <v>-7.2898082620718826E-2</v>
      </c>
      <c r="H335">
        <v>-0.13989770000043389</v>
      </c>
      <c r="I335">
        <v>0.14597454491034687</v>
      </c>
      <c r="J335">
        <v>-0.1658502623020027</v>
      </c>
      <c r="K335">
        <v>0.23872604141533674</v>
      </c>
      <c r="L335">
        <v>0.1770364051993864</v>
      </c>
      <c r="M335">
        <v>-0.11519929824794589</v>
      </c>
      <c r="N335">
        <v>-6.1997365386218417E-2</v>
      </c>
      <c r="P335">
        <v>0.78651992701458417</v>
      </c>
      <c r="Q335">
        <v>0.21348007298541583</v>
      </c>
    </row>
    <row r="336" spans="3:17" x14ac:dyDescent="0.2">
      <c r="C336" t="s">
        <v>21</v>
      </c>
      <c r="D336">
        <v>-0.50871239760795361</v>
      </c>
      <c r="E336">
        <v>0.51975768065284778</v>
      </c>
      <c r="F336">
        <v>0.20195952821614438</v>
      </c>
      <c r="G336">
        <v>0.1669019357467571</v>
      </c>
      <c r="H336">
        <v>-0.18896445959816227</v>
      </c>
      <c r="I336">
        <v>0.29036570184636012</v>
      </c>
      <c r="J336">
        <v>-4.3450112720560513E-2</v>
      </c>
      <c r="K336">
        <v>0.18198645863280197</v>
      </c>
      <c r="L336">
        <v>4.1122171148229442E-2</v>
      </c>
      <c r="M336">
        <v>4.6635427937753951E-2</v>
      </c>
      <c r="N336">
        <v>-0.14762991802617495</v>
      </c>
      <c r="P336">
        <v>0.77826753728735232</v>
      </c>
      <c r="Q336">
        <v>0.22173246271264768</v>
      </c>
    </row>
    <row r="337" spans="3:17" x14ac:dyDescent="0.2">
      <c r="C337" t="s">
        <v>22</v>
      </c>
      <c r="D337">
        <v>-0.43509948159366552</v>
      </c>
      <c r="E337">
        <v>0.51953566782564009</v>
      </c>
      <c r="F337">
        <v>-3.7808890574312436E-2</v>
      </c>
      <c r="G337">
        <v>0.21839119043472824</v>
      </c>
      <c r="H337">
        <v>-7.0678504233334258E-2</v>
      </c>
      <c r="I337">
        <v>-0.17473001104625613</v>
      </c>
      <c r="J337">
        <v>-0.14524172667383073</v>
      </c>
      <c r="K337">
        <v>0.11244162730892646</v>
      </c>
      <c r="L337">
        <v>-3.1399951310215536E-2</v>
      </c>
      <c r="M337">
        <v>-8.2016087124786238E-2</v>
      </c>
      <c r="N337">
        <v>-0.15727323888723932</v>
      </c>
      <c r="P337">
        <v>0.61006486689165684</v>
      </c>
      <c r="Q337">
        <v>0.38993513310834316</v>
      </c>
    </row>
    <row r="338" spans="3:17" x14ac:dyDescent="0.2">
      <c r="C338" t="s">
        <v>23</v>
      </c>
      <c r="D338">
        <v>-0.38929391293835486</v>
      </c>
      <c r="E338">
        <v>0.43568867601895317</v>
      </c>
      <c r="F338">
        <v>0.54909683911816776</v>
      </c>
      <c r="G338">
        <v>-4.787170110016014E-3</v>
      </c>
      <c r="H338">
        <v>5.7887154391730138E-2</v>
      </c>
      <c r="I338">
        <v>-6.7673736820987082E-2</v>
      </c>
      <c r="J338">
        <v>-4.2672507868318485E-2</v>
      </c>
      <c r="K338">
        <v>3.0225608516896197E-2</v>
      </c>
      <c r="L338">
        <v>-0.24239389221178745</v>
      </c>
      <c r="M338">
        <v>5.8756825066636771E-2</v>
      </c>
      <c r="N338">
        <v>-0.18993239161406775</v>
      </c>
      <c r="P338">
        <v>0.75185129328383604</v>
      </c>
      <c r="Q338">
        <v>0.24814870671616396</v>
      </c>
    </row>
    <row r="339" spans="3:17" x14ac:dyDescent="0.2">
      <c r="C339" t="s">
        <v>24</v>
      </c>
      <c r="D339">
        <v>-0.1777296669691823</v>
      </c>
      <c r="E339">
        <v>0.29693027956260171</v>
      </c>
      <c r="F339">
        <v>0.23651967465278737</v>
      </c>
      <c r="G339">
        <v>-0.1075039650937285</v>
      </c>
      <c r="H339">
        <v>0.21412707922557095</v>
      </c>
      <c r="I339">
        <v>0.23204472852677885</v>
      </c>
      <c r="J339">
        <v>-0.34671869470405292</v>
      </c>
      <c r="K339">
        <v>-0.19842004350828546</v>
      </c>
      <c r="L339">
        <v>-0.3267300985710675</v>
      </c>
      <c r="M339">
        <v>0.18885955870206494</v>
      </c>
      <c r="N339">
        <v>0.28827382284412434</v>
      </c>
      <c r="P339">
        <v>0.67205590063125165</v>
      </c>
      <c r="Q339">
        <v>0.32794409936874835</v>
      </c>
    </row>
    <row r="340" spans="3:17" x14ac:dyDescent="0.2">
      <c r="C340" t="s">
        <v>25</v>
      </c>
      <c r="D340">
        <v>-0.62998066192640989</v>
      </c>
      <c r="E340">
        <v>0.24758868493225947</v>
      </c>
      <c r="F340">
        <v>0.16265453363457311</v>
      </c>
      <c r="G340">
        <v>-0.21700551246660107</v>
      </c>
      <c r="H340">
        <v>0.21502906600749902</v>
      </c>
      <c r="I340">
        <v>-1.1396156804424358E-3</v>
      </c>
      <c r="J340">
        <v>-0.28304699558105251</v>
      </c>
      <c r="K340">
        <v>0.16739532388975614</v>
      </c>
      <c r="L340">
        <v>8.4098048455422209E-2</v>
      </c>
      <c r="M340">
        <v>-0.14325132675073679</v>
      </c>
      <c r="N340">
        <v>0.12476771341575429</v>
      </c>
      <c r="P340">
        <v>0.72925968186092183</v>
      </c>
      <c r="Q340">
        <v>0.27074031813907817</v>
      </c>
    </row>
    <row r="341" spans="3:17" x14ac:dyDescent="0.2">
      <c r="C341" t="s">
        <v>26</v>
      </c>
      <c r="D341">
        <v>-0.60582737857038571</v>
      </c>
      <c r="E341">
        <v>0.31082032875400667</v>
      </c>
      <c r="F341">
        <v>0.11828043284357853</v>
      </c>
      <c r="G341">
        <v>0.22580609912060393</v>
      </c>
      <c r="H341">
        <v>0.10471744954870563</v>
      </c>
      <c r="I341">
        <v>-0.2735668991084188</v>
      </c>
      <c r="J341">
        <v>8.6199059184322843E-2</v>
      </c>
      <c r="K341">
        <v>1.0377819806377246E-4</v>
      </c>
      <c r="L341">
        <v>-0.30698509454455908</v>
      </c>
      <c r="M341">
        <v>-0.13547888172981418</v>
      </c>
      <c r="N341">
        <v>3.0641665942702342E-2</v>
      </c>
      <c r="P341">
        <v>0.73538291304693781</v>
      </c>
      <c r="Q341">
        <v>0.26461708695306219</v>
      </c>
    </row>
    <row r="342" spans="3:17" x14ac:dyDescent="0.2">
      <c r="C342" t="s">
        <v>27</v>
      </c>
      <c r="D342">
        <v>-0.74268135733023277</v>
      </c>
      <c r="E342">
        <v>0.2019972115076428</v>
      </c>
      <c r="F342">
        <v>7.0006301691819636E-2</v>
      </c>
      <c r="G342">
        <v>-4.3187956919903313E-2</v>
      </c>
      <c r="H342">
        <v>0.26670256758265831</v>
      </c>
      <c r="I342">
        <v>4.575396049991861E-2</v>
      </c>
      <c r="J342">
        <v>-4.5918172544000616E-2</v>
      </c>
      <c r="K342">
        <v>-3.5800120646710371E-2</v>
      </c>
      <c r="L342">
        <v>-0.10754314081482845</v>
      </c>
      <c r="M342">
        <v>-0.23608284249114314</v>
      </c>
      <c r="N342">
        <v>-0.14516288556496396</v>
      </c>
      <c r="P342">
        <v>0.76413126454749458</v>
      </c>
      <c r="Q342">
        <v>0.23586873545250542</v>
      </c>
    </row>
    <row r="343" spans="3:17" x14ac:dyDescent="0.2">
      <c r="C343" t="s">
        <v>28</v>
      </c>
      <c r="D343">
        <v>-0.69065373856233603</v>
      </c>
      <c r="E343">
        <v>0.11403783623268857</v>
      </c>
      <c r="F343">
        <v>-0.22932680315583781</v>
      </c>
      <c r="G343">
        <v>-6.6526223500298709E-3</v>
      </c>
      <c r="H343">
        <v>0.2633047216182951</v>
      </c>
      <c r="I343">
        <v>-0.19631034663834135</v>
      </c>
      <c r="J343">
        <v>0.12580788919039987</v>
      </c>
      <c r="K343">
        <v>0.17549645412930637</v>
      </c>
      <c r="L343">
        <v>-9.6270688397307846E-2</v>
      </c>
      <c r="M343">
        <v>2.9659069450258717E-3</v>
      </c>
      <c r="N343">
        <v>-0.20621741208977692</v>
      </c>
      <c r="P343">
        <v>0.74893847682833392</v>
      </c>
      <c r="Q343">
        <v>0.25106152317166608</v>
      </c>
    </row>
    <row r="344" spans="3:17" x14ac:dyDescent="0.2">
      <c r="C344" t="s">
        <v>29</v>
      </c>
      <c r="D344">
        <v>-0.4796107595698198</v>
      </c>
      <c r="E344">
        <v>0.10612194014999873</v>
      </c>
      <c r="F344">
        <v>-0.3286754244076327</v>
      </c>
      <c r="G344">
        <v>3.4405971048148232E-4</v>
      </c>
      <c r="H344">
        <v>0.55612613694056823</v>
      </c>
      <c r="I344">
        <v>-7.5297693173234648E-2</v>
      </c>
      <c r="J344">
        <v>-0.19161834281736612</v>
      </c>
      <c r="K344">
        <v>0.19064671987638271</v>
      </c>
      <c r="L344">
        <v>-2.276336728929762E-2</v>
      </c>
      <c r="M344">
        <v>1.9638315810729334E-2</v>
      </c>
      <c r="N344">
        <v>-0.18508360692048767</v>
      </c>
      <c r="P344">
        <v>0.772485559641236</v>
      </c>
      <c r="Q344">
        <v>0.227514440358764</v>
      </c>
    </row>
    <row r="345" spans="3:17" x14ac:dyDescent="0.2">
      <c r="C345" t="s">
        <v>30</v>
      </c>
      <c r="D345">
        <v>-0.34176600368600779</v>
      </c>
      <c r="E345">
        <v>0.33697131471414632</v>
      </c>
      <c r="F345">
        <v>-0.35392788984248197</v>
      </c>
      <c r="G345">
        <v>-0.1502845327349587</v>
      </c>
      <c r="H345">
        <v>0.33523115125023101</v>
      </c>
      <c r="I345">
        <v>2.2491902611406669E-2</v>
      </c>
      <c r="J345">
        <v>-0.32428821292216231</v>
      </c>
      <c r="K345">
        <v>-6.2247532394679402E-2</v>
      </c>
      <c r="L345">
        <v>4.7785135969629272E-2</v>
      </c>
      <c r="M345">
        <v>0.11537196481739927</v>
      </c>
      <c r="N345">
        <v>0.24899568317398255</v>
      </c>
      <c r="P345">
        <v>0.67772043070925547</v>
      </c>
      <c r="Q345">
        <v>0.32227956929074453</v>
      </c>
    </row>
    <row r="346" spans="3:17" x14ac:dyDescent="0.2">
      <c r="C346" t="s">
        <v>31</v>
      </c>
      <c r="D346">
        <v>-0.44573521069870548</v>
      </c>
      <c r="E346">
        <v>0.42083252907246599</v>
      </c>
      <c r="F346">
        <v>-4.8069687688202314E-2</v>
      </c>
      <c r="G346">
        <v>7.2860910872130979E-2</v>
      </c>
      <c r="H346">
        <v>-0.13105345573759999</v>
      </c>
      <c r="I346">
        <v>-0.43522826208381193</v>
      </c>
      <c r="J346">
        <v>8.5464077619599559E-3</v>
      </c>
      <c r="K346">
        <v>-4.5145200032328185E-2</v>
      </c>
      <c r="L346">
        <v>-4.8429748940067553E-2</v>
      </c>
      <c r="M346">
        <v>-6.2532320394742477E-2</v>
      </c>
      <c r="N346">
        <v>0.23365826252052424</v>
      </c>
      <c r="P346">
        <v>0.65296099665901908</v>
      </c>
      <c r="Q346">
        <v>0.34703900334098092</v>
      </c>
    </row>
    <row r="347" spans="3:17" x14ac:dyDescent="0.2">
      <c r="C347" t="s">
        <v>32</v>
      </c>
      <c r="D347">
        <v>-0.59210980289671811</v>
      </c>
      <c r="E347">
        <v>5.4092545045406941E-2</v>
      </c>
      <c r="F347">
        <v>0.2943983069634834</v>
      </c>
      <c r="G347">
        <v>-0.1448214295024611</v>
      </c>
      <c r="H347">
        <v>-0.33835410317033765</v>
      </c>
      <c r="I347">
        <v>-0.22391698821972156</v>
      </c>
      <c r="J347">
        <v>-5.0156503581554927E-2</v>
      </c>
      <c r="K347">
        <v>7.6911255507525256E-2</v>
      </c>
      <c r="L347">
        <v>5.6959362196198432E-2</v>
      </c>
      <c r="M347">
        <v>-0.18542179459399358</v>
      </c>
      <c r="N347">
        <v>-3.655661870276198E-2</v>
      </c>
      <c r="P347">
        <v>0.67317896174608005</v>
      </c>
      <c r="Q347">
        <v>0.32682103825391995</v>
      </c>
    </row>
    <row r="348" spans="3:17" x14ac:dyDescent="0.2">
      <c r="C348" t="s">
        <v>33</v>
      </c>
      <c r="D348">
        <v>-0.37597779602256504</v>
      </c>
      <c r="E348">
        <v>-0.16018772262310013</v>
      </c>
      <c r="F348">
        <v>-0.32745729894748371</v>
      </c>
      <c r="G348">
        <v>-1.8651619585180551E-2</v>
      </c>
      <c r="H348">
        <v>-0.34361772522162909</v>
      </c>
      <c r="I348">
        <v>-0.1086217622131022</v>
      </c>
      <c r="J348">
        <v>-0.21797960359442065</v>
      </c>
      <c r="K348">
        <v>-0.17069786162901823</v>
      </c>
      <c r="L348">
        <v>2.6612546872946549E-2</v>
      </c>
      <c r="M348">
        <v>-0.38549072948368296</v>
      </c>
      <c r="N348">
        <v>0.34119866806168897</v>
      </c>
      <c r="P348">
        <v>0.74684813224495716</v>
      </c>
      <c r="Q348">
        <v>0.25315186775504284</v>
      </c>
    </row>
    <row r="349" spans="3:17" x14ac:dyDescent="0.2">
      <c r="C349" t="s">
        <v>34</v>
      </c>
      <c r="D349">
        <v>-0.67348410300742056</v>
      </c>
      <c r="E349">
        <v>0.1425548198178159</v>
      </c>
      <c r="F349">
        <v>7.3787305435914594E-2</v>
      </c>
      <c r="G349">
        <v>-1.8361019858993684E-2</v>
      </c>
      <c r="H349">
        <v>-4.5560761595247606E-2</v>
      </c>
      <c r="I349">
        <v>-0.15076030758886211</v>
      </c>
      <c r="J349">
        <v>0.21160558204804678</v>
      </c>
      <c r="K349">
        <v>-0.30762640690377707</v>
      </c>
      <c r="L349">
        <v>0.2580197697323115</v>
      </c>
      <c r="M349">
        <v>-0.17130196722186086</v>
      </c>
      <c r="N349">
        <v>0.24099745576669679</v>
      </c>
      <c r="P349">
        <v>0.79789812830341889</v>
      </c>
      <c r="Q349">
        <v>0.20210187169658111</v>
      </c>
    </row>
    <row r="350" spans="3:17" x14ac:dyDescent="0.2">
      <c r="C350" t="s">
        <v>35</v>
      </c>
      <c r="D350">
        <v>-0.64962425444973748</v>
      </c>
      <c r="E350">
        <v>6.8995562020122109E-2</v>
      </c>
      <c r="F350">
        <v>0.16867159851414121</v>
      </c>
      <c r="G350">
        <v>-2.8077596443979339E-2</v>
      </c>
      <c r="H350">
        <v>0.20109779347835113</v>
      </c>
      <c r="I350">
        <v>-0.16324761044020736</v>
      </c>
      <c r="J350">
        <v>0.10090900136573897</v>
      </c>
      <c r="K350">
        <v>-0.39440045530798207</v>
      </c>
      <c r="L350">
        <v>0.17495700382435758</v>
      </c>
      <c r="M350">
        <v>-0.24177146904995195</v>
      </c>
      <c r="N350">
        <v>8.5049976236648686E-2</v>
      </c>
      <c r="P350">
        <v>0.78513186456693262</v>
      </c>
      <c r="Q350">
        <v>0.21486813543306738</v>
      </c>
    </row>
    <row r="351" spans="3:17" x14ac:dyDescent="0.2">
      <c r="C351" t="s">
        <v>36</v>
      </c>
      <c r="D351">
        <v>-0.4803238390682707</v>
      </c>
      <c r="E351">
        <v>-0.3229167669400515</v>
      </c>
      <c r="F351">
        <v>0.24771830394923447</v>
      </c>
      <c r="G351">
        <v>-0.18033624825807301</v>
      </c>
      <c r="H351">
        <v>0.18857406075888816</v>
      </c>
      <c r="I351">
        <v>-8.3640044727086547E-3</v>
      </c>
      <c r="J351">
        <v>-0.1432561083128373</v>
      </c>
      <c r="K351">
        <v>-0.43227221279778311</v>
      </c>
      <c r="L351">
        <v>-0.10838659470748835</v>
      </c>
      <c r="M351">
        <v>-4.0370904634354943E-2</v>
      </c>
      <c r="N351">
        <v>-0.17770829879747763</v>
      </c>
      <c r="P351">
        <v>0.7168411640983029</v>
      </c>
      <c r="Q351">
        <v>0.2831588359016971</v>
      </c>
    </row>
    <row r="352" spans="3:17" x14ac:dyDescent="0.2">
      <c r="C352" t="s">
        <v>37</v>
      </c>
      <c r="D352">
        <v>-0.37483338921771586</v>
      </c>
      <c r="E352">
        <v>9.6502295268417068E-2</v>
      </c>
      <c r="F352">
        <v>-0.28173641026244933</v>
      </c>
      <c r="G352">
        <v>-0.34004607438861173</v>
      </c>
      <c r="H352">
        <v>-0.15199735882218929</v>
      </c>
      <c r="I352">
        <v>0.11212217470024731</v>
      </c>
      <c r="J352">
        <v>-0.15929196278750798</v>
      </c>
      <c r="K352">
        <v>-0.30875897013535142</v>
      </c>
      <c r="L352">
        <v>-0.15098389243273716</v>
      </c>
      <c r="M352">
        <v>7.3910204610150382E-2</v>
      </c>
      <c r="N352">
        <v>-0.24055459457519818</v>
      </c>
      <c r="P352">
        <v>0.5873254775262553</v>
      </c>
      <c r="Q352">
        <v>0.4126745224737447</v>
      </c>
    </row>
    <row r="353" spans="3:17" x14ac:dyDescent="0.2">
      <c r="C353" t="s">
        <v>38</v>
      </c>
      <c r="D353">
        <v>-0.38260687638861396</v>
      </c>
      <c r="E353">
        <v>0.25154922008763642</v>
      </c>
      <c r="F353">
        <v>-0.29088452021224032</v>
      </c>
      <c r="G353">
        <v>0.53349474397920016</v>
      </c>
      <c r="H353">
        <v>-0.21510711176658212</v>
      </c>
      <c r="I353">
        <v>2.6414601672331447E-2</v>
      </c>
      <c r="J353">
        <v>-0.1225002346237019</v>
      </c>
      <c r="K353">
        <v>-0.27680277507425322</v>
      </c>
      <c r="L353">
        <v>-8.0633092483400573E-2</v>
      </c>
      <c r="M353">
        <v>7.1895726729280296E-2</v>
      </c>
      <c r="N353">
        <v>-8.5754419568262449E-2</v>
      </c>
      <c r="P353">
        <v>0.73651487402568394</v>
      </c>
      <c r="Q353">
        <v>0.26348512597431606</v>
      </c>
    </row>
    <row r="354" spans="3:17" x14ac:dyDescent="0.2">
      <c r="C354" t="s">
        <v>39</v>
      </c>
      <c r="D354">
        <v>-0.45150600787871215</v>
      </c>
      <c r="E354">
        <v>0.10475899541791961</v>
      </c>
      <c r="F354">
        <v>-0.41698307384610417</v>
      </c>
      <c r="G354">
        <v>0.49733852666688494</v>
      </c>
      <c r="H354">
        <v>-0.16227385642925468</v>
      </c>
      <c r="I354">
        <v>0.24441280892403081</v>
      </c>
      <c r="J354">
        <v>-0.12119203615205081</v>
      </c>
      <c r="K354">
        <v>-0.20047927910866725</v>
      </c>
      <c r="L354">
        <v>-7.1998178532000204E-2</v>
      </c>
      <c r="M354">
        <v>7.7779248448983124E-2</v>
      </c>
      <c r="N354">
        <v>-4.9151233893406594E-2</v>
      </c>
      <c r="P354">
        <v>0.79065168587250367</v>
      </c>
      <c r="Q354">
        <v>0.20934831412749633</v>
      </c>
    </row>
    <row r="355" spans="3:17" x14ac:dyDescent="0.2">
      <c r="C355" t="s">
        <v>40</v>
      </c>
      <c r="D355">
        <v>-0.36442436359161923</v>
      </c>
      <c r="E355">
        <v>0.23636939034571661</v>
      </c>
      <c r="F355">
        <v>-0.32345133021903677</v>
      </c>
      <c r="G355">
        <v>0.4825632260893572</v>
      </c>
      <c r="H355">
        <v>-0.24080215585623135</v>
      </c>
      <c r="I355">
        <v>8.9091451494275914E-2</v>
      </c>
      <c r="J355">
        <v>-2.3932683472769306E-2</v>
      </c>
      <c r="K355">
        <v>-0.17078308573253259</v>
      </c>
      <c r="L355">
        <v>0.21715741120410112</v>
      </c>
      <c r="M355">
        <v>7.5018244794057845E-2</v>
      </c>
      <c r="N355">
        <v>-0.27990545830723201</v>
      </c>
      <c r="P355">
        <v>0.75295838025372352</v>
      </c>
      <c r="Q355">
        <v>0.24704161974627648</v>
      </c>
    </row>
    <row r="356" spans="3:17" x14ac:dyDescent="0.2">
      <c r="C356" t="s">
        <v>41</v>
      </c>
      <c r="D356">
        <v>-0.51671070647719242</v>
      </c>
      <c r="E356">
        <v>-5.6144496277620519E-2</v>
      </c>
      <c r="F356">
        <v>0.29163697446291642</v>
      </c>
      <c r="G356">
        <v>7.0659331421083785E-2</v>
      </c>
      <c r="H356">
        <v>-5.2730269697201383E-2</v>
      </c>
      <c r="I356">
        <v>0.22621275644053196</v>
      </c>
      <c r="J356">
        <v>0.35276980707769279</v>
      </c>
      <c r="K356">
        <v>-0.39653062926957999</v>
      </c>
      <c r="L356">
        <v>-8.2012575573005467E-2</v>
      </c>
      <c r="M356">
        <v>3.0661305472608293E-2</v>
      </c>
      <c r="N356">
        <v>-9.4942197641470036E-2</v>
      </c>
      <c r="P356">
        <v>0.71250299299290454</v>
      </c>
      <c r="Q356">
        <v>0.28749700700709546</v>
      </c>
    </row>
    <row r="357" spans="3:17" x14ac:dyDescent="0.2">
      <c r="C357" t="s">
        <v>42</v>
      </c>
      <c r="D357">
        <v>-0.61759475041054301</v>
      </c>
      <c r="E357">
        <v>5.2870001198972442E-2</v>
      </c>
      <c r="F357">
        <v>0.25344432176217557</v>
      </c>
      <c r="G357">
        <v>-0.3434390151246986</v>
      </c>
      <c r="H357">
        <v>-0.10171807575971839</v>
      </c>
      <c r="I357">
        <v>-0.3506976734556328</v>
      </c>
      <c r="J357">
        <v>-3.8681207415763634E-2</v>
      </c>
      <c r="K357">
        <v>-5.9315904661966012E-2</v>
      </c>
      <c r="L357">
        <v>0.11629155649663198</v>
      </c>
      <c r="M357">
        <v>0.33470095317850684</v>
      </c>
      <c r="N357">
        <v>-0.1092724682215208</v>
      </c>
      <c r="P357">
        <v>0.84224185804344831</v>
      </c>
      <c r="Q357">
        <v>0.15775814195655169</v>
      </c>
    </row>
    <row r="358" spans="3:17" x14ac:dyDescent="0.2">
      <c r="C358" t="s">
        <v>43</v>
      </c>
      <c r="D358">
        <v>-0.49280330620830459</v>
      </c>
      <c r="E358">
        <v>-0.20466698891598301</v>
      </c>
      <c r="F358">
        <v>0.17562471478358643</v>
      </c>
      <c r="G358">
        <v>-0.29371202134475793</v>
      </c>
      <c r="H358">
        <v>-0.27281469225199573</v>
      </c>
      <c r="I358">
        <v>-0.1421477357594729</v>
      </c>
      <c r="J358">
        <v>-0.10968664499276301</v>
      </c>
      <c r="K358">
        <v>-0.14142885759787671</v>
      </c>
      <c r="L358">
        <v>9.0712958908352487E-2</v>
      </c>
      <c r="M358">
        <v>0.51142602671013604</v>
      </c>
      <c r="N358">
        <v>3.4230774742157583E-3</v>
      </c>
      <c r="P358">
        <v>0.79831872299813533</v>
      </c>
      <c r="Q358">
        <v>0.20168127700186467</v>
      </c>
    </row>
    <row r="359" spans="3:17" x14ac:dyDescent="0.2">
      <c r="C359" t="s">
        <v>44</v>
      </c>
      <c r="D359">
        <v>-0.45556640805272969</v>
      </c>
      <c r="E359">
        <v>5.620587506552837E-2</v>
      </c>
      <c r="F359">
        <v>-0.42766485106695912</v>
      </c>
      <c r="G359">
        <v>-0.42788533174660726</v>
      </c>
      <c r="H359">
        <v>6.9473085570932111E-2</v>
      </c>
      <c r="I359">
        <v>-0.10377698174710737</v>
      </c>
      <c r="J359">
        <v>-0.27020616863798497</v>
      </c>
      <c r="K359">
        <v>-4.6521085927721265E-2</v>
      </c>
      <c r="L359">
        <v>0.13205261690842854</v>
      </c>
      <c r="M359">
        <v>0.1498815055126593</v>
      </c>
      <c r="N359">
        <v>-0.13633688336435867</v>
      </c>
      <c r="P359">
        <v>0.72594479615778773</v>
      </c>
      <c r="Q359">
        <v>0.27405520384221227</v>
      </c>
    </row>
    <row r="360" spans="3:17" x14ac:dyDescent="0.2">
      <c r="D360">
        <v>13.383033759894326</v>
      </c>
      <c r="E360">
        <v>4.1086932775634617</v>
      </c>
      <c r="F360">
        <v>2.87722588943699</v>
      </c>
      <c r="G360">
        <v>2.524754088538288</v>
      </c>
      <c r="H360">
        <v>1.9297010010070035</v>
      </c>
      <c r="I360">
        <v>1.6282218229654433</v>
      </c>
      <c r="J360">
        <v>1.4758366267872709</v>
      </c>
      <c r="K360">
        <v>1.4076918031914394</v>
      </c>
      <c r="L360">
        <v>1.320689996017528</v>
      </c>
      <c r="M360">
        <v>1.1990304220672441</v>
      </c>
      <c r="N360">
        <v>1.1541647871990706</v>
      </c>
      <c r="P360">
        <v>33.009043474668054</v>
      </c>
      <c r="Q360">
        <v>10.990956525331939</v>
      </c>
    </row>
    <row r="362" spans="3:17" x14ac:dyDescent="0.2">
      <c r="C362" t="s">
        <v>207</v>
      </c>
    </row>
    <row r="364" spans="3:17" x14ac:dyDescent="0.2">
      <c r="D364">
        <v>1</v>
      </c>
      <c r="E364">
        <v>2</v>
      </c>
      <c r="F364">
        <v>3</v>
      </c>
      <c r="G364">
        <v>4</v>
      </c>
      <c r="H364">
        <v>5</v>
      </c>
      <c r="I364">
        <v>6</v>
      </c>
      <c r="J364">
        <v>7</v>
      </c>
      <c r="K364">
        <v>8</v>
      </c>
      <c r="L364">
        <v>9</v>
      </c>
      <c r="M364">
        <v>10</v>
      </c>
      <c r="N364">
        <v>11</v>
      </c>
      <c r="P364" t="s">
        <v>200</v>
      </c>
      <c r="Q364" t="s">
        <v>206</v>
      </c>
    </row>
    <row r="365" spans="3:17" x14ac:dyDescent="0.2">
      <c r="C365" t="s">
        <v>1</v>
      </c>
      <c r="D365">
        <v>-0.33052681040099596</v>
      </c>
      <c r="E365">
        <v>-3.0077944595070214E-2</v>
      </c>
      <c r="F365">
        <v>-0.15584357618322234</v>
      </c>
      <c r="G365">
        <v>6.104066833886667E-2</v>
      </c>
      <c r="H365">
        <v>-0.15316152786012954</v>
      </c>
      <c r="I365">
        <v>-1.2100230809227499E-2</v>
      </c>
      <c r="J365">
        <v>3.7854755264901972E-2</v>
      </c>
      <c r="K365">
        <v>-0.10309990770310705</v>
      </c>
      <c r="L365">
        <v>-0.68883309521387659</v>
      </c>
      <c r="M365">
        <v>0.15437328510887052</v>
      </c>
      <c r="N365">
        <v>-0.20779450380223724</v>
      </c>
      <c r="P365">
        <v>0.71533398126804426</v>
      </c>
      <c r="Q365">
        <v>0.28466601873195574</v>
      </c>
    </row>
    <row r="366" spans="3:17" x14ac:dyDescent="0.2">
      <c r="C366" t="s">
        <v>2</v>
      </c>
      <c r="D366">
        <v>-0.26573370774293958</v>
      </c>
      <c r="E366">
        <v>0.15539500574356555</v>
      </c>
      <c r="F366">
        <v>9.3926471294348644E-3</v>
      </c>
      <c r="G366">
        <v>-9.4886354850631099E-2</v>
      </c>
      <c r="H366">
        <v>2.7627423595195742E-2</v>
      </c>
      <c r="I366">
        <v>0.18093347031073728</v>
      </c>
      <c r="J366">
        <v>0.12412142225693748</v>
      </c>
      <c r="K366">
        <v>2.3041397455591604E-2</v>
      </c>
      <c r="L366">
        <v>-0.74925232784662044</v>
      </c>
      <c r="M366">
        <v>0.2174593221812611</v>
      </c>
      <c r="N366">
        <v>-0.11483482597412752</v>
      </c>
      <c r="P366">
        <v>0.77514552691439842</v>
      </c>
      <c r="Q366">
        <v>0.22485447308560158</v>
      </c>
    </row>
    <row r="367" spans="3:17" x14ac:dyDescent="0.2">
      <c r="C367" t="s">
        <v>3</v>
      </c>
      <c r="D367">
        <v>-0.42476644497621957</v>
      </c>
      <c r="E367">
        <v>2.7922614235135288E-2</v>
      </c>
      <c r="F367">
        <v>0.27837187268368152</v>
      </c>
      <c r="G367">
        <v>5.600832681866403E-2</v>
      </c>
      <c r="H367">
        <v>0.15314530932363832</v>
      </c>
      <c r="I367">
        <v>-0.30475798667145126</v>
      </c>
      <c r="J367">
        <v>-5.4739482968844205E-2</v>
      </c>
      <c r="K367">
        <v>6.5235542330189258E-2</v>
      </c>
      <c r="L367">
        <v>-0.46165200146600704</v>
      </c>
      <c r="M367">
        <v>-0.13034609629256425</v>
      </c>
      <c r="N367">
        <v>0.33863040325138294</v>
      </c>
      <c r="P367">
        <v>0.73020026580706032</v>
      </c>
      <c r="Q367">
        <v>0.26979973419293968</v>
      </c>
    </row>
    <row r="368" spans="3:17" x14ac:dyDescent="0.2">
      <c r="C368" t="s">
        <v>4</v>
      </c>
      <c r="D368">
        <v>-0.43798048230990744</v>
      </c>
      <c r="E368">
        <v>3.9324341463964706E-2</v>
      </c>
      <c r="F368">
        <v>9.0747310396226237E-3</v>
      </c>
      <c r="G368">
        <v>-3.8166476808779479E-2</v>
      </c>
      <c r="H368">
        <v>-0.15457692020927166</v>
      </c>
      <c r="I368">
        <v>-0.22632660697395779</v>
      </c>
      <c r="J368">
        <v>7.0255389951619646E-2</v>
      </c>
      <c r="K368">
        <v>-6.9552633492994037E-2</v>
      </c>
      <c r="L368">
        <v>-0.69425597389205074</v>
      </c>
      <c r="M368">
        <v>6.009454394808654E-2</v>
      </c>
      <c r="N368">
        <v>8.2143376512762212E-2</v>
      </c>
      <c r="P368">
        <v>0.77215372914226887</v>
      </c>
      <c r="Q368">
        <v>0.22784627085773113</v>
      </c>
    </row>
    <row r="369" spans="3:17" x14ac:dyDescent="0.2">
      <c r="C369" t="s">
        <v>5</v>
      </c>
      <c r="D369">
        <v>-0.42421916042495622</v>
      </c>
      <c r="E369">
        <v>0.43895492715440942</v>
      </c>
      <c r="F369">
        <v>1.6165623791803248E-2</v>
      </c>
      <c r="G369">
        <v>0.13453874210913516</v>
      </c>
      <c r="H369">
        <v>-0.10757437956926054</v>
      </c>
      <c r="I369">
        <v>-0.27362506790586705</v>
      </c>
      <c r="J369">
        <v>7.4787642296347595E-4</v>
      </c>
      <c r="K369">
        <v>-1.3744729878768911E-2</v>
      </c>
      <c r="L369">
        <v>-0.39882525824112147</v>
      </c>
      <c r="M369">
        <v>0.138306187053267</v>
      </c>
      <c r="N369">
        <v>7.1554343853730759E-2</v>
      </c>
      <c r="P369">
        <v>0.66094793862310863</v>
      </c>
      <c r="Q369">
        <v>0.33905206137689137</v>
      </c>
    </row>
    <row r="370" spans="3:17" x14ac:dyDescent="0.2">
      <c r="C370" t="s">
        <v>6</v>
      </c>
      <c r="D370">
        <v>-0.81930085111535278</v>
      </c>
      <c r="E370">
        <v>8.915083226385967E-2</v>
      </c>
      <c r="F370">
        <v>-0.13986328403493559</v>
      </c>
      <c r="G370">
        <v>5.2851167022132363E-2</v>
      </c>
      <c r="H370">
        <v>-4.0829721903191077E-2</v>
      </c>
      <c r="I370">
        <v>-3.5093069981062268E-3</v>
      </c>
      <c r="J370">
        <v>-2.7547071744770182E-2</v>
      </c>
      <c r="K370">
        <v>-0.13278970142001234</v>
      </c>
      <c r="L370">
        <v>-0.21642040392874551</v>
      </c>
      <c r="M370">
        <v>-2.1637142671136873E-2</v>
      </c>
      <c r="N370">
        <v>-9.5975441233242212E-2</v>
      </c>
      <c r="P370">
        <v>0.7781453094991132</v>
      </c>
      <c r="Q370">
        <v>0.2218546905008868</v>
      </c>
    </row>
    <row r="371" spans="3:17" x14ac:dyDescent="0.2">
      <c r="C371" t="s">
        <v>7</v>
      </c>
      <c r="D371">
        <v>-0.7513408750768853</v>
      </c>
      <c r="E371">
        <v>0.1237164088331075</v>
      </c>
      <c r="F371">
        <v>-0.16217628310132262</v>
      </c>
      <c r="G371">
        <v>0.10011355791953448</v>
      </c>
      <c r="H371">
        <v>-0.14512611171362635</v>
      </c>
      <c r="I371">
        <v>-2.2267151830566399E-2</v>
      </c>
      <c r="J371">
        <v>6.5296642103236449E-2</v>
      </c>
      <c r="K371">
        <v>-0.18120140901696896</v>
      </c>
      <c r="L371">
        <v>-0.34464339371465835</v>
      </c>
      <c r="M371">
        <v>-4.6799102682289796E-2</v>
      </c>
      <c r="N371">
        <v>4.977655842942226E-2</v>
      </c>
      <c r="P371">
        <v>0.79824467871928517</v>
      </c>
      <c r="Q371">
        <v>0.20175532128071483</v>
      </c>
    </row>
    <row r="372" spans="3:17" x14ac:dyDescent="0.2">
      <c r="C372" t="s">
        <v>8</v>
      </c>
      <c r="D372">
        <v>-0.7064464617930245</v>
      </c>
      <c r="E372">
        <v>3.2753960876957693E-2</v>
      </c>
      <c r="F372">
        <v>-0.17793731194884826</v>
      </c>
      <c r="G372">
        <v>8.6446028100305133E-2</v>
      </c>
      <c r="H372">
        <v>-0.20734101086265977</v>
      </c>
      <c r="I372">
        <v>-0.18775445906059901</v>
      </c>
      <c r="J372">
        <v>4.7072990374528091E-2</v>
      </c>
      <c r="K372">
        <v>0.10350331070686705</v>
      </c>
      <c r="L372">
        <v>-0.24733590720206011</v>
      </c>
      <c r="M372">
        <v>0.14271502750688778</v>
      </c>
      <c r="N372">
        <v>-0.22905788287206524</v>
      </c>
      <c r="P372">
        <v>0.76445500529727395</v>
      </c>
      <c r="Q372">
        <v>0.23554499470272605</v>
      </c>
    </row>
    <row r="373" spans="3:17" x14ac:dyDescent="0.2">
      <c r="C373" t="s">
        <v>9</v>
      </c>
      <c r="D373">
        <v>-0.75399600386747023</v>
      </c>
      <c r="E373">
        <v>0.27615526600236318</v>
      </c>
      <c r="F373">
        <v>-6.898371036167758E-2</v>
      </c>
      <c r="G373">
        <v>9.8945266472983892E-2</v>
      </c>
      <c r="H373">
        <v>1.9355726977296303E-2</v>
      </c>
      <c r="I373">
        <v>-0.1352835013198139</v>
      </c>
      <c r="J373">
        <v>-0.19567546666717614</v>
      </c>
      <c r="K373">
        <v>-0.20570078295625396</v>
      </c>
      <c r="L373">
        <v>-0.1594843615524916</v>
      </c>
      <c r="M373">
        <v>4.5317624665226083E-2</v>
      </c>
      <c r="N373">
        <v>-0.11760254169076774</v>
      </c>
      <c r="P373">
        <v>0.79991789959925752</v>
      </c>
      <c r="Q373">
        <v>0.20008210040074248</v>
      </c>
    </row>
    <row r="374" spans="3:17" x14ac:dyDescent="0.2">
      <c r="C374" t="s">
        <v>10</v>
      </c>
      <c r="D374">
        <v>-0.5387929914434022</v>
      </c>
      <c r="E374">
        <v>6.197738853546212E-2</v>
      </c>
      <c r="F374">
        <v>-0.21287356709005903</v>
      </c>
      <c r="G374">
        <v>0.14291438294796971</v>
      </c>
      <c r="H374">
        <v>2.9614332025750922E-2</v>
      </c>
      <c r="I374">
        <v>-0.28836334153577953</v>
      </c>
      <c r="J374">
        <v>0.26459262648001197</v>
      </c>
      <c r="K374">
        <v>-0.14323462906310305</v>
      </c>
      <c r="L374">
        <v>-0.28365221900916116</v>
      </c>
      <c r="M374">
        <v>5.019855075549097E-2</v>
      </c>
      <c r="N374">
        <v>-0.38413908588725243</v>
      </c>
      <c r="P374">
        <v>0.76497591624376515</v>
      </c>
      <c r="Q374">
        <v>0.23502408375623485</v>
      </c>
    </row>
    <row r="375" spans="3:17" x14ac:dyDescent="0.2">
      <c r="C375" t="s">
        <v>11</v>
      </c>
      <c r="D375">
        <v>-0.82792845051794584</v>
      </c>
      <c r="E375">
        <v>9.5937465657268781E-2</v>
      </c>
      <c r="F375">
        <v>-4.2763568485569843E-2</v>
      </c>
      <c r="G375">
        <v>-4.4983900366309983E-2</v>
      </c>
      <c r="H375">
        <v>3.6431648582945391E-3</v>
      </c>
      <c r="I375">
        <v>4.8177104341503053E-3</v>
      </c>
      <c r="J375">
        <v>0.21151536979973043</v>
      </c>
      <c r="K375">
        <v>-0.11133255881038796</v>
      </c>
      <c r="L375">
        <v>-0.1636120555827415</v>
      </c>
      <c r="M375">
        <v>0.19799404083748764</v>
      </c>
      <c r="N375">
        <v>8.9267198145534243E-2</v>
      </c>
      <c r="P375">
        <v>0.82963114147629069</v>
      </c>
      <c r="Q375">
        <v>0.17036885852370931</v>
      </c>
    </row>
    <row r="376" spans="3:17" x14ac:dyDescent="0.2">
      <c r="C376" t="s">
        <v>12</v>
      </c>
      <c r="D376">
        <v>-0.78565363085361339</v>
      </c>
      <c r="E376">
        <v>0.1504560150220795</v>
      </c>
      <c r="F376">
        <v>-2.4775171676879929E-2</v>
      </c>
      <c r="G376">
        <v>0.27416814749270141</v>
      </c>
      <c r="H376">
        <v>-1.8305123603721198E-2</v>
      </c>
      <c r="I376">
        <v>-0.17468562592059933</v>
      </c>
      <c r="J376">
        <v>-9.5645330961146441E-2</v>
      </c>
      <c r="K376">
        <v>-0.11788223797013851</v>
      </c>
      <c r="L376">
        <v>1.2538881374808974E-2</v>
      </c>
      <c r="M376">
        <v>0.24083730819779631</v>
      </c>
      <c r="N376">
        <v>6.1009530827351045E-3</v>
      </c>
      <c r="P376">
        <v>0.82776207337253283</v>
      </c>
      <c r="Q376">
        <v>0.17223792662746717</v>
      </c>
    </row>
    <row r="377" spans="3:17" x14ac:dyDescent="0.2">
      <c r="C377" t="s">
        <v>13</v>
      </c>
      <c r="D377">
        <v>-0.80022701197032575</v>
      </c>
      <c r="E377">
        <v>0.15088831680295478</v>
      </c>
      <c r="F377">
        <v>-8.0707568174573599E-2</v>
      </c>
      <c r="G377">
        <v>0.14203609783636972</v>
      </c>
      <c r="H377">
        <v>-7.999179643488083E-2</v>
      </c>
      <c r="I377">
        <v>-1.7975356122017692E-2</v>
      </c>
      <c r="J377">
        <v>9.9507838466482479E-2</v>
      </c>
      <c r="K377">
        <v>-4.1170458311110228E-2</v>
      </c>
      <c r="L377">
        <v>-3.8617924650466894E-2</v>
      </c>
      <c r="M377">
        <v>0.12421395723331435</v>
      </c>
      <c r="N377">
        <v>0.22986266637771757</v>
      </c>
      <c r="P377">
        <v>0.77789443363237487</v>
      </c>
      <c r="Q377">
        <v>0.22210556636762513</v>
      </c>
    </row>
    <row r="378" spans="3:17" x14ac:dyDescent="0.2">
      <c r="C378" t="s">
        <v>14</v>
      </c>
      <c r="D378">
        <v>-1.6470843542506844E-2</v>
      </c>
      <c r="E378">
        <v>7.4448758785699051E-2</v>
      </c>
      <c r="F378">
        <v>-0.33666107097508069</v>
      </c>
      <c r="G378">
        <v>0.22118539560500294</v>
      </c>
      <c r="H378">
        <v>-0.20768583486850589</v>
      </c>
      <c r="I378">
        <v>-1.8827665396064359E-2</v>
      </c>
      <c r="J378">
        <v>0.67038844510010909</v>
      </c>
      <c r="K378">
        <v>0.33066918182503618</v>
      </c>
      <c r="L378">
        <v>-0.10596753108016596</v>
      </c>
      <c r="M378">
        <v>8.5794977126902192E-2</v>
      </c>
      <c r="N378">
        <v>4.8513059270218414E-2</v>
      </c>
      <c r="P378">
        <v>0.79127163709582549</v>
      </c>
      <c r="Q378">
        <v>0.20872836290417451</v>
      </c>
    </row>
    <row r="379" spans="3:17" x14ac:dyDescent="0.2">
      <c r="C379" t="s">
        <v>15</v>
      </c>
      <c r="D379">
        <v>-6.1945488249895632E-2</v>
      </c>
      <c r="E379">
        <v>0.25527404151373423</v>
      </c>
      <c r="F379">
        <v>-0.17520736838135584</v>
      </c>
      <c r="G379">
        <v>9.7397771100283428E-2</v>
      </c>
      <c r="H379">
        <v>-6.3175086172112982E-2</v>
      </c>
      <c r="I379">
        <v>-6.8853126992315331E-3</v>
      </c>
      <c r="J379">
        <v>0.85120273282471681</v>
      </c>
      <c r="K379">
        <v>-1.4565085158942597E-2</v>
      </c>
      <c r="L379">
        <v>-9.9726439637478584E-2</v>
      </c>
      <c r="M379">
        <v>-3.044982980409144E-2</v>
      </c>
      <c r="N379">
        <v>-2.0175509095959259E-2</v>
      </c>
      <c r="P379">
        <v>0.84926236671861766</v>
      </c>
      <c r="Q379">
        <v>0.15073763328138234</v>
      </c>
    </row>
    <row r="380" spans="3:17" x14ac:dyDescent="0.2">
      <c r="C380" t="s">
        <v>16</v>
      </c>
      <c r="D380">
        <v>-0.28297153954100329</v>
      </c>
      <c r="E380">
        <v>0.40842614004681299</v>
      </c>
      <c r="F380">
        <v>9.6324915389740626E-2</v>
      </c>
      <c r="G380">
        <v>3.9915551367896013E-2</v>
      </c>
      <c r="H380">
        <v>-0.14956096702187927</v>
      </c>
      <c r="I380">
        <v>-0.23215286424220397</v>
      </c>
      <c r="J380">
        <v>0.49308394256440524</v>
      </c>
      <c r="K380">
        <v>-4.275563897662242E-2</v>
      </c>
      <c r="L380">
        <v>0.14990084942861073</v>
      </c>
      <c r="M380">
        <v>0.39091367804883315</v>
      </c>
      <c r="N380">
        <v>-8.1022871779659212E-3</v>
      </c>
      <c r="P380">
        <v>0.75432921434372413</v>
      </c>
      <c r="Q380">
        <v>0.24567078565627587</v>
      </c>
    </row>
    <row r="381" spans="3:17" x14ac:dyDescent="0.2">
      <c r="C381" t="s">
        <v>17</v>
      </c>
      <c r="D381">
        <v>3.2111354984459856E-2</v>
      </c>
      <c r="E381">
        <v>7.2912188891493868E-2</v>
      </c>
      <c r="F381">
        <v>-0.10187546410361613</v>
      </c>
      <c r="G381">
        <v>-2.3091147871473466E-2</v>
      </c>
      <c r="H381">
        <v>7.908777448781662E-2</v>
      </c>
      <c r="I381">
        <v>-0.19489713621199514</v>
      </c>
      <c r="J381">
        <v>0.80472764652890971</v>
      </c>
      <c r="K381">
        <v>-0.24312093854931202</v>
      </c>
      <c r="L381">
        <v>-8.1277844740772084E-2</v>
      </c>
      <c r="M381">
        <v>-7.6592407869705845E-3</v>
      </c>
      <c r="N381">
        <v>7.6779565991479282E-2</v>
      </c>
      <c r="P381">
        <v>0.78075313709934302</v>
      </c>
      <c r="Q381">
        <v>0.21924686290065698</v>
      </c>
    </row>
    <row r="382" spans="3:17" x14ac:dyDescent="0.2">
      <c r="C382" t="s">
        <v>18</v>
      </c>
      <c r="D382">
        <v>-0.22646508110469415</v>
      </c>
      <c r="E382">
        <v>-5.9489748074630838E-2</v>
      </c>
      <c r="F382">
        <v>-4.6635320947671956E-2</v>
      </c>
      <c r="G382">
        <v>0.20189811880486358</v>
      </c>
      <c r="H382">
        <v>-1.9459677195939631E-2</v>
      </c>
      <c r="I382">
        <v>-0.70632676873063216</v>
      </c>
      <c r="J382">
        <v>7.4230761382093988E-2</v>
      </c>
      <c r="K382">
        <v>0.22247158923515556</v>
      </c>
      <c r="L382">
        <v>-0.11056269824270316</v>
      </c>
      <c r="M382">
        <v>0.19803412833662179</v>
      </c>
      <c r="N382">
        <v>-2.3337870772101279E-2</v>
      </c>
      <c r="P382">
        <v>0.70402944627770914</v>
      </c>
      <c r="Q382">
        <v>0.29597055372229086</v>
      </c>
    </row>
    <row r="383" spans="3:17" x14ac:dyDescent="0.2">
      <c r="C383" t="s">
        <v>19</v>
      </c>
      <c r="D383">
        <v>-0.36569645784445975</v>
      </c>
      <c r="E383">
        <v>0.72770094103847749</v>
      </c>
      <c r="F383">
        <v>5.3884452237733894E-2</v>
      </c>
      <c r="G383">
        <v>0.23336282666764846</v>
      </c>
      <c r="H383">
        <v>-0.13388919454547149</v>
      </c>
      <c r="I383">
        <v>0.12914286601702796</v>
      </c>
      <c r="J383">
        <v>2.4213811318199139E-2</v>
      </c>
      <c r="K383">
        <v>8.9534410156090483E-2</v>
      </c>
      <c r="L383">
        <v>-0.10330516525669066</v>
      </c>
      <c r="M383">
        <v>5.2400092456438445E-2</v>
      </c>
      <c r="N383">
        <v>0.10641871074522936</v>
      </c>
      <c r="P383">
        <v>0.78859388630605776</v>
      </c>
      <c r="Q383">
        <v>0.21140611369394224</v>
      </c>
    </row>
    <row r="384" spans="3:17" x14ac:dyDescent="0.2">
      <c r="C384" t="s">
        <v>20</v>
      </c>
      <c r="D384">
        <v>-0.1452063538072785</v>
      </c>
      <c r="E384">
        <v>0.85083204837827053</v>
      </c>
      <c r="F384">
        <v>-4.8720487606639877E-2</v>
      </c>
      <c r="G384">
        <v>-1.773329556464778E-2</v>
      </c>
      <c r="H384">
        <v>-4.9425066907132144E-2</v>
      </c>
      <c r="I384">
        <v>5.2310070837474285E-3</v>
      </c>
      <c r="J384">
        <v>0.11459682471495819</v>
      </c>
      <c r="K384">
        <v>-7.2780221250430377E-2</v>
      </c>
      <c r="L384">
        <v>-5.1527628642292718E-2</v>
      </c>
      <c r="M384">
        <v>0.1184303262439568</v>
      </c>
      <c r="N384">
        <v>3.5373427811827902E-2</v>
      </c>
      <c r="P384">
        <v>0.78651992701458395</v>
      </c>
      <c r="Q384">
        <v>0.21348007298541605</v>
      </c>
    </row>
    <row r="385" spans="3:17" x14ac:dyDescent="0.2">
      <c r="C385" t="s">
        <v>21</v>
      </c>
      <c r="D385">
        <v>-9.3806105656546152E-2</v>
      </c>
      <c r="E385">
        <v>0.72540327578777375</v>
      </c>
      <c r="F385">
        <v>-1.1034604511264047E-2</v>
      </c>
      <c r="G385">
        <v>0.35301817883538639</v>
      </c>
      <c r="H385">
        <v>0.11991895880852323</v>
      </c>
      <c r="I385">
        <v>-7.8281675664187339E-2</v>
      </c>
      <c r="J385">
        <v>0.2968469652315075</v>
      </c>
      <c r="K385">
        <v>1.1834146827156885E-2</v>
      </c>
      <c r="L385">
        <v>3.9775141038923163E-2</v>
      </c>
      <c r="M385">
        <v>4.6775559342682252E-2</v>
      </c>
      <c r="N385">
        <v>7.7315471925197762E-2</v>
      </c>
      <c r="P385">
        <v>0.77826753728735187</v>
      </c>
      <c r="Q385">
        <v>0.22173246271264813</v>
      </c>
    </row>
    <row r="386" spans="3:17" x14ac:dyDescent="0.2">
      <c r="C386" t="s">
        <v>22</v>
      </c>
      <c r="D386">
        <v>5.1930412076940581E-2</v>
      </c>
      <c r="E386">
        <v>0.49022921450142193</v>
      </c>
      <c r="F386">
        <v>-0.26913913058988298</v>
      </c>
      <c r="G386">
        <v>0.35769164643855594</v>
      </c>
      <c r="H386">
        <v>-3.8934450139107568E-2</v>
      </c>
      <c r="I386">
        <v>-0.38233616025574624</v>
      </c>
      <c r="J386">
        <v>8.8690496081739179E-2</v>
      </c>
      <c r="K386">
        <v>-7.1732709787570792E-2</v>
      </c>
      <c r="L386">
        <v>5.1789504329297575E-2</v>
      </c>
      <c r="M386">
        <v>-2.1195248612579487E-2</v>
      </c>
      <c r="N386">
        <v>-5.3145300620410472E-2</v>
      </c>
      <c r="P386">
        <v>0.61006486689165729</v>
      </c>
      <c r="Q386">
        <v>0.38993513310834271</v>
      </c>
    </row>
    <row r="387" spans="3:17" x14ac:dyDescent="0.2">
      <c r="C387" t="s">
        <v>23</v>
      </c>
      <c r="D387">
        <v>2.0912646021090598E-2</v>
      </c>
      <c r="E387">
        <v>0.61780000446805761</v>
      </c>
      <c r="F387">
        <v>-7.5008798346044728E-4</v>
      </c>
      <c r="G387">
        <v>-3.2020107907323188E-2</v>
      </c>
      <c r="H387">
        <v>0.25056973673587712</v>
      </c>
      <c r="I387">
        <v>-0.31116271231312392</v>
      </c>
      <c r="J387">
        <v>7.0487320288881758E-2</v>
      </c>
      <c r="K387">
        <v>-0.36402244815224544</v>
      </c>
      <c r="L387">
        <v>7.8830662762714304E-2</v>
      </c>
      <c r="M387">
        <v>0.13256559212148872</v>
      </c>
      <c r="N387">
        <v>0.21871240904160655</v>
      </c>
      <c r="P387">
        <v>0.75185129328383593</v>
      </c>
      <c r="Q387">
        <v>0.24814870671616407</v>
      </c>
    </row>
    <row r="388" spans="3:17" x14ac:dyDescent="0.2">
      <c r="C388" t="s">
        <v>24</v>
      </c>
      <c r="D388">
        <v>1.1414583021118252E-2</v>
      </c>
      <c r="E388">
        <v>0.20212982938455062</v>
      </c>
      <c r="F388">
        <v>-0.14539994075592383</v>
      </c>
      <c r="G388">
        <v>-9.8756054597229272E-3</v>
      </c>
      <c r="H388">
        <v>1.5499822932131995E-2</v>
      </c>
      <c r="I388">
        <v>-2.1423991047742168E-2</v>
      </c>
      <c r="J388">
        <v>7.9341989847860797E-2</v>
      </c>
      <c r="K388">
        <v>-0.13465686622508391</v>
      </c>
      <c r="L388">
        <v>6.025354840574116E-2</v>
      </c>
      <c r="M388">
        <v>6.3213250368937463E-2</v>
      </c>
      <c r="N388">
        <v>0.75965598111780086</v>
      </c>
      <c r="P388">
        <v>0.67205590063125276</v>
      </c>
      <c r="Q388">
        <v>0.32794409936874724</v>
      </c>
    </row>
    <row r="389" spans="3:17" x14ac:dyDescent="0.2">
      <c r="C389" t="s">
        <v>25</v>
      </c>
      <c r="D389">
        <v>-0.27604159096616421</v>
      </c>
      <c r="E389">
        <v>0.56258355420314587</v>
      </c>
      <c r="F389">
        <v>-0.4415151925589228</v>
      </c>
      <c r="G389">
        <v>-0.1354118605469172</v>
      </c>
      <c r="H389">
        <v>-0.20036963131199714</v>
      </c>
      <c r="I389">
        <v>-0.10119241928442821</v>
      </c>
      <c r="J389">
        <v>0.13078193843037206</v>
      </c>
      <c r="K389">
        <v>-0.11742737139589494</v>
      </c>
      <c r="L389">
        <v>-7.5690138990331918E-2</v>
      </c>
      <c r="M389">
        <v>5.0993947876028872E-2</v>
      </c>
      <c r="N389">
        <v>0.18351580726240396</v>
      </c>
      <c r="P389">
        <v>0.72925968186092249</v>
      </c>
      <c r="Q389">
        <v>0.27074031813907751</v>
      </c>
    </row>
    <row r="390" spans="3:17" x14ac:dyDescent="0.2">
      <c r="C390" t="s">
        <v>26</v>
      </c>
      <c r="D390">
        <v>-0.22770644235765708</v>
      </c>
      <c r="E390">
        <v>0.3423318410800929</v>
      </c>
      <c r="F390">
        <v>-0.10478278544141123</v>
      </c>
      <c r="G390">
        <v>0.15760285995974771</v>
      </c>
      <c r="H390">
        <v>-6.9974469729885733E-2</v>
      </c>
      <c r="I390">
        <v>-0.62581068809704843</v>
      </c>
      <c r="J390">
        <v>0.12492794776217833</v>
      </c>
      <c r="K390">
        <v>-0.32022478527233422</v>
      </c>
      <c r="L390">
        <v>1.3742255224396977E-2</v>
      </c>
      <c r="M390">
        <v>-7.7354175667694258E-2</v>
      </c>
      <c r="N390">
        <v>9.8308896286021852E-2</v>
      </c>
      <c r="P390">
        <v>0.73538291304693848</v>
      </c>
      <c r="Q390">
        <v>0.26461708695306152</v>
      </c>
    </row>
    <row r="391" spans="3:17" x14ac:dyDescent="0.2">
      <c r="C391" t="s">
        <v>27</v>
      </c>
      <c r="D391">
        <v>-0.36701907116850646</v>
      </c>
      <c r="E391">
        <v>0.42641338687637309</v>
      </c>
      <c r="F391">
        <v>-0.35521273047209934</v>
      </c>
      <c r="G391">
        <v>9.8131808625032457E-2</v>
      </c>
      <c r="H391">
        <v>-2.7736540206862351E-2</v>
      </c>
      <c r="I391">
        <v>-0.19117085777707413</v>
      </c>
      <c r="J391">
        <v>0.23598092503981213</v>
      </c>
      <c r="K391">
        <v>-0.42753150685342189</v>
      </c>
      <c r="L391">
        <v>-0.1426700082026465</v>
      </c>
      <c r="M391">
        <v>-0.10200380690764474</v>
      </c>
      <c r="N391">
        <v>7.244754626755924E-2</v>
      </c>
      <c r="P391">
        <v>0.76413126454749447</v>
      </c>
      <c r="Q391">
        <v>0.23586873545250553</v>
      </c>
    </row>
    <row r="392" spans="3:17" x14ac:dyDescent="0.2">
      <c r="C392" t="s">
        <v>28</v>
      </c>
      <c r="D392">
        <v>-0.41131814018455104</v>
      </c>
      <c r="E392">
        <v>0.16422327873315465</v>
      </c>
      <c r="F392">
        <v>-0.45222651534856401</v>
      </c>
      <c r="G392">
        <v>0.11924042291860047</v>
      </c>
      <c r="H392">
        <v>0.10388137251081858</v>
      </c>
      <c r="I392">
        <v>-0.4212761851240876</v>
      </c>
      <c r="J392">
        <v>0.26452176717631487</v>
      </c>
      <c r="K392">
        <v>-0.17389397316774066</v>
      </c>
      <c r="L392">
        <v>-0.11640921289385214</v>
      </c>
      <c r="M392">
        <v>2.4916640588056305E-2</v>
      </c>
      <c r="N392">
        <v>-0.17723344130591226</v>
      </c>
      <c r="P392">
        <v>0.74893847682833337</v>
      </c>
      <c r="Q392">
        <v>0.25106152317166663</v>
      </c>
    </row>
    <row r="393" spans="3:17" x14ac:dyDescent="0.2">
      <c r="C393" t="s">
        <v>29</v>
      </c>
      <c r="D393">
        <v>-0.36154987176317838</v>
      </c>
      <c r="E393">
        <v>7.1341438251144626E-2</v>
      </c>
      <c r="F393">
        <v>-0.73779678377306934</v>
      </c>
      <c r="G393">
        <v>8.922654066274438E-2</v>
      </c>
      <c r="H393">
        <v>0.15134447443389321</v>
      </c>
      <c r="I393">
        <v>-0.18414996011085458</v>
      </c>
      <c r="J393">
        <v>8.3912279182941432E-2</v>
      </c>
      <c r="K393">
        <v>-7.375290772612679E-2</v>
      </c>
      <c r="L393">
        <v>1.4149948949898251E-2</v>
      </c>
      <c r="M393">
        <v>-0.12172827560681564</v>
      </c>
      <c r="N393">
        <v>-7.5541689992125339E-3</v>
      </c>
      <c r="P393">
        <v>0.77248555964123566</v>
      </c>
      <c r="Q393">
        <v>0.22751444035876434</v>
      </c>
    </row>
    <row r="394" spans="3:17" x14ac:dyDescent="0.2">
      <c r="C394" t="s">
        <v>30</v>
      </c>
      <c r="D394">
        <v>-9.8454341726112019E-2</v>
      </c>
      <c r="E394">
        <v>3.862984161286475E-2</v>
      </c>
      <c r="F394">
        <v>-0.64268339450853662</v>
      </c>
      <c r="G394">
        <v>0.13387117935267595</v>
      </c>
      <c r="H394">
        <v>-0.22604546877002979</v>
      </c>
      <c r="I394">
        <v>-5.7044511131220645E-2</v>
      </c>
      <c r="J394">
        <v>0.22305970589302887</v>
      </c>
      <c r="K394">
        <v>5.8192217562858639E-2</v>
      </c>
      <c r="L394">
        <v>9.885032815891695E-2</v>
      </c>
      <c r="M394">
        <v>6.5568166155579921E-2</v>
      </c>
      <c r="N394">
        <v>0.33765115405318202</v>
      </c>
      <c r="P394">
        <v>0.67772043070925581</v>
      </c>
      <c r="Q394">
        <v>0.32227956929074419</v>
      </c>
    </row>
    <row r="395" spans="3:17" x14ac:dyDescent="0.2">
      <c r="C395" t="s">
        <v>31</v>
      </c>
      <c r="D395">
        <v>2.4826803951024563E-2</v>
      </c>
      <c r="E395">
        <v>0.26359612404822186</v>
      </c>
      <c r="F395">
        <v>-0.14863278791852602</v>
      </c>
      <c r="G395">
        <v>0.15943415328553937</v>
      </c>
      <c r="H395">
        <v>-0.38767506974645649</v>
      </c>
      <c r="I395">
        <v>-0.57026154601367163</v>
      </c>
      <c r="J395">
        <v>0.14449873768315247</v>
      </c>
      <c r="K395">
        <v>-9.4587678855466734E-2</v>
      </c>
      <c r="L395">
        <v>6.5193181628855165E-2</v>
      </c>
      <c r="M395">
        <v>0.15930857995502451</v>
      </c>
      <c r="N395">
        <v>2.0111579916769561E-2</v>
      </c>
      <c r="P395">
        <v>0.65296099665901863</v>
      </c>
      <c r="Q395">
        <v>0.34703900334098137</v>
      </c>
    </row>
    <row r="396" spans="3:17" x14ac:dyDescent="0.2">
      <c r="C396" t="s">
        <v>32</v>
      </c>
      <c r="D396">
        <v>-0.14105343590946168</v>
      </c>
      <c r="E396">
        <v>0.54989572908104123</v>
      </c>
      <c r="F396">
        <v>3.8923724053890579E-2</v>
      </c>
      <c r="G396">
        <v>-4.0509996010486389E-2</v>
      </c>
      <c r="H396">
        <v>-0.24569097549382937</v>
      </c>
      <c r="I396">
        <v>-0.24448234812937764</v>
      </c>
      <c r="J396">
        <v>2.2029635456011019E-2</v>
      </c>
      <c r="K396">
        <v>-0.18944201058614632</v>
      </c>
      <c r="L396">
        <v>-0.33007882783898218</v>
      </c>
      <c r="M396">
        <v>0.24857371685945201</v>
      </c>
      <c r="N396">
        <v>-0.14314776118250327</v>
      </c>
      <c r="P396">
        <v>0.67317896174607994</v>
      </c>
      <c r="Q396">
        <v>0.32682103825392006</v>
      </c>
    </row>
    <row r="397" spans="3:17" x14ac:dyDescent="0.2">
      <c r="C397" t="s">
        <v>33</v>
      </c>
      <c r="D397">
        <v>-0.11960182300889886</v>
      </c>
      <c r="E397">
        <v>-7.1708914103016923E-3</v>
      </c>
      <c r="F397">
        <v>-6.9335150705335538E-2</v>
      </c>
      <c r="G397">
        <v>0.20719624897984865</v>
      </c>
      <c r="H397">
        <v>-0.68286586038262143</v>
      </c>
      <c r="I397">
        <v>-9.702006949434927E-2</v>
      </c>
      <c r="J397">
        <v>-8.7028579086164161E-3</v>
      </c>
      <c r="K397">
        <v>2.4490546966518166E-2</v>
      </c>
      <c r="L397">
        <v>-0.45144481185005592</v>
      </c>
      <c r="M397">
        <v>-6.6216566868244744E-2</v>
      </c>
      <c r="N397">
        <v>1.3160931509769406E-2</v>
      </c>
      <c r="P397">
        <v>0.74684813224495827</v>
      </c>
      <c r="Q397">
        <v>0.25315186775504173</v>
      </c>
    </row>
    <row r="398" spans="3:17" x14ac:dyDescent="0.2">
      <c r="C398" t="s">
        <v>34</v>
      </c>
      <c r="D398">
        <v>-0.35852184403679949</v>
      </c>
      <c r="E398">
        <v>0.2517423113911863</v>
      </c>
      <c r="F398">
        <v>-1.7600749966269841E-2</v>
      </c>
      <c r="G398">
        <v>0.12311352213902452</v>
      </c>
      <c r="H398">
        <v>-0.534362175993366</v>
      </c>
      <c r="I398">
        <v>-0.16975308203128153</v>
      </c>
      <c r="J398">
        <v>0.28221123709672385</v>
      </c>
      <c r="K398">
        <v>-0.37164498171952304</v>
      </c>
      <c r="L398">
        <v>4.7911851097680293E-2</v>
      </c>
      <c r="M398">
        <v>0.22516206573231942</v>
      </c>
      <c r="N398">
        <v>-7.3509036733856059E-2</v>
      </c>
      <c r="P398">
        <v>0.79789812830341833</v>
      </c>
      <c r="Q398">
        <v>0.20210187169658167</v>
      </c>
    </row>
    <row r="399" spans="3:17" x14ac:dyDescent="0.2">
      <c r="C399" t="s">
        <v>35</v>
      </c>
      <c r="D399">
        <v>-0.38227320746487709</v>
      </c>
      <c r="E399">
        <v>0.2247402678546068</v>
      </c>
      <c r="F399">
        <v>-0.14662324760628034</v>
      </c>
      <c r="G399">
        <v>4.8084455539518331E-2</v>
      </c>
      <c r="H399">
        <v>-0.39916394074570027</v>
      </c>
      <c r="I399">
        <v>-0.11571968877943457</v>
      </c>
      <c r="J399">
        <v>0.13173047836812907</v>
      </c>
      <c r="K399">
        <v>-0.59685924384111044</v>
      </c>
      <c r="L399">
        <v>5.4512083990310788E-2</v>
      </c>
      <c r="M399">
        <v>0.12320191289388485</v>
      </c>
      <c r="N399">
        <v>-1.4605729312148423E-2</v>
      </c>
      <c r="P399">
        <v>0.78513186456693318</v>
      </c>
      <c r="Q399">
        <v>0.21486813543306682</v>
      </c>
    </row>
    <row r="400" spans="3:17" x14ac:dyDescent="0.2">
      <c r="C400" t="s">
        <v>36</v>
      </c>
      <c r="D400">
        <v>-0.35121942715749105</v>
      </c>
      <c r="E400">
        <v>3.6337978547105729E-2</v>
      </c>
      <c r="F400">
        <v>-0.11594100071475126</v>
      </c>
      <c r="G400">
        <v>-3.3551765057420101E-2</v>
      </c>
      <c r="H400">
        <v>-1.1710662578023276E-3</v>
      </c>
      <c r="I400">
        <v>9.1613889821717559E-2</v>
      </c>
      <c r="J400">
        <v>-0.13108329579157935</v>
      </c>
      <c r="K400">
        <v>-0.6224113985257973</v>
      </c>
      <c r="L400">
        <v>-0.30613544263282483</v>
      </c>
      <c r="M400">
        <v>0.20221570135441314</v>
      </c>
      <c r="N400">
        <v>0.17324617759203509</v>
      </c>
      <c r="P400">
        <v>0.71684116409830356</v>
      </c>
      <c r="Q400">
        <v>0.28315883590169644</v>
      </c>
    </row>
    <row r="401" spans="3:47" x14ac:dyDescent="0.2">
      <c r="C401" t="s">
        <v>37</v>
      </c>
      <c r="D401">
        <v>7.6520133853969205E-2</v>
      </c>
      <c r="E401">
        <v>-3.7242504240591811E-3</v>
      </c>
      <c r="F401">
        <v>-0.29725780955812287</v>
      </c>
      <c r="G401">
        <v>0.27922074210287262</v>
      </c>
      <c r="H401">
        <v>5.9166061176011142E-3</v>
      </c>
      <c r="I401">
        <v>6.4759996085151039E-2</v>
      </c>
      <c r="J401">
        <v>0.28588327322534185</v>
      </c>
      <c r="K401">
        <v>-0.24395063230453218</v>
      </c>
      <c r="L401">
        <v>-0.44516725233305876</v>
      </c>
      <c r="M401">
        <v>0.24235092716809065</v>
      </c>
      <c r="N401">
        <v>0.11292463750005274</v>
      </c>
      <c r="P401">
        <v>0.58732547752625541</v>
      </c>
      <c r="Q401">
        <v>0.41267452247374459</v>
      </c>
    </row>
    <row r="402" spans="3:47" x14ac:dyDescent="0.2">
      <c r="C402" t="s">
        <v>38</v>
      </c>
      <c r="D402">
        <v>-8.8412046380369563E-2</v>
      </c>
      <c r="E402">
        <v>8.9992693719049416E-2</v>
      </c>
      <c r="F402">
        <v>-4.1173224618381597E-2</v>
      </c>
      <c r="G402">
        <v>0.80146943190426967</v>
      </c>
      <c r="H402">
        <v>-0.10357902090791236</v>
      </c>
      <c r="I402">
        <v>-0.23092525185334889</v>
      </c>
      <c r="J402">
        <v>1.496496861320175E-2</v>
      </c>
      <c r="K402">
        <v>-7.71747882473168E-2</v>
      </c>
      <c r="L402">
        <v>-7.2925450984169873E-3</v>
      </c>
      <c r="M402">
        <v>-6.7340825627224222E-3</v>
      </c>
      <c r="N402">
        <v>7.8851135888581989E-2</v>
      </c>
      <c r="P402">
        <v>0.73651487402568383</v>
      </c>
      <c r="Q402">
        <v>0.26348512597431617</v>
      </c>
    </row>
    <row r="403" spans="3:47" x14ac:dyDescent="0.2">
      <c r="C403" t="s">
        <v>39</v>
      </c>
      <c r="D403">
        <v>-0.27151414910207639</v>
      </c>
      <c r="E403">
        <v>2.7228802291352355E-2</v>
      </c>
      <c r="F403">
        <v>-8.4217490076845147E-2</v>
      </c>
      <c r="G403">
        <v>0.80638719601716002</v>
      </c>
      <c r="H403">
        <v>-7.1251126635846332E-2</v>
      </c>
      <c r="I403">
        <v>-8.6093537861660685E-2</v>
      </c>
      <c r="J403">
        <v>0.10596786091061007</v>
      </c>
      <c r="K403">
        <v>3.3485372129069282E-2</v>
      </c>
      <c r="L403">
        <v>-0.11557673910931635</v>
      </c>
      <c r="M403">
        <v>-8.4842333408683301E-2</v>
      </c>
      <c r="N403">
        <v>0.11593949861033234</v>
      </c>
      <c r="P403">
        <v>0.7906516858725029</v>
      </c>
      <c r="Q403">
        <v>0.2093483141274971</v>
      </c>
    </row>
    <row r="404" spans="3:47" x14ac:dyDescent="0.2">
      <c r="C404" t="s">
        <v>40</v>
      </c>
      <c r="D404">
        <v>-0.1146783071050911</v>
      </c>
      <c r="E404">
        <v>0.16059279541595084</v>
      </c>
      <c r="F404">
        <v>-7.9338505273577747E-2</v>
      </c>
      <c r="G404">
        <v>0.80264816110849324</v>
      </c>
      <c r="H404">
        <v>-3.8673767054079038E-2</v>
      </c>
      <c r="I404">
        <v>-3.1373719174645286E-2</v>
      </c>
      <c r="J404">
        <v>7.4708606702385896E-2</v>
      </c>
      <c r="K404">
        <v>-1.8595907147671627E-2</v>
      </c>
      <c r="L404">
        <v>4.6892530506928633E-2</v>
      </c>
      <c r="M404">
        <v>5.6713134456172688E-2</v>
      </c>
      <c r="N404">
        <v>-0.22283650512334652</v>
      </c>
      <c r="P404">
        <v>0.75295838025372397</v>
      </c>
      <c r="Q404">
        <v>0.24704161974627603</v>
      </c>
    </row>
    <row r="405" spans="3:47" x14ac:dyDescent="0.2">
      <c r="C405" t="s">
        <v>41</v>
      </c>
      <c r="D405">
        <v>-0.39179028466768051</v>
      </c>
      <c r="E405">
        <v>0.15147416898414626</v>
      </c>
      <c r="F405">
        <v>0.32259487405723941</v>
      </c>
      <c r="G405">
        <v>0.19678724196716249</v>
      </c>
      <c r="H405">
        <v>3.9497576030688153E-2</v>
      </c>
      <c r="I405">
        <v>7.9609966194920268E-3</v>
      </c>
      <c r="J405">
        <v>0.27907876421227212</v>
      </c>
      <c r="K405">
        <v>-0.52308310502638944</v>
      </c>
      <c r="L405">
        <v>-7.3462001728847884E-2</v>
      </c>
      <c r="M405">
        <v>0.1670125251343432</v>
      </c>
      <c r="N405">
        <v>8.2777375936335926E-2</v>
      </c>
      <c r="P405">
        <v>0.7125029929929062</v>
      </c>
      <c r="Q405">
        <v>0.2874970070070938</v>
      </c>
    </row>
    <row r="406" spans="3:47" x14ac:dyDescent="0.2">
      <c r="C406" t="s">
        <v>42</v>
      </c>
      <c r="D406">
        <v>-0.19792365460838246</v>
      </c>
      <c r="E406">
        <v>0.32742299419685383</v>
      </c>
      <c r="F406">
        <v>-0.19774234948332825</v>
      </c>
      <c r="G406">
        <v>-9.4478183665288692E-2</v>
      </c>
      <c r="H406">
        <v>-2.5327559254040618E-2</v>
      </c>
      <c r="I406">
        <v>-0.24158759764708462</v>
      </c>
      <c r="J406">
        <v>6.4674184103325455E-2</v>
      </c>
      <c r="K406">
        <v>-0.24235571500389602</v>
      </c>
      <c r="L406">
        <v>-0.16199049634477139</v>
      </c>
      <c r="M406">
        <v>0.70554172337329879</v>
      </c>
      <c r="N406">
        <v>-4.3347021667822269E-2</v>
      </c>
      <c r="P406">
        <v>0.84224185804344764</v>
      </c>
      <c r="Q406">
        <v>0.15775814195655236</v>
      </c>
    </row>
    <row r="407" spans="3:47" x14ac:dyDescent="0.2">
      <c r="C407" t="s">
        <v>43</v>
      </c>
      <c r="D407">
        <v>-0.25690859414948719</v>
      </c>
      <c r="E407">
        <v>0.12238312990183924</v>
      </c>
      <c r="F407">
        <v>-8.8169229659701004E-3</v>
      </c>
      <c r="G407">
        <v>1.3616949797154013E-2</v>
      </c>
      <c r="H407">
        <v>-1.66621011004611E-2</v>
      </c>
      <c r="I407">
        <v>-4.2920296878510324E-2</v>
      </c>
      <c r="J407">
        <v>-1.5275884763623992E-2</v>
      </c>
      <c r="K407">
        <v>-5.5641841270806937E-2</v>
      </c>
      <c r="L407">
        <v>-0.29371790800761255</v>
      </c>
      <c r="M407">
        <v>0.78360483753637011</v>
      </c>
      <c r="N407">
        <v>0.10639554391995185</v>
      </c>
      <c r="P407">
        <v>0.79831872299813278</v>
      </c>
      <c r="Q407">
        <v>0.20168127700186722</v>
      </c>
    </row>
    <row r="408" spans="3:47" x14ac:dyDescent="0.2">
      <c r="C408" t="s">
        <v>44</v>
      </c>
      <c r="D408">
        <v>-8.4306199307909113E-2</v>
      </c>
      <c r="E408">
        <v>-3.4988061636388856E-3</v>
      </c>
      <c r="F408">
        <v>-0.66059131597083076</v>
      </c>
      <c r="G408">
        <v>0.10397172215364205</v>
      </c>
      <c r="H408">
        <v>-0.10565759839730783</v>
      </c>
      <c r="I408">
        <v>2.2860705774366889E-2</v>
      </c>
      <c r="J408">
        <v>0.20433863809184274</v>
      </c>
      <c r="K408">
        <v>-1.9332101508998716E-2</v>
      </c>
      <c r="L408">
        <v>-0.31422022966671725</v>
      </c>
      <c r="M408">
        <v>0.34271345357171601</v>
      </c>
      <c r="N408">
        <v>-4.04103996933192E-2</v>
      </c>
      <c r="P408">
        <v>0.72594479615778695</v>
      </c>
      <c r="Q408">
        <v>0.27405520384221305</v>
      </c>
    </row>
    <row r="409" spans="3:47" x14ac:dyDescent="0.2">
      <c r="D409">
        <v>6.9436965839415219</v>
      </c>
      <c r="E409">
        <v>4.3839812581912412</v>
      </c>
      <c r="F409">
        <v>2.7443349382452396</v>
      </c>
      <c r="G409">
        <v>2.8480126106819292</v>
      </c>
      <c r="H409">
        <v>1.6157001316323567</v>
      </c>
      <c r="I409">
        <v>2.5021627296168938</v>
      </c>
      <c r="J409">
        <v>2.9688643332265401</v>
      </c>
      <c r="K409">
        <v>2.2297952237745076</v>
      </c>
      <c r="L409">
        <v>3.2372718192361951</v>
      </c>
      <c r="M409">
        <v>2.0558509879181366</v>
      </c>
      <c r="N409">
        <v>1.4793728582035008</v>
      </c>
      <c r="P409">
        <v>33.009043474668061</v>
      </c>
      <c r="Q409">
        <v>10.99095652533194</v>
      </c>
    </row>
    <row r="411" spans="3:47" x14ac:dyDescent="0.2">
      <c r="C411" t="s">
        <v>208</v>
      </c>
    </row>
    <row r="413" spans="3:47" x14ac:dyDescent="0.2">
      <c r="D413" t="s">
        <v>1</v>
      </c>
      <c r="E413" t="s">
        <v>2</v>
      </c>
      <c r="F413" t="s">
        <v>3</v>
      </c>
      <c r="G413" t="s">
        <v>4</v>
      </c>
      <c r="H413" t="s">
        <v>5</v>
      </c>
      <c r="I413" t="s">
        <v>6</v>
      </c>
      <c r="J413" t="s">
        <v>7</v>
      </c>
      <c r="K413" t="s">
        <v>8</v>
      </c>
      <c r="L413" t="s">
        <v>9</v>
      </c>
      <c r="M413" t="s">
        <v>10</v>
      </c>
      <c r="N413" t="s">
        <v>11</v>
      </c>
      <c r="O413" t="s">
        <v>12</v>
      </c>
      <c r="P413" t="s">
        <v>13</v>
      </c>
      <c r="Q413" t="s">
        <v>14</v>
      </c>
      <c r="R413" t="s">
        <v>15</v>
      </c>
      <c r="S413" t="s">
        <v>16</v>
      </c>
      <c r="T413" t="s">
        <v>17</v>
      </c>
      <c r="U413" t="s">
        <v>18</v>
      </c>
      <c r="V413" t="s">
        <v>19</v>
      </c>
      <c r="W413" t="s">
        <v>20</v>
      </c>
      <c r="X413" t="s">
        <v>21</v>
      </c>
      <c r="Y413" t="s">
        <v>22</v>
      </c>
      <c r="Z413" t="s">
        <v>23</v>
      </c>
      <c r="AA413" t="s">
        <v>24</v>
      </c>
      <c r="AB413" t="s">
        <v>25</v>
      </c>
      <c r="AC413" t="s">
        <v>26</v>
      </c>
      <c r="AD413" t="s">
        <v>27</v>
      </c>
      <c r="AE413" t="s">
        <v>28</v>
      </c>
      <c r="AF413" t="s">
        <v>29</v>
      </c>
      <c r="AG413" t="s">
        <v>30</v>
      </c>
      <c r="AH413" t="s">
        <v>31</v>
      </c>
      <c r="AI413" t="s">
        <v>32</v>
      </c>
      <c r="AJ413" t="s">
        <v>33</v>
      </c>
      <c r="AK413" t="s">
        <v>34</v>
      </c>
      <c r="AL413" t="s">
        <v>35</v>
      </c>
      <c r="AM413" t="s">
        <v>36</v>
      </c>
      <c r="AN413" t="s">
        <v>37</v>
      </c>
      <c r="AO413" t="s">
        <v>38</v>
      </c>
      <c r="AP413" t="s">
        <v>39</v>
      </c>
      <c r="AQ413" t="s">
        <v>40</v>
      </c>
      <c r="AR413" t="s">
        <v>41</v>
      </c>
      <c r="AS413" t="s">
        <v>42</v>
      </c>
      <c r="AT413" t="s">
        <v>43</v>
      </c>
      <c r="AU413" t="s">
        <v>44</v>
      </c>
    </row>
    <row r="414" spans="3:47" x14ac:dyDescent="0.2">
      <c r="C414" t="s">
        <v>1</v>
      </c>
      <c r="D414">
        <v>0.71533398126804526</v>
      </c>
      <c r="E414">
        <v>0.64534642289146116</v>
      </c>
      <c r="F414">
        <v>0.29854059060763311</v>
      </c>
      <c r="G414">
        <v>0.64651630419150519</v>
      </c>
      <c r="H414">
        <v>0.4351447621656005</v>
      </c>
      <c r="I414">
        <v>0.47776662161683936</v>
      </c>
      <c r="J414">
        <v>0.53948705887575488</v>
      </c>
      <c r="K414">
        <v>0.53066224258682726</v>
      </c>
      <c r="L414">
        <v>0.41146405724359308</v>
      </c>
      <c r="M414">
        <v>0.52481733861191293</v>
      </c>
      <c r="N414">
        <v>0.41827163533863193</v>
      </c>
      <c r="O414">
        <v>0.31647493912413405</v>
      </c>
      <c r="P414">
        <v>0.29969891535981785</v>
      </c>
      <c r="Q414">
        <v>0.16865293446332516</v>
      </c>
      <c r="R414">
        <v>0.15771632247261355</v>
      </c>
      <c r="S414">
        <v>7.6233251421836346E-2</v>
      </c>
      <c r="T414">
        <v>8.6284150816009819E-2</v>
      </c>
      <c r="U414">
        <v>0.19921420525796182</v>
      </c>
      <c r="V414">
        <v>0.17259741391356262</v>
      </c>
      <c r="W414">
        <v>9.4688038353750739E-2</v>
      </c>
      <c r="X414">
        <v>-1.1191110552050045E-2</v>
      </c>
      <c r="Y414">
        <v>2.5307466226021175E-2</v>
      </c>
      <c r="Z414">
        <v>-0.10102933888796284</v>
      </c>
      <c r="AA414">
        <v>-0.16262234035940343</v>
      </c>
      <c r="AB414">
        <v>0.20570670549075856</v>
      </c>
      <c r="AC414">
        <v>0.10511488027953339</v>
      </c>
      <c r="AD414">
        <v>0.2968794582211316</v>
      </c>
      <c r="AE414">
        <v>0.3467571725318217</v>
      </c>
      <c r="AF414">
        <v>0.2006431297684643</v>
      </c>
      <c r="AG414">
        <v>4.9334079232585662E-2</v>
      </c>
      <c r="AH414">
        <v>7.3766918153847783E-2</v>
      </c>
      <c r="AI414">
        <v>0.37798519761712113</v>
      </c>
      <c r="AJ414">
        <v>0.46412174502981157</v>
      </c>
      <c r="AK414">
        <v>0.27111497806439533</v>
      </c>
      <c r="AL414">
        <v>0.25894111590632796</v>
      </c>
      <c r="AM414">
        <v>0.39538767117709278</v>
      </c>
      <c r="AN414">
        <v>0.39306645058228462</v>
      </c>
      <c r="AO414">
        <v>9.6635298801456215E-2</v>
      </c>
      <c r="AP414">
        <v>0.20620872187768144</v>
      </c>
      <c r="AQ414">
        <v>0.12823887223403357</v>
      </c>
      <c r="AR414">
        <v>0.20421193302582535</v>
      </c>
      <c r="AS414">
        <v>0.34436675910758086</v>
      </c>
      <c r="AT414">
        <v>0.39285099532609119</v>
      </c>
      <c r="AU414">
        <v>0.44064865295067229</v>
      </c>
    </row>
    <row r="415" spans="3:47" x14ac:dyDescent="0.2">
      <c r="C415" t="s">
        <v>2</v>
      </c>
      <c r="D415">
        <v>0.64534642289146116</v>
      </c>
      <c r="E415">
        <v>0.7751455269143982</v>
      </c>
      <c r="F415">
        <v>0.33697518530159642</v>
      </c>
      <c r="G415">
        <v>0.61190878893974798</v>
      </c>
      <c r="H415">
        <v>0.43630266685242136</v>
      </c>
      <c r="I415">
        <v>0.38546870897535301</v>
      </c>
      <c r="J415">
        <v>0.44608195962111069</v>
      </c>
      <c r="K415">
        <v>0.39412639182346665</v>
      </c>
      <c r="L415">
        <v>0.32312272884131144</v>
      </c>
      <c r="M415">
        <v>0.38298701280869624</v>
      </c>
      <c r="N415">
        <v>0.41883544253214311</v>
      </c>
      <c r="O415">
        <v>0.20148416899839369</v>
      </c>
      <c r="P415">
        <v>0.25734916882398678</v>
      </c>
      <c r="Q415">
        <v>0.16596282518064251</v>
      </c>
      <c r="R415">
        <v>0.21798319925820145</v>
      </c>
      <c r="S415">
        <v>0.12348537436550033</v>
      </c>
      <c r="T415">
        <v>0.11565001820195986</v>
      </c>
      <c r="U415">
        <v>4.5927226754785819E-2</v>
      </c>
      <c r="V415">
        <v>0.28993379128662999</v>
      </c>
      <c r="W415">
        <v>0.2444531198798689</v>
      </c>
      <c r="X415">
        <v>0.10180991322244724</v>
      </c>
      <c r="Y415">
        <v>-7.2295552650793765E-2</v>
      </c>
      <c r="Z415">
        <v>-1.0890921496213971E-2</v>
      </c>
      <c r="AA415">
        <v>-8.7388405444895345E-2</v>
      </c>
      <c r="AB415">
        <v>0.20588644512056758</v>
      </c>
      <c r="AC415">
        <v>-4.767520719878271E-2</v>
      </c>
      <c r="AD415">
        <v>0.21162261633202956</v>
      </c>
      <c r="AE415">
        <v>0.18772254989547466</v>
      </c>
      <c r="AF415">
        <v>3.5138804250923882E-2</v>
      </c>
      <c r="AG415">
        <v>-7.2692063188883049E-2</v>
      </c>
      <c r="AH415">
        <v>-9.6806402829425084E-2</v>
      </c>
      <c r="AI415">
        <v>0.39229498820366587</v>
      </c>
      <c r="AJ415">
        <v>0.29575599398378233</v>
      </c>
      <c r="AK415">
        <v>0.12503882350646631</v>
      </c>
      <c r="AL415">
        <v>8.8824665013460605E-2</v>
      </c>
      <c r="AM415">
        <v>0.34045607244642473</v>
      </c>
      <c r="AN415">
        <v>0.36482138882375426</v>
      </c>
      <c r="AO415">
        <v>-8.857652201045374E-2</v>
      </c>
      <c r="AP415">
        <v>5.028675074419571E-2</v>
      </c>
      <c r="AQ415">
        <v>-1.6589042885151291E-2</v>
      </c>
      <c r="AR415">
        <v>0.2189808052829692</v>
      </c>
      <c r="AS415">
        <v>0.34839059982771525</v>
      </c>
      <c r="AT415">
        <v>0.45276103332578826</v>
      </c>
      <c r="AU415">
        <v>0.34652068149026638</v>
      </c>
    </row>
    <row r="416" spans="3:47" x14ac:dyDescent="0.2">
      <c r="C416" t="s">
        <v>3</v>
      </c>
      <c r="D416">
        <v>0.29854059060763311</v>
      </c>
      <c r="E416">
        <v>0.33697518530159642</v>
      </c>
      <c r="F416">
        <v>0.73020026580706032</v>
      </c>
      <c r="G416">
        <v>0.56493283892499013</v>
      </c>
      <c r="H416">
        <v>0.4607847918950369</v>
      </c>
      <c r="I416">
        <v>0.37241987589949432</v>
      </c>
      <c r="J416">
        <v>0.43428763664265913</v>
      </c>
      <c r="K416">
        <v>0.30395480077405612</v>
      </c>
      <c r="L416">
        <v>0.38370245439148143</v>
      </c>
      <c r="M416">
        <v>0.24225106730964197</v>
      </c>
      <c r="N416">
        <v>0.40013268778774763</v>
      </c>
      <c r="O416">
        <v>0.3592435389336826</v>
      </c>
      <c r="P416">
        <v>0.39418197191944776</v>
      </c>
      <c r="Q416">
        <v>-5.9282167434176206E-2</v>
      </c>
      <c r="R416">
        <v>-2.1822720316432401E-2</v>
      </c>
      <c r="S416">
        <v>5.5816642482740465E-2</v>
      </c>
      <c r="T416">
        <v>3.4861718721257373E-2</v>
      </c>
      <c r="U416">
        <v>0.33291354206697271</v>
      </c>
      <c r="V416">
        <v>0.22527612641143507</v>
      </c>
      <c r="W416">
        <v>7.1025799997121622E-2</v>
      </c>
      <c r="X416">
        <v>0.10526790976453368</v>
      </c>
      <c r="Y416">
        <v>-1.3765175376765464E-3</v>
      </c>
      <c r="Z416">
        <v>0.13235359569880606</v>
      </c>
      <c r="AA416">
        <v>0.17672923540477142</v>
      </c>
      <c r="AB416">
        <v>7.8246234892410324E-2</v>
      </c>
      <c r="AC416">
        <v>0.27524441935764044</v>
      </c>
      <c r="AD416">
        <v>0.1913169638686476</v>
      </c>
      <c r="AE416">
        <v>0.16903950415243696</v>
      </c>
      <c r="AF416">
        <v>3.1852473776590201E-2</v>
      </c>
      <c r="AG416">
        <v>-9.399739727136365E-2</v>
      </c>
      <c r="AH416">
        <v>2.0658607860340114E-2</v>
      </c>
      <c r="AI416">
        <v>0.1786597040794673</v>
      </c>
      <c r="AJ416">
        <v>0.19146851579548546</v>
      </c>
      <c r="AK416">
        <v>1.5159175868441194E-2</v>
      </c>
      <c r="AL416">
        <v>1.234818339654482E-2</v>
      </c>
      <c r="AM416">
        <v>0.22815610141979401</v>
      </c>
      <c r="AN416">
        <v>6.2052488782926629E-2</v>
      </c>
      <c r="AO416">
        <v>0.1531005273179662</v>
      </c>
      <c r="AP416">
        <v>0.25319648339813167</v>
      </c>
      <c r="AQ416">
        <v>-3.009848121741638E-2</v>
      </c>
      <c r="AR416">
        <v>0.2658698240893429</v>
      </c>
      <c r="AS416">
        <v>5.1412883059545195E-2</v>
      </c>
      <c r="AT416">
        <v>0.18807102977339724</v>
      </c>
      <c r="AU416">
        <v>-9.1243643374037092E-2</v>
      </c>
    </row>
    <row r="417" spans="3:47" x14ac:dyDescent="0.2">
      <c r="C417" t="s">
        <v>4</v>
      </c>
      <c r="D417">
        <v>0.64651630419150519</v>
      </c>
      <c r="E417">
        <v>0.61190878893974798</v>
      </c>
      <c r="F417">
        <v>0.56493283892499013</v>
      </c>
      <c r="G417">
        <v>0.77215372914226832</v>
      </c>
      <c r="H417">
        <v>0.56871480955439002</v>
      </c>
      <c r="I417">
        <v>0.51453047782362127</v>
      </c>
      <c r="J417">
        <v>0.61385546856546747</v>
      </c>
      <c r="K417">
        <v>0.53791112215482539</v>
      </c>
      <c r="L417">
        <v>0.46866488157163932</v>
      </c>
      <c r="M417">
        <v>0.48865915863950493</v>
      </c>
      <c r="N417">
        <v>0.52148774867285119</v>
      </c>
      <c r="O417">
        <v>0.38944262210661335</v>
      </c>
      <c r="P417">
        <v>0.42970864368276107</v>
      </c>
      <c r="Q417">
        <v>0.14181813604640042</v>
      </c>
      <c r="R417">
        <v>0.16974899194571355</v>
      </c>
      <c r="S417">
        <v>0.17138107254820337</v>
      </c>
      <c r="T417">
        <v>0.1563655949509789</v>
      </c>
      <c r="U417">
        <v>0.32807166441490015</v>
      </c>
      <c r="V417">
        <v>0.2509189106745271</v>
      </c>
      <c r="W417">
        <v>0.16265588341765616</v>
      </c>
      <c r="X417">
        <v>5.6797959795426005E-2</v>
      </c>
      <c r="Y417">
        <v>4.2616210471531898E-2</v>
      </c>
      <c r="Z417">
        <v>4.9517058202842613E-2</v>
      </c>
      <c r="AA417">
        <v>4.3767648774883774E-2</v>
      </c>
      <c r="AB417">
        <v>0.28610359262935259</v>
      </c>
      <c r="AC417">
        <v>0.28361653463551867</v>
      </c>
      <c r="AD417">
        <v>0.36328688402011022</v>
      </c>
      <c r="AE417">
        <v>0.3556762718332277</v>
      </c>
      <c r="AF417">
        <v>0.16260572723085451</v>
      </c>
      <c r="AG417">
        <v>5.6223094700802896E-2</v>
      </c>
      <c r="AH417">
        <v>0.16374471611611249</v>
      </c>
      <c r="AI417">
        <v>0.42567567324416111</v>
      </c>
      <c r="AJ417">
        <v>0.47928293138011302</v>
      </c>
      <c r="AK417">
        <v>0.30299172788752449</v>
      </c>
      <c r="AL417">
        <v>0.28011873040787533</v>
      </c>
      <c r="AM417">
        <v>0.40793148946185426</v>
      </c>
      <c r="AN417">
        <v>0.30736558712311635</v>
      </c>
      <c r="AO417">
        <v>9.7128597864487826E-2</v>
      </c>
      <c r="AP417">
        <v>0.20872724113162286</v>
      </c>
      <c r="AQ417">
        <v>-2.643118444523123E-3</v>
      </c>
      <c r="AR417">
        <v>0.28888888992703143</v>
      </c>
      <c r="AS417">
        <v>0.33266818489689914</v>
      </c>
      <c r="AT417">
        <v>0.39156574539282119</v>
      </c>
      <c r="AU417">
        <v>0.28910772178673516</v>
      </c>
    </row>
    <row r="418" spans="3:47" x14ac:dyDescent="0.2">
      <c r="C418" t="s">
        <v>5</v>
      </c>
      <c r="D418">
        <v>0.4351447621656005</v>
      </c>
      <c r="E418">
        <v>0.43630266685242136</v>
      </c>
      <c r="F418">
        <v>0.4607847918950369</v>
      </c>
      <c r="G418">
        <v>0.56871480955439002</v>
      </c>
      <c r="H418">
        <v>0.66094793862310952</v>
      </c>
      <c r="I418">
        <v>0.47515680477494904</v>
      </c>
      <c r="J418">
        <v>0.54267230844108261</v>
      </c>
      <c r="K418">
        <v>0.49710308843898038</v>
      </c>
      <c r="L418">
        <v>0.55235093776839528</v>
      </c>
      <c r="M418">
        <v>0.44202579664950897</v>
      </c>
      <c r="N418">
        <v>0.48559410100839234</v>
      </c>
      <c r="O418">
        <v>0.51587973845394031</v>
      </c>
      <c r="P418">
        <v>0.48670237818156448</v>
      </c>
      <c r="Q418">
        <v>0.14503219499757811</v>
      </c>
      <c r="R418">
        <v>0.19223887886009472</v>
      </c>
      <c r="S418">
        <v>0.3805199393889695</v>
      </c>
      <c r="T418">
        <v>9.9244018912671067E-2</v>
      </c>
      <c r="U418">
        <v>0.35854113056390319</v>
      </c>
      <c r="V418">
        <v>0.54074726624699654</v>
      </c>
      <c r="W418">
        <v>0.47633569901987083</v>
      </c>
      <c r="X418">
        <v>0.41024717507121078</v>
      </c>
      <c r="Y418">
        <v>0.3193994453791813</v>
      </c>
      <c r="Z418">
        <v>0.32378268555138207</v>
      </c>
      <c r="AA418">
        <v>0.12537821676607408</v>
      </c>
      <c r="AB418">
        <v>0.44002195362741647</v>
      </c>
      <c r="AC418">
        <v>0.44049039063195594</v>
      </c>
      <c r="AD418">
        <v>0.45965532572632273</v>
      </c>
      <c r="AE418">
        <v>0.39918352943542257</v>
      </c>
      <c r="AF418">
        <v>0.19693360308949792</v>
      </c>
      <c r="AG418">
        <v>9.9441835850718197E-2</v>
      </c>
      <c r="AH418">
        <v>0.32084379451518508</v>
      </c>
      <c r="AI418">
        <v>0.54812314291050812</v>
      </c>
      <c r="AJ418">
        <v>0.34583878792264405</v>
      </c>
      <c r="AK418">
        <v>0.39489893159618211</v>
      </c>
      <c r="AL418">
        <v>0.34207692856338706</v>
      </c>
      <c r="AM418">
        <v>0.30453018286036104</v>
      </c>
      <c r="AN418">
        <v>0.20301779720688157</v>
      </c>
      <c r="AO418">
        <v>0.26719247113606148</v>
      </c>
      <c r="AP418">
        <v>0.30776043933802461</v>
      </c>
      <c r="AQ418">
        <v>0.21209979444061774</v>
      </c>
      <c r="AR418">
        <v>0.32367727891213638</v>
      </c>
      <c r="AS418">
        <v>0.44307285956556125</v>
      </c>
      <c r="AT418">
        <v>0.41181812524622113</v>
      </c>
      <c r="AU418">
        <v>0.21289397951297995</v>
      </c>
    </row>
    <row r="419" spans="3:47" x14ac:dyDescent="0.2">
      <c r="C419" t="s">
        <v>6</v>
      </c>
      <c r="D419">
        <v>0.47776662161683936</v>
      </c>
      <c r="E419">
        <v>0.38546870897535301</v>
      </c>
      <c r="F419">
        <v>0.37241987589949432</v>
      </c>
      <c r="G419">
        <v>0.51453047782362127</v>
      </c>
      <c r="H419">
        <v>0.47515680477494904</v>
      </c>
      <c r="I419">
        <v>0.77814530949911331</v>
      </c>
      <c r="J419">
        <v>0.75366695011015516</v>
      </c>
      <c r="K419">
        <v>0.67767609054740674</v>
      </c>
      <c r="L419">
        <v>0.73445847650868346</v>
      </c>
      <c r="M419">
        <v>0.59298931531917032</v>
      </c>
      <c r="N419">
        <v>0.72182802563480775</v>
      </c>
      <c r="O419">
        <v>0.68619368276555226</v>
      </c>
      <c r="P419">
        <v>0.67753717813169989</v>
      </c>
      <c r="Q419">
        <v>4.149841609055762E-2</v>
      </c>
      <c r="R419">
        <v>0.10843011978183867</v>
      </c>
      <c r="S419">
        <v>0.21578109929634665</v>
      </c>
      <c r="T419">
        <v>1.117740873375926E-2</v>
      </c>
      <c r="U419">
        <v>0.19100206171475731</v>
      </c>
      <c r="V419">
        <v>0.37275476899888133</v>
      </c>
      <c r="W419">
        <v>0.21439852394268877</v>
      </c>
      <c r="X419">
        <v>0.13031559787189287</v>
      </c>
      <c r="Y419">
        <v>6.2069377513432229E-2</v>
      </c>
      <c r="Z419">
        <v>3.2694306863160522E-2</v>
      </c>
      <c r="AA419">
        <v>-4.3696193029319173E-2</v>
      </c>
      <c r="AB419">
        <v>0.34910214670871881</v>
      </c>
      <c r="AC419">
        <v>0.27346274378851176</v>
      </c>
      <c r="AD419">
        <v>0.47178688196505147</v>
      </c>
      <c r="AE419">
        <v>0.4758915556704576</v>
      </c>
      <c r="AF419">
        <v>0.41273017824734387</v>
      </c>
      <c r="AG419">
        <v>0.12141010391744317</v>
      </c>
      <c r="AH419">
        <v>3.9297048859575648E-2</v>
      </c>
      <c r="AI419">
        <v>0.27223845326778284</v>
      </c>
      <c r="AJ419">
        <v>0.24107941173202665</v>
      </c>
      <c r="AK419">
        <v>0.380952884561024</v>
      </c>
      <c r="AL419">
        <v>0.43555142183536055</v>
      </c>
      <c r="AM419">
        <v>0.43667488140787403</v>
      </c>
      <c r="AN419">
        <v>9.7619116272774614E-2</v>
      </c>
      <c r="AO419">
        <v>0.13760766115704651</v>
      </c>
      <c r="AP419">
        <v>0.29084392415802601</v>
      </c>
      <c r="AQ419">
        <v>0.17390215400531356</v>
      </c>
      <c r="AR419">
        <v>0.36425145985445034</v>
      </c>
      <c r="AS419">
        <v>0.27024773538254504</v>
      </c>
      <c r="AT419">
        <v>0.26838944140688142</v>
      </c>
      <c r="AU419">
        <v>0.23228637014161846</v>
      </c>
    </row>
    <row r="420" spans="3:47" x14ac:dyDescent="0.2">
      <c r="C420" t="s">
        <v>7</v>
      </c>
      <c r="D420">
        <v>0.53948705887575488</v>
      </c>
      <c r="E420">
        <v>0.44608195962111069</v>
      </c>
      <c r="F420">
        <v>0.43428763664265913</v>
      </c>
      <c r="G420">
        <v>0.61385546856546747</v>
      </c>
      <c r="H420">
        <v>0.54267230844108261</v>
      </c>
      <c r="I420">
        <v>0.75366695011015516</v>
      </c>
      <c r="J420">
        <v>0.79824467871928528</v>
      </c>
      <c r="K420">
        <v>0.65809808887909393</v>
      </c>
      <c r="L420">
        <v>0.69345647485991657</v>
      </c>
      <c r="M420">
        <v>0.58295856755096342</v>
      </c>
      <c r="N420">
        <v>0.72127141294371866</v>
      </c>
      <c r="O420">
        <v>0.64674614169102129</v>
      </c>
      <c r="P420">
        <v>0.6921241311103159</v>
      </c>
      <c r="Q420">
        <v>0.14766481273035173</v>
      </c>
      <c r="R420">
        <v>0.21862146318392228</v>
      </c>
      <c r="S420">
        <v>0.24797021221318413</v>
      </c>
      <c r="T420">
        <v>0.120758020828182</v>
      </c>
      <c r="U420">
        <v>0.20133054809794168</v>
      </c>
      <c r="V420">
        <v>0.41977606276563201</v>
      </c>
      <c r="W420">
        <v>0.26219136470434079</v>
      </c>
      <c r="X420">
        <v>0.18688579480784148</v>
      </c>
      <c r="Y420">
        <v>0.11454054415106266</v>
      </c>
      <c r="Z420">
        <v>7.6278266426757876E-2</v>
      </c>
      <c r="AA420">
        <v>8.0919424934850173E-2</v>
      </c>
      <c r="AB420">
        <v>0.42903305694274602</v>
      </c>
      <c r="AC420">
        <v>0.34025879855370916</v>
      </c>
      <c r="AD420">
        <v>0.55465252000551113</v>
      </c>
      <c r="AE420">
        <v>0.4878537002835977</v>
      </c>
      <c r="AF420">
        <v>0.4104830780852291</v>
      </c>
      <c r="AG420">
        <v>0.21414856594803189</v>
      </c>
      <c r="AH420">
        <v>0.1206357729042436</v>
      </c>
      <c r="AI420">
        <v>0.3355090116912568</v>
      </c>
      <c r="AJ420">
        <v>0.37655974469008269</v>
      </c>
      <c r="AK420">
        <v>0.4520874782181532</v>
      </c>
      <c r="AL420">
        <v>0.4955934251818751</v>
      </c>
      <c r="AM420">
        <v>0.49084514817863106</v>
      </c>
      <c r="AN420">
        <v>0.22648238127407216</v>
      </c>
      <c r="AO420">
        <v>0.20636525956675927</v>
      </c>
      <c r="AP420">
        <v>0.3644402784063574</v>
      </c>
      <c r="AQ420">
        <v>0.18390489416733968</v>
      </c>
      <c r="AR420">
        <v>0.40921116252997708</v>
      </c>
      <c r="AS420">
        <v>0.28967223230158357</v>
      </c>
      <c r="AT420">
        <v>0.29327053849959134</v>
      </c>
      <c r="AU420">
        <v>0.3023650753039715</v>
      </c>
    </row>
    <row r="421" spans="3:47" x14ac:dyDescent="0.2">
      <c r="C421" t="s">
        <v>8</v>
      </c>
      <c r="D421">
        <v>0.53066224258682726</v>
      </c>
      <c r="E421">
        <v>0.39412639182346665</v>
      </c>
      <c r="F421">
        <v>0.30395480077405612</v>
      </c>
      <c r="G421">
        <v>0.53791112215482539</v>
      </c>
      <c r="H421">
        <v>0.49710308843898038</v>
      </c>
      <c r="I421">
        <v>0.67767609054740674</v>
      </c>
      <c r="J421">
        <v>0.65809808887909393</v>
      </c>
      <c r="K421">
        <v>0.76445500529727339</v>
      </c>
      <c r="L421">
        <v>0.62626779691537238</v>
      </c>
      <c r="M421">
        <v>0.64383363620104994</v>
      </c>
      <c r="N421">
        <v>0.63679996559680097</v>
      </c>
      <c r="O421">
        <v>0.63782164342729408</v>
      </c>
      <c r="P421">
        <v>0.59190940352433863</v>
      </c>
      <c r="Q421">
        <v>0.23282024807945753</v>
      </c>
      <c r="R421">
        <v>0.16961228401267966</v>
      </c>
      <c r="S421">
        <v>0.31354529057508129</v>
      </c>
      <c r="T421">
        <v>3.0169175949494167E-2</v>
      </c>
      <c r="U421">
        <v>0.40791427856719664</v>
      </c>
      <c r="V421">
        <v>0.31533910096498613</v>
      </c>
      <c r="W421">
        <v>0.16625583149908391</v>
      </c>
      <c r="X421">
        <v>0.10666930879712556</v>
      </c>
      <c r="Y421">
        <v>0.13112925483384541</v>
      </c>
      <c r="Z421">
        <v>-7.5739838239336832E-2</v>
      </c>
      <c r="AA421">
        <v>-0.165705313397807</v>
      </c>
      <c r="AB421">
        <v>0.31880074866686914</v>
      </c>
      <c r="AC421">
        <v>0.27213078972237503</v>
      </c>
      <c r="AD421">
        <v>0.35757151807479026</v>
      </c>
      <c r="AE421">
        <v>0.51168475543135572</v>
      </c>
      <c r="AF421">
        <v>0.37711668776796631</v>
      </c>
      <c r="AG421">
        <v>0.17841668950302639</v>
      </c>
      <c r="AH421">
        <v>0.21779111381898619</v>
      </c>
      <c r="AI421">
        <v>0.33540831889799805</v>
      </c>
      <c r="AJ421">
        <v>0.37562704210068243</v>
      </c>
      <c r="AK421">
        <v>0.42990319737883326</v>
      </c>
      <c r="AL421">
        <v>0.36402265393030842</v>
      </c>
      <c r="AM421">
        <v>0.24438162234503691</v>
      </c>
      <c r="AN421">
        <v>0.11650005434572792</v>
      </c>
      <c r="AO421">
        <v>0.18234730007138664</v>
      </c>
      <c r="AP421">
        <v>0.30670940789869328</v>
      </c>
      <c r="AQ421">
        <v>0.2328164615454191</v>
      </c>
      <c r="AR421">
        <v>0.2137062864448746</v>
      </c>
      <c r="AS421">
        <v>0.35682217251749671</v>
      </c>
      <c r="AT421">
        <v>0.35339014117833734</v>
      </c>
      <c r="AU421">
        <v>0.34709247608826177</v>
      </c>
    </row>
    <row r="422" spans="3:47" x14ac:dyDescent="0.2">
      <c r="C422" t="s">
        <v>9</v>
      </c>
      <c r="D422">
        <v>0.41146405724359308</v>
      </c>
      <c r="E422">
        <v>0.32312272884131144</v>
      </c>
      <c r="F422">
        <v>0.38370245439148143</v>
      </c>
      <c r="G422">
        <v>0.46866488157163932</v>
      </c>
      <c r="H422">
        <v>0.55235093776839528</v>
      </c>
      <c r="I422">
        <v>0.73445847650868346</v>
      </c>
      <c r="J422">
        <v>0.69345647485991657</v>
      </c>
      <c r="K422">
        <v>0.62626779691537238</v>
      </c>
      <c r="L422">
        <v>0.79991789959925619</v>
      </c>
      <c r="M422">
        <v>0.56215055897538757</v>
      </c>
      <c r="N422">
        <v>0.65474714479602647</v>
      </c>
      <c r="O422">
        <v>0.73720426182271492</v>
      </c>
      <c r="P422">
        <v>0.63929450479729233</v>
      </c>
      <c r="Q422">
        <v>-0.10749964501297546</v>
      </c>
      <c r="R422">
        <v>-8.0317641112113876E-3</v>
      </c>
      <c r="S422">
        <v>0.25903636072627911</v>
      </c>
      <c r="T422">
        <v>-7.5305908230082624E-2</v>
      </c>
      <c r="U422">
        <v>0.24176133334821528</v>
      </c>
      <c r="V422">
        <v>0.45918243871031894</v>
      </c>
      <c r="W422">
        <v>0.3463607167974464</v>
      </c>
      <c r="X422">
        <v>0.24581917346167692</v>
      </c>
      <c r="Y422">
        <v>0.19558314533949264</v>
      </c>
      <c r="Z422">
        <v>0.22747054732780914</v>
      </c>
      <c r="AA422">
        <v>-2.4444483946630201E-2</v>
      </c>
      <c r="AB422">
        <v>0.38172950410805651</v>
      </c>
      <c r="AC422">
        <v>0.39652290104254262</v>
      </c>
      <c r="AD422">
        <v>0.50540512486561862</v>
      </c>
      <c r="AE422">
        <v>0.48202773377257657</v>
      </c>
      <c r="AF422">
        <v>0.37174152361538609</v>
      </c>
      <c r="AG422">
        <v>3.7704707271970679E-2</v>
      </c>
      <c r="AH422">
        <v>0.13538481080315543</v>
      </c>
      <c r="AI422">
        <v>0.39523528649101958</v>
      </c>
      <c r="AJ422">
        <v>0.17750601291468249</v>
      </c>
      <c r="AK422">
        <v>0.39829480763460046</v>
      </c>
      <c r="AL422">
        <v>0.46870193555878892</v>
      </c>
      <c r="AM422">
        <v>0.45840856326695917</v>
      </c>
      <c r="AN422">
        <v>4.3702984213012955E-2</v>
      </c>
      <c r="AO422">
        <v>0.20742312104013733</v>
      </c>
      <c r="AP422">
        <v>0.28143548118541845</v>
      </c>
      <c r="AQ422">
        <v>0.22970678959492211</v>
      </c>
      <c r="AR422">
        <v>0.39668314436076524</v>
      </c>
      <c r="AS422">
        <v>0.37624239836080825</v>
      </c>
      <c r="AT422">
        <v>0.31922107963951069</v>
      </c>
      <c r="AU422">
        <v>0.14770922558414096</v>
      </c>
    </row>
    <row r="423" spans="3:47" x14ac:dyDescent="0.2">
      <c r="C423" t="s">
        <v>10</v>
      </c>
      <c r="D423">
        <v>0.52481733861191293</v>
      </c>
      <c r="E423">
        <v>0.38298701280869624</v>
      </c>
      <c r="F423">
        <v>0.24225106730964197</v>
      </c>
      <c r="G423">
        <v>0.48865915863950493</v>
      </c>
      <c r="H423">
        <v>0.44202579664950897</v>
      </c>
      <c r="I423">
        <v>0.59298931531917032</v>
      </c>
      <c r="J423">
        <v>0.58295856755096342</v>
      </c>
      <c r="K423">
        <v>0.64383363620104994</v>
      </c>
      <c r="L423">
        <v>0.56215055897538757</v>
      </c>
      <c r="M423">
        <v>0.76497591624376415</v>
      </c>
      <c r="N423">
        <v>0.54739002759145872</v>
      </c>
      <c r="O423">
        <v>0.52468408557260737</v>
      </c>
      <c r="P423">
        <v>0.44191867056920736</v>
      </c>
      <c r="Q423">
        <v>0.26178957181361617</v>
      </c>
      <c r="R423">
        <v>0.36234563852605389</v>
      </c>
      <c r="S423">
        <v>0.34229743370629007</v>
      </c>
      <c r="T423">
        <v>0.30507185638987466</v>
      </c>
      <c r="U423">
        <v>0.39825745921346756</v>
      </c>
      <c r="V423">
        <v>0.20744684351883386</v>
      </c>
      <c r="W423">
        <v>0.18355211770987798</v>
      </c>
      <c r="X423">
        <v>0.21264023133460064</v>
      </c>
      <c r="Y423">
        <v>0.2583164551570879</v>
      </c>
      <c r="Z423">
        <v>9.0823127454841446E-2</v>
      </c>
      <c r="AA423">
        <v>-0.22289583138678909</v>
      </c>
      <c r="AB423">
        <v>0.28643522320987624</v>
      </c>
      <c r="AC423">
        <v>0.40049819746714471</v>
      </c>
      <c r="AD423">
        <v>0.49931482404619532</v>
      </c>
      <c r="AE423">
        <v>0.6669096407759374</v>
      </c>
      <c r="AF423">
        <v>0.45215949036604891</v>
      </c>
      <c r="AG423">
        <v>0.11737058903819234</v>
      </c>
      <c r="AH423">
        <v>0.24390846044032671</v>
      </c>
      <c r="AI423">
        <v>0.35328600125968007</v>
      </c>
      <c r="AJ423">
        <v>0.2299846632292698</v>
      </c>
      <c r="AK423">
        <v>0.41709224666172834</v>
      </c>
      <c r="AL423">
        <v>0.39620599764307346</v>
      </c>
      <c r="AM423">
        <v>0.26982317242113357</v>
      </c>
      <c r="AN423">
        <v>0.24886882836502688</v>
      </c>
      <c r="AO423">
        <v>0.22649688202246659</v>
      </c>
      <c r="AP423">
        <v>0.31109545557870327</v>
      </c>
      <c r="AQ423">
        <v>0.30881864276609378</v>
      </c>
      <c r="AR423">
        <v>0.32499689208867222</v>
      </c>
      <c r="AS423">
        <v>0.37428294044545268</v>
      </c>
      <c r="AT423">
        <v>0.24741851643312776</v>
      </c>
      <c r="AU423">
        <v>0.36965877950891962</v>
      </c>
    </row>
    <row r="424" spans="3:47" x14ac:dyDescent="0.2">
      <c r="C424" t="s">
        <v>11</v>
      </c>
      <c r="D424">
        <v>0.41827163533863193</v>
      </c>
      <c r="E424">
        <v>0.41883544253214311</v>
      </c>
      <c r="F424">
        <v>0.40013268778774763</v>
      </c>
      <c r="G424">
        <v>0.52148774867285119</v>
      </c>
      <c r="H424">
        <v>0.48559410100839234</v>
      </c>
      <c r="I424">
        <v>0.72182802563480775</v>
      </c>
      <c r="J424">
        <v>0.72127141294371866</v>
      </c>
      <c r="K424">
        <v>0.63679996559680097</v>
      </c>
      <c r="L424">
        <v>0.65474714479602647</v>
      </c>
      <c r="M424">
        <v>0.54739002759145872</v>
      </c>
      <c r="N424">
        <v>0.82963114147629102</v>
      </c>
      <c r="O424">
        <v>0.69178853909454985</v>
      </c>
      <c r="P424">
        <v>0.75075276264116464</v>
      </c>
      <c r="Q424">
        <v>0.16801711061058952</v>
      </c>
      <c r="R424">
        <v>0.26877518944256251</v>
      </c>
      <c r="S424">
        <v>0.42709013351622382</v>
      </c>
      <c r="T424">
        <v>0.20106855623867656</v>
      </c>
      <c r="U424">
        <v>0.2173762201984806</v>
      </c>
      <c r="V424">
        <v>0.39184689155487545</v>
      </c>
      <c r="W424">
        <v>0.2719519793560452</v>
      </c>
      <c r="X424">
        <v>0.20303508088587915</v>
      </c>
      <c r="Y424">
        <v>6.8033744997631797E-3</v>
      </c>
      <c r="Z424">
        <v>0.1311523295632146</v>
      </c>
      <c r="AA424">
        <v>0.11880042768690871</v>
      </c>
      <c r="AB424">
        <v>0.38586828929941891</v>
      </c>
      <c r="AC424">
        <v>0.26877580359229392</v>
      </c>
      <c r="AD424">
        <v>0.46165365448701917</v>
      </c>
      <c r="AE424">
        <v>0.45208959082566147</v>
      </c>
      <c r="AF424">
        <v>0.33225192085103988</v>
      </c>
      <c r="AG424">
        <v>0.17323428336267077</v>
      </c>
      <c r="AH424">
        <v>6.3523761593902134E-2</v>
      </c>
      <c r="AI424">
        <v>0.2838158585414377</v>
      </c>
      <c r="AJ424">
        <v>0.14638189440901431</v>
      </c>
      <c r="AK424">
        <v>0.44467995393622906</v>
      </c>
      <c r="AL424">
        <v>0.44863474463660663</v>
      </c>
      <c r="AM424">
        <v>0.44833384827110379</v>
      </c>
      <c r="AN424">
        <v>0.15530201469996519</v>
      </c>
      <c r="AO424">
        <v>6.4706173593728752E-2</v>
      </c>
      <c r="AP424">
        <v>0.22520608158888128</v>
      </c>
      <c r="AQ424">
        <v>7.8883844591516372E-2</v>
      </c>
      <c r="AR424">
        <v>0.48618274229964603</v>
      </c>
      <c r="AS424">
        <v>0.409717604654115</v>
      </c>
      <c r="AT424">
        <v>0.43960625597965758</v>
      </c>
      <c r="AU424">
        <v>0.25379240194382763</v>
      </c>
    </row>
    <row r="425" spans="3:47" x14ac:dyDescent="0.2">
      <c r="C425" t="s">
        <v>12</v>
      </c>
      <c r="D425">
        <v>0.31647493912413405</v>
      </c>
      <c r="E425">
        <v>0.20148416899839369</v>
      </c>
      <c r="F425">
        <v>0.3592435389336826</v>
      </c>
      <c r="G425">
        <v>0.38944262210661335</v>
      </c>
      <c r="H425">
        <v>0.51587973845394031</v>
      </c>
      <c r="I425">
        <v>0.68619368276555226</v>
      </c>
      <c r="J425">
        <v>0.64674614169102129</v>
      </c>
      <c r="K425">
        <v>0.63782164342729408</v>
      </c>
      <c r="L425">
        <v>0.73720426182271492</v>
      </c>
      <c r="M425">
        <v>0.52468408557260737</v>
      </c>
      <c r="N425">
        <v>0.69178853909454985</v>
      </c>
      <c r="O425">
        <v>0.82776207337253305</v>
      </c>
      <c r="P425">
        <v>0.72311824254376056</v>
      </c>
      <c r="Q425">
        <v>1.6745450050195971E-2</v>
      </c>
      <c r="R425">
        <v>3.2074959668683581E-2</v>
      </c>
      <c r="S425">
        <v>0.38947210256132192</v>
      </c>
      <c r="T425">
        <v>-3.6171321038809316E-2</v>
      </c>
      <c r="U425">
        <v>0.36206331561951693</v>
      </c>
      <c r="V425">
        <v>0.43843821373394098</v>
      </c>
      <c r="W425">
        <v>0.26414180032271384</v>
      </c>
      <c r="X425">
        <v>0.27382834185272914</v>
      </c>
      <c r="Y425">
        <v>0.20038929225064259</v>
      </c>
      <c r="Z425">
        <v>0.18794980415142512</v>
      </c>
      <c r="AA425">
        <v>5.4696417729651489E-2</v>
      </c>
      <c r="AB425">
        <v>0.31046052195019891</v>
      </c>
      <c r="AC425">
        <v>0.39475335501715753</v>
      </c>
      <c r="AD425">
        <v>0.42402857074828409</v>
      </c>
      <c r="AE425">
        <v>0.46210587968192091</v>
      </c>
      <c r="AF425">
        <v>0.33840977384328941</v>
      </c>
      <c r="AG425">
        <v>0.14078783293247304</v>
      </c>
      <c r="AH425">
        <v>0.21089863482171761</v>
      </c>
      <c r="AI425">
        <v>0.30376681153420543</v>
      </c>
      <c r="AJ425">
        <v>0.15727670911506633</v>
      </c>
      <c r="AK425">
        <v>0.4643728571124372</v>
      </c>
      <c r="AL425">
        <v>0.46651073927576248</v>
      </c>
      <c r="AM425">
        <v>0.39092373516781753</v>
      </c>
      <c r="AN425">
        <v>6.6706685028523477E-2</v>
      </c>
      <c r="AO425">
        <v>0.35242801517769617</v>
      </c>
      <c r="AP425">
        <v>0.42167084234135538</v>
      </c>
      <c r="AQ425">
        <v>0.35040793195705922</v>
      </c>
      <c r="AR425">
        <v>0.44922479287914469</v>
      </c>
      <c r="AS425">
        <v>0.41643267572474246</v>
      </c>
      <c r="AT425">
        <v>0.42571653505385226</v>
      </c>
      <c r="AU425">
        <v>0.1696082397996331</v>
      </c>
    </row>
    <row r="426" spans="3:47" x14ac:dyDescent="0.2">
      <c r="C426" t="s">
        <v>13</v>
      </c>
      <c r="D426">
        <v>0.29969891535981785</v>
      </c>
      <c r="E426">
        <v>0.25734916882398678</v>
      </c>
      <c r="F426">
        <v>0.39418197191944776</v>
      </c>
      <c r="G426">
        <v>0.42970864368276107</v>
      </c>
      <c r="H426">
        <v>0.48670237818156448</v>
      </c>
      <c r="I426">
        <v>0.67753717813169989</v>
      </c>
      <c r="J426">
        <v>0.6921241311103159</v>
      </c>
      <c r="K426">
        <v>0.59190940352433863</v>
      </c>
      <c r="L426">
        <v>0.63929450479729233</v>
      </c>
      <c r="M426">
        <v>0.44191867056920736</v>
      </c>
      <c r="N426">
        <v>0.75075276264116464</v>
      </c>
      <c r="O426">
        <v>0.72311824254376056</v>
      </c>
      <c r="P426">
        <v>0.77789443363237498</v>
      </c>
      <c r="Q426">
        <v>0.17894848990515744</v>
      </c>
      <c r="R426">
        <v>0.20197247119842937</v>
      </c>
      <c r="S426">
        <v>0.39383183109468717</v>
      </c>
      <c r="T426">
        <v>9.734680247014918E-2</v>
      </c>
      <c r="U426">
        <v>0.24067198607509926</v>
      </c>
      <c r="V426">
        <v>0.47331069810351323</v>
      </c>
      <c r="W426">
        <v>0.28908287431758806</v>
      </c>
      <c r="X426">
        <v>0.27846503473428585</v>
      </c>
      <c r="Y426">
        <v>0.10985729691394382</v>
      </c>
      <c r="Z426">
        <v>0.14324325196187238</v>
      </c>
      <c r="AA426">
        <v>0.22442288556515122</v>
      </c>
      <c r="AB426">
        <v>0.40931932046400399</v>
      </c>
      <c r="AC426">
        <v>0.31963282442281671</v>
      </c>
      <c r="AD426">
        <v>0.45687697674883126</v>
      </c>
      <c r="AE426">
        <v>0.40695714814319989</v>
      </c>
      <c r="AF426">
        <v>0.35749273832628864</v>
      </c>
      <c r="AG426">
        <v>0.27634661815812323</v>
      </c>
      <c r="AH426">
        <v>0.1359757721070303</v>
      </c>
      <c r="AI426">
        <v>0.231710703497264</v>
      </c>
      <c r="AJ426">
        <v>0.19637921811755571</v>
      </c>
      <c r="AK426">
        <v>0.44219093430603584</v>
      </c>
      <c r="AL426">
        <v>0.44001143027418649</v>
      </c>
      <c r="AM426">
        <v>0.37892119036224581</v>
      </c>
      <c r="AN426">
        <v>0.11196073897730179</v>
      </c>
      <c r="AO426">
        <v>0.23616211218522012</v>
      </c>
      <c r="AP426">
        <v>0.37970253028635481</v>
      </c>
      <c r="AQ426">
        <v>0.20227759546469015</v>
      </c>
      <c r="AR426">
        <v>0.42690507237495479</v>
      </c>
      <c r="AS426">
        <v>0.3170402592632891</v>
      </c>
      <c r="AT426">
        <v>0.36270593803389578</v>
      </c>
      <c r="AU426">
        <v>0.20960413000068151</v>
      </c>
    </row>
    <row r="427" spans="3:47" x14ac:dyDescent="0.2">
      <c r="C427" t="s">
        <v>14</v>
      </c>
      <c r="D427">
        <v>0.16865293446332516</v>
      </c>
      <c r="E427">
        <v>0.16596282518064251</v>
      </c>
      <c r="F427">
        <v>-5.9282167434176206E-2</v>
      </c>
      <c r="G427">
        <v>0.14181813604640042</v>
      </c>
      <c r="H427">
        <v>0.14503219499757811</v>
      </c>
      <c r="I427">
        <v>4.149841609055762E-2</v>
      </c>
      <c r="J427">
        <v>0.14766481273035173</v>
      </c>
      <c r="K427">
        <v>0.23282024807945753</v>
      </c>
      <c r="L427">
        <v>-0.10749964501297546</v>
      </c>
      <c r="M427">
        <v>0.26178957181361617</v>
      </c>
      <c r="N427">
        <v>0.16801711061058952</v>
      </c>
      <c r="O427">
        <v>1.6745450050195971E-2</v>
      </c>
      <c r="P427">
        <v>0.17894848990515744</v>
      </c>
      <c r="Q427">
        <v>0.79127163709582549</v>
      </c>
      <c r="R427">
        <v>0.68660059788034777</v>
      </c>
      <c r="S427">
        <v>0.38058062353736843</v>
      </c>
      <c r="T427">
        <v>0.49210146026577695</v>
      </c>
      <c r="U427">
        <v>0.22790047001457284</v>
      </c>
      <c r="V427">
        <v>0.18549512792154804</v>
      </c>
      <c r="W427">
        <v>0.15847667208705141</v>
      </c>
      <c r="X427">
        <v>0.3203812263492557</v>
      </c>
      <c r="Y427">
        <v>0.24650368060126643</v>
      </c>
      <c r="Z427">
        <v>-6.6847918505040557E-2</v>
      </c>
      <c r="AA427">
        <v>0.10336550990984966</v>
      </c>
      <c r="AB427">
        <v>0.27878301049637572</v>
      </c>
      <c r="AC427">
        <v>0.10022591157053287</v>
      </c>
      <c r="AD427">
        <v>0.21515148789976055</v>
      </c>
      <c r="AE427">
        <v>0.30968537798288304</v>
      </c>
      <c r="AF427">
        <v>0.27098080937283409</v>
      </c>
      <c r="AG427">
        <v>0.47880486325675436</v>
      </c>
      <c r="AH427">
        <v>0.26909842321511473</v>
      </c>
      <c r="AI427">
        <v>7.8312826049956902E-2</v>
      </c>
      <c r="AJ427">
        <v>0.25931543115014322</v>
      </c>
      <c r="AK427">
        <v>0.2489531049662001</v>
      </c>
      <c r="AL427">
        <v>6.313800140705364E-2</v>
      </c>
      <c r="AM427">
        <v>-0.19687458728048313</v>
      </c>
      <c r="AN427">
        <v>0.34227896459266799</v>
      </c>
      <c r="AO427">
        <v>0.21368384971360554</v>
      </c>
      <c r="AP427">
        <v>0.32233695453236522</v>
      </c>
      <c r="AQ427">
        <v>0.2597325365189701</v>
      </c>
      <c r="AR427">
        <v>-1.5448542605840904E-2</v>
      </c>
      <c r="AS427">
        <v>0.12193189960142277</v>
      </c>
      <c r="AT427">
        <v>9.8467205123115076E-2</v>
      </c>
      <c r="AU427">
        <v>0.45936722608788422</v>
      </c>
    </row>
    <row r="428" spans="3:47" x14ac:dyDescent="0.2">
      <c r="C428" t="s">
        <v>15</v>
      </c>
      <c r="D428">
        <v>0.15771632247261355</v>
      </c>
      <c r="E428">
        <v>0.21798319925820145</v>
      </c>
      <c r="F428">
        <v>-2.1822720316432401E-2</v>
      </c>
      <c r="G428">
        <v>0.16974899194571355</v>
      </c>
      <c r="H428">
        <v>0.19223887886009472</v>
      </c>
      <c r="I428">
        <v>0.10843011978183867</v>
      </c>
      <c r="J428">
        <v>0.21862146318392228</v>
      </c>
      <c r="K428">
        <v>0.16961228401267966</v>
      </c>
      <c r="L428">
        <v>-8.0317641112113876E-3</v>
      </c>
      <c r="M428">
        <v>0.36234563852605389</v>
      </c>
      <c r="N428">
        <v>0.26877518944256251</v>
      </c>
      <c r="O428">
        <v>3.2074959668683581E-2</v>
      </c>
      <c r="P428">
        <v>0.20197247119842937</v>
      </c>
      <c r="Q428">
        <v>0.68660059788034777</v>
      </c>
      <c r="R428">
        <v>0.84926236671861599</v>
      </c>
      <c r="S428">
        <v>0.51349549818905238</v>
      </c>
      <c r="T428">
        <v>0.72388644686569281</v>
      </c>
      <c r="U428">
        <v>9.8182109151707414E-2</v>
      </c>
      <c r="V428">
        <v>0.2551401611751884</v>
      </c>
      <c r="W428">
        <v>0.3355096220674027</v>
      </c>
      <c r="X428">
        <v>0.46582088465603766</v>
      </c>
      <c r="Y428">
        <v>0.2821028852870745</v>
      </c>
      <c r="Z428">
        <v>0.18872856395357429</v>
      </c>
      <c r="AA428">
        <v>0.12081026036999649</v>
      </c>
      <c r="AB428">
        <v>0.35356082973012515</v>
      </c>
      <c r="AC428">
        <v>0.25393688323712582</v>
      </c>
      <c r="AD428">
        <v>0.42941662627814747</v>
      </c>
      <c r="AE428">
        <v>0.39670689120851188</v>
      </c>
      <c r="AF428">
        <v>0.24522109870628142</v>
      </c>
      <c r="AG428">
        <v>0.32662947198380987</v>
      </c>
      <c r="AH428">
        <v>0.2483564988181852</v>
      </c>
      <c r="AI428">
        <v>0.20529887132336938</v>
      </c>
      <c r="AJ428">
        <v>0.12072199124214343</v>
      </c>
      <c r="AK428">
        <v>0.37195490561584005</v>
      </c>
      <c r="AL428">
        <v>0.24936678528381467</v>
      </c>
      <c r="AM428">
        <v>-3.4114306398555769E-2</v>
      </c>
      <c r="AN428">
        <v>0.3544016537891902</v>
      </c>
      <c r="AO428">
        <v>0.13506204971913524</v>
      </c>
      <c r="AP428">
        <v>0.22364256867996765</v>
      </c>
      <c r="AQ428">
        <v>0.20479057536535789</v>
      </c>
      <c r="AR428">
        <v>0.26877450882323006</v>
      </c>
      <c r="AS428">
        <v>0.17867692965931528</v>
      </c>
      <c r="AT428">
        <v>4.2466540572819018E-2</v>
      </c>
      <c r="AU428">
        <v>0.33264481879723395</v>
      </c>
    </row>
    <row r="429" spans="3:47" x14ac:dyDescent="0.2">
      <c r="C429" t="s">
        <v>16</v>
      </c>
      <c r="D429">
        <v>7.6233251421836346E-2</v>
      </c>
      <c r="E429">
        <v>0.12348537436550033</v>
      </c>
      <c r="F429">
        <v>5.5816642482740465E-2</v>
      </c>
      <c r="G429">
        <v>0.17138107254820337</v>
      </c>
      <c r="H429">
        <v>0.3805199393889695</v>
      </c>
      <c r="I429">
        <v>0.21578109929634665</v>
      </c>
      <c r="J429">
        <v>0.24797021221318413</v>
      </c>
      <c r="K429">
        <v>0.31354529057508129</v>
      </c>
      <c r="L429">
        <v>0.25903636072627911</v>
      </c>
      <c r="M429">
        <v>0.34229743370629007</v>
      </c>
      <c r="N429">
        <v>0.42709013351622382</v>
      </c>
      <c r="O429">
        <v>0.38947210256132192</v>
      </c>
      <c r="P429">
        <v>0.39383183109468717</v>
      </c>
      <c r="Q429">
        <v>0.38058062353736843</v>
      </c>
      <c r="R429">
        <v>0.51349549818905238</v>
      </c>
      <c r="S429">
        <v>0.75432921434372369</v>
      </c>
      <c r="T429">
        <v>0.43476854899854367</v>
      </c>
      <c r="U429">
        <v>0.2983589052195168</v>
      </c>
      <c r="V429">
        <v>0.41749019503025736</v>
      </c>
      <c r="W429">
        <v>0.48727116369480294</v>
      </c>
      <c r="X429">
        <v>0.50556984238972325</v>
      </c>
      <c r="Y429">
        <v>0.31517097509214093</v>
      </c>
      <c r="Z429">
        <v>0.39200609178010509</v>
      </c>
      <c r="AA429">
        <v>0.14004838192188626</v>
      </c>
      <c r="AB429">
        <v>0.39001985056249477</v>
      </c>
      <c r="AC429">
        <v>0.4025145440382516</v>
      </c>
      <c r="AD429">
        <v>0.36903439835411567</v>
      </c>
      <c r="AE429">
        <v>0.35851994384364017</v>
      </c>
      <c r="AF429">
        <v>8.3181258238378464E-2</v>
      </c>
      <c r="AG429">
        <v>0.17933756593919878</v>
      </c>
      <c r="AH429">
        <v>0.43022966991425604</v>
      </c>
      <c r="AI429">
        <v>0.42795506806927275</v>
      </c>
      <c r="AJ429">
        <v>5.8158443341726346E-2</v>
      </c>
      <c r="AK429">
        <v>0.57765705791388178</v>
      </c>
      <c r="AL429">
        <v>0.42124642836613668</v>
      </c>
      <c r="AM429">
        <v>7.4357716082895861E-2</v>
      </c>
      <c r="AN429">
        <v>0.12190581515094204</v>
      </c>
      <c r="AO429">
        <v>0.16521405035501321</v>
      </c>
      <c r="AP429">
        <v>0.14205903421842009</v>
      </c>
      <c r="AQ429">
        <v>0.20414179625509099</v>
      </c>
      <c r="AR429">
        <v>0.41748362925102389</v>
      </c>
      <c r="AS429">
        <v>0.52091595632744059</v>
      </c>
      <c r="AT429">
        <v>0.39111054528466438</v>
      </c>
      <c r="AU429">
        <v>0.16222058300104075</v>
      </c>
    </row>
    <row r="430" spans="3:47" x14ac:dyDescent="0.2">
      <c r="C430" t="s">
        <v>17</v>
      </c>
      <c r="D430">
        <v>8.6284150816009819E-2</v>
      </c>
      <c r="E430">
        <v>0.11565001820195986</v>
      </c>
      <c r="F430">
        <v>3.4861718721257373E-2</v>
      </c>
      <c r="G430">
        <v>0.1563655949509789</v>
      </c>
      <c r="H430">
        <v>9.9244018912671067E-2</v>
      </c>
      <c r="I430">
        <v>1.117740873375926E-2</v>
      </c>
      <c r="J430">
        <v>0.120758020828182</v>
      </c>
      <c r="K430">
        <v>3.0169175949494167E-2</v>
      </c>
      <c r="L430">
        <v>-7.5305908230082624E-2</v>
      </c>
      <c r="M430">
        <v>0.30507185638987466</v>
      </c>
      <c r="N430">
        <v>0.20106855623867656</v>
      </c>
      <c r="O430">
        <v>-3.6171321038809316E-2</v>
      </c>
      <c r="P430">
        <v>9.734680247014918E-2</v>
      </c>
      <c r="Q430">
        <v>0.49210146026577695</v>
      </c>
      <c r="R430">
        <v>0.72388644686569281</v>
      </c>
      <c r="S430">
        <v>0.43476854899854367</v>
      </c>
      <c r="T430">
        <v>0.78075313709934402</v>
      </c>
      <c r="U430">
        <v>0.1359270286745316</v>
      </c>
      <c r="V430">
        <v>8.5622596512833528E-3</v>
      </c>
      <c r="W430">
        <v>0.17372828524515269</v>
      </c>
      <c r="X430">
        <v>0.30594103416660651</v>
      </c>
      <c r="Y430">
        <v>0.20869133282730165</v>
      </c>
      <c r="Z430">
        <v>0.28158888528738657</v>
      </c>
      <c r="AA430">
        <v>0.18507752147640733</v>
      </c>
      <c r="AB430">
        <v>0.2377813485496813</v>
      </c>
      <c r="AC430">
        <v>0.32652832274054427</v>
      </c>
      <c r="AD430">
        <v>0.40007368016125722</v>
      </c>
      <c r="AE430">
        <v>0.38321253819874884</v>
      </c>
      <c r="AF430">
        <v>0.19921431827579361</v>
      </c>
      <c r="AG430">
        <v>0.23802062335477683</v>
      </c>
      <c r="AH430">
        <v>0.24626268173286131</v>
      </c>
      <c r="AI430">
        <v>0.13847105411699553</v>
      </c>
      <c r="AJ430">
        <v>-1.1929152584388038E-2</v>
      </c>
      <c r="AK430">
        <v>0.30281071407103438</v>
      </c>
      <c r="AL430">
        <v>0.25354288654245449</v>
      </c>
      <c r="AM430">
        <v>6.847960789535866E-2</v>
      </c>
      <c r="AN430">
        <v>0.34623176092585151</v>
      </c>
      <c r="AO430">
        <v>6.3729049118240247E-2</v>
      </c>
      <c r="AP430">
        <v>9.0449917914033243E-2</v>
      </c>
      <c r="AQ430">
        <v>4.3917444055639507E-2</v>
      </c>
      <c r="AR430">
        <v>0.32542915801738065</v>
      </c>
      <c r="AS430">
        <v>0.20032687625001205</v>
      </c>
      <c r="AT430">
        <v>3.5579324345300534E-2</v>
      </c>
      <c r="AU430">
        <v>0.23807173339419671</v>
      </c>
    </row>
    <row r="431" spans="3:47" x14ac:dyDescent="0.2">
      <c r="C431" t="s">
        <v>18</v>
      </c>
      <c r="D431">
        <v>0.19921420525796182</v>
      </c>
      <c r="E431">
        <v>4.5927226754785819E-2</v>
      </c>
      <c r="F431">
        <v>0.33291354206697271</v>
      </c>
      <c r="G431">
        <v>0.32807166441490015</v>
      </c>
      <c r="H431">
        <v>0.35854113056390319</v>
      </c>
      <c r="I431">
        <v>0.19100206171475731</v>
      </c>
      <c r="J431">
        <v>0.20133054809794168</v>
      </c>
      <c r="K431">
        <v>0.40791427856719664</v>
      </c>
      <c r="L431">
        <v>0.24176133334821528</v>
      </c>
      <c r="M431">
        <v>0.39825745921346756</v>
      </c>
      <c r="N431">
        <v>0.2173762201984806</v>
      </c>
      <c r="O431">
        <v>0.36206331561951693</v>
      </c>
      <c r="P431">
        <v>0.24067198607509926</v>
      </c>
      <c r="Q431">
        <v>0.22790047001457284</v>
      </c>
      <c r="R431">
        <v>9.8182109151707414E-2</v>
      </c>
      <c r="S431">
        <v>0.2983589052195168</v>
      </c>
      <c r="T431">
        <v>0.1359270286745316</v>
      </c>
      <c r="U431">
        <v>0.70402944627770947</v>
      </c>
      <c r="V431">
        <v>3.6549097053061891E-2</v>
      </c>
      <c r="W431">
        <v>-1.1330257815463079E-3</v>
      </c>
      <c r="X431">
        <v>0.13056598593295593</v>
      </c>
      <c r="Y431">
        <v>0.29659854062407592</v>
      </c>
      <c r="Z431">
        <v>0.10366815094603454</v>
      </c>
      <c r="AA431">
        <v>-3.0931911327771684E-2</v>
      </c>
      <c r="AB431">
        <v>9.5438641805563468E-2</v>
      </c>
      <c r="AC431">
        <v>0.4301972563812782</v>
      </c>
      <c r="AD431">
        <v>0.14598310893714714</v>
      </c>
      <c r="AE431">
        <v>0.42697118549819407</v>
      </c>
      <c r="AF431">
        <v>0.22150776353598331</v>
      </c>
      <c r="AG431">
        <v>0.14536883721045593</v>
      </c>
      <c r="AH431">
        <v>0.44170676937429537</v>
      </c>
      <c r="AI431">
        <v>0.21525296168689192</v>
      </c>
      <c r="AJ431">
        <v>0.19568955179106376</v>
      </c>
      <c r="AK431">
        <v>0.20146981788223695</v>
      </c>
      <c r="AL431">
        <v>7.4957565771977264E-2</v>
      </c>
      <c r="AM431">
        <v>-6.7026139822845221E-2</v>
      </c>
      <c r="AN431">
        <v>6.8798893069736244E-2</v>
      </c>
      <c r="AO431">
        <v>0.32510234786991604</v>
      </c>
      <c r="AP431">
        <v>0.29738753762526376</v>
      </c>
      <c r="AQ431">
        <v>0.21773853108281871</v>
      </c>
      <c r="AR431">
        <v>4.1620230552194354E-2</v>
      </c>
      <c r="AS431">
        <v>0.29615057537605544</v>
      </c>
      <c r="AT431">
        <v>0.25635972486667674</v>
      </c>
      <c r="AU431">
        <v>0.17142852933296679</v>
      </c>
    </row>
    <row r="432" spans="3:47" x14ac:dyDescent="0.2">
      <c r="C432" t="s">
        <v>19</v>
      </c>
      <c r="D432">
        <v>0.17259741391356262</v>
      </c>
      <c r="E432">
        <v>0.28993379128662999</v>
      </c>
      <c r="F432">
        <v>0.22527612641143507</v>
      </c>
      <c r="G432">
        <v>0.2509189106745271</v>
      </c>
      <c r="H432">
        <v>0.54074726624699654</v>
      </c>
      <c r="I432">
        <v>0.37275476899888133</v>
      </c>
      <c r="J432">
        <v>0.41977606276563201</v>
      </c>
      <c r="K432">
        <v>0.31533910096498613</v>
      </c>
      <c r="L432">
        <v>0.45918243871031894</v>
      </c>
      <c r="M432">
        <v>0.20744684351883386</v>
      </c>
      <c r="N432">
        <v>0.39184689155487545</v>
      </c>
      <c r="O432">
        <v>0.43843821373394098</v>
      </c>
      <c r="P432">
        <v>0.47331069810351323</v>
      </c>
      <c r="Q432">
        <v>0.18549512792154804</v>
      </c>
      <c r="R432">
        <v>0.2551401611751884</v>
      </c>
      <c r="S432">
        <v>0.41749019503025736</v>
      </c>
      <c r="T432">
        <v>8.5622596512833528E-3</v>
      </c>
      <c r="U432">
        <v>3.6549097053061891E-2</v>
      </c>
      <c r="V432">
        <v>0.78859388630605742</v>
      </c>
      <c r="W432">
        <v>0.68433390892336465</v>
      </c>
      <c r="X432">
        <v>0.63261979940821611</v>
      </c>
      <c r="Y432">
        <v>0.34616450509253616</v>
      </c>
      <c r="Z432">
        <v>0.35187237711336783</v>
      </c>
      <c r="AA432">
        <v>0.19572862108467506</v>
      </c>
      <c r="AB432">
        <v>0.4913818887526204</v>
      </c>
      <c r="AC432">
        <v>0.27141170632204864</v>
      </c>
      <c r="AD432">
        <v>0.41184267121839457</v>
      </c>
      <c r="AE432">
        <v>0.19037385700409412</v>
      </c>
      <c r="AF432">
        <v>0.10793825033648055</v>
      </c>
      <c r="AG432">
        <v>0.12339120484138219</v>
      </c>
      <c r="AH432">
        <v>0.1889806274366039</v>
      </c>
      <c r="AI432">
        <v>0.46117082963648259</v>
      </c>
      <c r="AJ432">
        <v>0.20858383786018117</v>
      </c>
      <c r="AK432">
        <v>0.36429254976025288</v>
      </c>
      <c r="AL432">
        <v>0.29417978514413018</v>
      </c>
      <c r="AM432">
        <v>0.15455066815689625</v>
      </c>
      <c r="AN432">
        <v>8.180493638775399E-2</v>
      </c>
      <c r="AO432">
        <v>0.26892436541205245</v>
      </c>
      <c r="AP432">
        <v>0.32656639830987483</v>
      </c>
      <c r="AQ432">
        <v>0.31751798417727051</v>
      </c>
      <c r="AR432">
        <v>0.297622857914561</v>
      </c>
      <c r="AS432">
        <v>0.27909364284916205</v>
      </c>
      <c r="AT432">
        <v>0.25977377438969257</v>
      </c>
      <c r="AU432">
        <v>8.3385931186487627E-2</v>
      </c>
    </row>
    <row r="433" spans="3:47" x14ac:dyDescent="0.2">
      <c r="C433" t="s">
        <v>20</v>
      </c>
      <c r="D433">
        <v>9.4688038353750739E-2</v>
      </c>
      <c r="E433">
        <v>0.2444531198798689</v>
      </c>
      <c r="F433">
        <v>7.1025799997121622E-2</v>
      </c>
      <c r="G433">
        <v>0.16265588341765616</v>
      </c>
      <c r="H433">
        <v>0.47633569901987083</v>
      </c>
      <c r="I433">
        <v>0.21439852394268877</v>
      </c>
      <c r="J433">
        <v>0.26219136470434079</v>
      </c>
      <c r="K433">
        <v>0.16625583149908391</v>
      </c>
      <c r="L433">
        <v>0.3463607167974464</v>
      </c>
      <c r="M433">
        <v>0.18355211770987798</v>
      </c>
      <c r="N433">
        <v>0.2719519793560452</v>
      </c>
      <c r="O433">
        <v>0.26414180032271384</v>
      </c>
      <c r="P433">
        <v>0.28908287431758806</v>
      </c>
      <c r="Q433">
        <v>0.15847667208705141</v>
      </c>
      <c r="R433">
        <v>0.3355096220674027</v>
      </c>
      <c r="S433">
        <v>0.48727116369480294</v>
      </c>
      <c r="T433">
        <v>0.17372828524515269</v>
      </c>
      <c r="U433">
        <v>-1.1330257815463079E-3</v>
      </c>
      <c r="V433">
        <v>0.68433390892336465</v>
      </c>
      <c r="W433">
        <v>0.78651992701458417</v>
      </c>
      <c r="X433">
        <v>0.65814000578979281</v>
      </c>
      <c r="Y433">
        <v>0.42458166330212826</v>
      </c>
      <c r="Z433">
        <v>0.5631453347713391</v>
      </c>
      <c r="AA433">
        <v>0.22684797702785953</v>
      </c>
      <c r="AB433">
        <v>0.59199772027781528</v>
      </c>
      <c r="AC433">
        <v>0.35805716022728051</v>
      </c>
      <c r="AD433">
        <v>0.48802880130644077</v>
      </c>
      <c r="AE433">
        <v>0.25768178285719573</v>
      </c>
      <c r="AF433">
        <v>0.13869014269254398</v>
      </c>
      <c r="AG433">
        <v>0.1229177931687182</v>
      </c>
      <c r="AH433">
        <v>0.28092535477557329</v>
      </c>
      <c r="AI433">
        <v>0.55573253798120381</v>
      </c>
      <c r="AJ433">
        <v>5.7318299547510526E-2</v>
      </c>
      <c r="AK433">
        <v>0.37143317346172883</v>
      </c>
      <c r="AL433">
        <v>0.34193970725560086</v>
      </c>
      <c r="AM433">
        <v>0.16482633337927421</v>
      </c>
      <c r="AN433">
        <v>0.10144819166615068</v>
      </c>
      <c r="AO433">
        <v>9.0810591464328516E-2</v>
      </c>
      <c r="AP433">
        <v>6.5182342858674774E-2</v>
      </c>
      <c r="AQ433">
        <v>0.15100125331218769</v>
      </c>
      <c r="AR433">
        <v>0.26119675842529488</v>
      </c>
      <c r="AS433">
        <v>0.43404068074909047</v>
      </c>
      <c r="AT433">
        <v>0.25621914636225573</v>
      </c>
      <c r="AU433">
        <v>0.12511997629855778</v>
      </c>
    </row>
    <row r="434" spans="3:47" x14ac:dyDescent="0.2">
      <c r="C434" t="s">
        <v>21</v>
      </c>
      <c r="D434">
        <v>-1.1191110552050045E-2</v>
      </c>
      <c r="E434">
        <v>0.10180991322244724</v>
      </c>
      <c r="F434">
        <v>0.10526790976453368</v>
      </c>
      <c r="G434">
        <v>5.6797959795426005E-2</v>
      </c>
      <c r="H434">
        <v>0.41024717507121078</v>
      </c>
      <c r="I434">
        <v>0.13031559787189287</v>
      </c>
      <c r="J434">
        <v>0.18688579480784148</v>
      </c>
      <c r="K434">
        <v>0.10666930879712556</v>
      </c>
      <c r="L434">
        <v>0.24581917346167692</v>
      </c>
      <c r="M434">
        <v>0.21264023133460064</v>
      </c>
      <c r="N434">
        <v>0.20303508088587915</v>
      </c>
      <c r="O434">
        <v>0.27382834185272914</v>
      </c>
      <c r="P434">
        <v>0.27846503473428585</v>
      </c>
      <c r="Q434">
        <v>0.3203812263492557</v>
      </c>
      <c r="R434">
        <v>0.46582088465603766</v>
      </c>
      <c r="S434">
        <v>0.50556984238972325</v>
      </c>
      <c r="T434">
        <v>0.30594103416660651</v>
      </c>
      <c r="U434">
        <v>0.13056598593295593</v>
      </c>
      <c r="V434">
        <v>0.63261979940821611</v>
      </c>
      <c r="W434">
        <v>0.65814000578979281</v>
      </c>
      <c r="X434">
        <v>0.77826753728735232</v>
      </c>
      <c r="Y434">
        <v>0.52768309282692771</v>
      </c>
      <c r="Z434">
        <v>0.53216564593453031</v>
      </c>
      <c r="AA434">
        <v>0.23325434290966254</v>
      </c>
      <c r="AB434">
        <v>0.42595269598714419</v>
      </c>
      <c r="AC434">
        <v>0.4049040575306086</v>
      </c>
      <c r="AD434">
        <v>0.45409734210830932</v>
      </c>
      <c r="AE434">
        <v>0.30952899347594687</v>
      </c>
      <c r="AF434">
        <v>0.17619258090801188</v>
      </c>
      <c r="AG434">
        <v>0.1689746354295257</v>
      </c>
      <c r="AH434">
        <v>0.29833368271627725</v>
      </c>
      <c r="AI434">
        <v>0.37880129758759384</v>
      </c>
      <c r="AJ434">
        <v>-1.6696594415530036E-2</v>
      </c>
      <c r="AK434">
        <v>0.29524000829027519</v>
      </c>
      <c r="AL434">
        <v>0.21751319901094784</v>
      </c>
      <c r="AM434">
        <v>5.8284692881299116E-3</v>
      </c>
      <c r="AN434">
        <v>0.17194743928817485</v>
      </c>
      <c r="AO434">
        <v>0.3716386894414489</v>
      </c>
      <c r="AP434">
        <v>0.36126617597702021</v>
      </c>
      <c r="AQ434">
        <v>0.41854138832002546</v>
      </c>
      <c r="AR434">
        <v>0.30459881081466705</v>
      </c>
      <c r="AS434">
        <v>0.28032206016648514</v>
      </c>
      <c r="AT434">
        <v>0.14714664237856531</v>
      </c>
      <c r="AU434">
        <v>9.5740375241998715E-2</v>
      </c>
    </row>
    <row r="435" spans="3:47" x14ac:dyDescent="0.2">
      <c r="C435" t="s">
        <v>22</v>
      </c>
      <c r="D435">
        <v>2.5307466226021175E-2</v>
      </c>
      <c r="E435">
        <v>-7.2295552650793765E-2</v>
      </c>
      <c r="F435">
        <v>-1.3765175376765464E-3</v>
      </c>
      <c r="G435">
        <v>4.2616210471531898E-2</v>
      </c>
      <c r="H435">
        <v>0.3193994453791813</v>
      </c>
      <c r="I435">
        <v>6.2069377513432229E-2</v>
      </c>
      <c r="J435">
        <v>0.11454054415106266</v>
      </c>
      <c r="K435">
        <v>0.13112925483384541</v>
      </c>
      <c r="L435">
        <v>0.19558314533949264</v>
      </c>
      <c r="M435">
        <v>0.2583164551570879</v>
      </c>
      <c r="N435">
        <v>6.8033744997631797E-3</v>
      </c>
      <c r="O435">
        <v>0.20038929225064259</v>
      </c>
      <c r="P435">
        <v>0.10985729691394382</v>
      </c>
      <c r="Q435">
        <v>0.24650368060126643</v>
      </c>
      <c r="R435">
        <v>0.2821028852870745</v>
      </c>
      <c r="S435">
        <v>0.31517097509214093</v>
      </c>
      <c r="T435">
        <v>0.20869133282730165</v>
      </c>
      <c r="U435">
        <v>0.29659854062407592</v>
      </c>
      <c r="V435">
        <v>0.34616450509253616</v>
      </c>
      <c r="W435">
        <v>0.42458166330212826</v>
      </c>
      <c r="X435">
        <v>0.52768309282692771</v>
      </c>
      <c r="Y435">
        <v>0.61006486689165684</v>
      </c>
      <c r="Z435">
        <v>0.42392430343869109</v>
      </c>
      <c r="AA435">
        <v>0.12097551065408703</v>
      </c>
      <c r="AB435">
        <v>0.38361277809821109</v>
      </c>
      <c r="AC435">
        <v>0.51374213041535077</v>
      </c>
      <c r="AD435">
        <v>0.43737505962875106</v>
      </c>
      <c r="AE435">
        <v>0.41933152505475157</v>
      </c>
      <c r="AF435">
        <v>0.32764553743041985</v>
      </c>
      <c r="AG435">
        <v>0.2666857846976583</v>
      </c>
      <c r="AH435">
        <v>0.47920007350832411</v>
      </c>
      <c r="AI435">
        <v>0.34111172737559264</v>
      </c>
      <c r="AJ435">
        <v>0.12152340264170901</v>
      </c>
      <c r="AK435">
        <v>0.29257899766963491</v>
      </c>
      <c r="AL435">
        <v>0.26225480817443725</v>
      </c>
      <c r="AM435">
        <v>-1.2530086291403331E-2</v>
      </c>
      <c r="AN435">
        <v>0.16569744899532191</v>
      </c>
      <c r="AO435">
        <v>0.43204757953724487</v>
      </c>
      <c r="AP435">
        <v>0.3426907931912192</v>
      </c>
      <c r="AQ435">
        <v>0.41575575915569379</v>
      </c>
      <c r="AR435">
        <v>8.3426028739336758E-2</v>
      </c>
      <c r="AS435">
        <v>0.26509496470081767</v>
      </c>
      <c r="AT435">
        <v>3.611866277764085E-2</v>
      </c>
      <c r="AU435">
        <v>0.20238081754996884</v>
      </c>
    </row>
    <row r="436" spans="3:47" x14ac:dyDescent="0.2">
      <c r="C436" t="s">
        <v>23</v>
      </c>
      <c r="D436">
        <v>-0.10102933888796284</v>
      </c>
      <c r="E436">
        <v>-1.0890921496213971E-2</v>
      </c>
      <c r="F436">
        <v>0.13235359569880606</v>
      </c>
      <c r="G436">
        <v>4.9517058202842613E-2</v>
      </c>
      <c r="H436">
        <v>0.32378268555138207</v>
      </c>
      <c r="I436">
        <v>3.2694306863160522E-2</v>
      </c>
      <c r="J436">
        <v>7.6278266426757876E-2</v>
      </c>
      <c r="K436">
        <v>-7.5739838239336832E-2</v>
      </c>
      <c r="L436">
        <v>0.22747054732780914</v>
      </c>
      <c r="M436">
        <v>9.0823127454841446E-2</v>
      </c>
      <c r="N436">
        <v>0.1311523295632146</v>
      </c>
      <c r="O436">
        <v>0.18794980415142512</v>
      </c>
      <c r="P436">
        <v>0.14324325196187238</v>
      </c>
      <c r="Q436">
        <v>-6.6847918505040557E-2</v>
      </c>
      <c r="R436">
        <v>0.18872856395357429</v>
      </c>
      <c r="S436">
        <v>0.39200609178010509</v>
      </c>
      <c r="T436">
        <v>0.28158888528738657</v>
      </c>
      <c r="U436">
        <v>0.10366815094603454</v>
      </c>
      <c r="V436">
        <v>0.35187237711336783</v>
      </c>
      <c r="W436">
        <v>0.5631453347713391</v>
      </c>
      <c r="X436">
        <v>0.53216564593453031</v>
      </c>
      <c r="Y436">
        <v>0.42392430343869109</v>
      </c>
      <c r="Z436">
        <v>0.75185129328383604</v>
      </c>
      <c r="AA436">
        <v>0.36997657819385305</v>
      </c>
      <c r="AB436">
        <v>0.42063437270576282</v>
      </c>
      <c r="AC436">
        <v>0.51666330217776235</v>
      </c>
      <c r="AD436">
        <v>0.46876334698340022</v>
      </c>
      <c r="AE436">
        <v>0.28380153994765517</v>
      </c>
      <c r="AF436">
        <v>0.14552183574812186</v>
      </c>
      <c r="AG436">
        <v>6.3984670616879624E-2</v>
      </c>
      <c r="AH436">
        <v>0.31395383614035455</v>
      </c>
      <c r="AI436">
        <v>0.39869254099102119</v>
      </c>
      <c r="AJ436">
        <v>-0.20544612008417001</v>
      </c>
      <c r="AK436">
        <v>0.23575345118283578</v>
      </c>
      <c r="AL436">
        <v>0.30940034934130983</v>
      </c>
      <c r="AM436">
        <v>0.24536279663658561</v>
      </c>
      <c r="AN436">
        <v>0.10260055054120476</v>
      </c>
      <c r="AO436">
        <v>0.11894419627619565</v>
      </c>
      <c r="AP436">
        <v>-5.3986315589617338E-3</v>
      </c>
      <c r="AQ436">
        <v>4.5759496721521312E-2</v>
      </c>
      <c r="AR436">
        <v>0.33080298142798881</v>
      </c>
      <c r="AS436">
        <v>0.43420491526863431</v>
      </c>
      <c r="AT436">
        <v>0.20215964542368087</v>
      </c>
      <c r="AU436">
        <v>-7.0821391251212479E-3</v>
      </c>
    </row>
    <row r="437" spans="3:47" x14ac:dyDescent="0.2">
      <c r="C437" t="s">
        <v>24</v>
      </c>
      <c r="D437">
        <v>-0.16262234035940343</v>
      </c>
      <c r="E437">
        <v>-8.7388405444895345E-2</v>
      </c>
      <c r="F437">
        <v>0.17672923540477142</v>
      </c>
      <c r="G437">
        <v>4.3767648774883774E-2</v>
      </c>
      <c r="H437">
        <v>0.12537821676607408</v>
      </c>
      <c r="I437">
        <v>-4.3696193029319173E-2</v>
      </c>
      <c r="J437">
        <v>8.0919424934850173E-2</v>
      </c>
      <c r="K437">
        <v>-0.165705313397807</v>
      </c>
      <c r="L437">
        <v>-2.4444483946630201E-2</v>
      </c>
      <c r="M437">
        <v>-0.22289583138678909</v>
      </c>
      <c r="N437">
        <v>0.11880042768690871</v>
      </c>
      <c r="O437">
        <v>5.4696417729651489E-2</v>
      </c>
      <c r="P437">
        <v>0.22442288556515122</v>
      </c>
      <c r="Q437">
        <v>0.10336550990984966</v>
      </c>
      <c r="R437">
        <v>0.12081026036999649</v>
      </c>
      <c r="S437">
        <v>0.14004838192188626</v>
      </c>
      <c r="T437">
        <v>0.18507752147640733</v>
      </c>
      <c r="U437">
        <v>-3.0931911327771684E-2</v>
      </c>
      <c r="V437">
        <v>0.19572862108467506</v>
      </c>
      <c r="W437">
        <v>0.22684797702785953</v>
      </c>
      <c r="X437">
        <v>0.23325434290966254</v>
      </c>
      <c r="Y437">
        <v>0.12097551065408703</v>
      </c>
      <c r="Z437">
        <v>0.36997657819385305</v>
      </c>
      <c r="AA437">
        <v>0.67205590063125165</v>
      </c>
      <c r="AB437">
        <v>0.33942050222693304</v>
      </c>
      <c r="AC437">
        <v>0.21624971022261058</v>
      </c>
      <c r="AD437">
        <v>0.25263012019713921</v>
      </c>
      <c r="AE437">
        <v>8.0393463207930616E-3</v>
      </c>
      <c r="AF437">
        <v>0.12698705154585416</v>
      </c>
      <c r="AG437">
        <v>0.37298855083746008</v>
      </c>
      <c r="AH437">
        <v>0.13328721372421398</v>
      </c>
      <c r="AI437">
        <v>2.0049659923427054E-2</v>
      </c>
      <c r="AJ437">
        <v>-2.8662718695688941E-2</v>
      </c>
      <c r="AK437">
        <v>7.7204105276198212E-2</v>
      </c>
      <c r="AL437">
        <v>0.14899974216867629</v>
      </c>
      <c r="AM437">
        <v>0.21790025721303075</v>
      </c>
      <c r="AN437">
        <v>0.16910168106574117</v>
      </c>
      <c r="AO437">
        <v>8.920861130570068E-2</v>
      </c>
      <c r="AP437">
        <v>8.7072006903433863E-2</v>
      </c>
      <c r="AQ437">
        <v>-0.11960354448605945</v>
      </c>
      <c r="AR437">
        <v>0.13933108877409198</v>
      </c>
      <c r="AS437">
        <v>0.13806718964961001</v>
      </c>
      <c r="AT437">
        <v>0.1425547563658337</v>
      </c>
      <c r="AU437">
        <v>8.207515972904085E-2</v>
      </c>
    </row>
    <row r="438" spans="3:47" x14ac:dyDescent="0.2">
      <c r="C438" t="s">
        <v>25</v>
      </c>
      <c r="D438">
        <v>0.20570670549075856</v>
      </c>
      <c r="E438">
        <v>0.20588644512056758</v>
      </c>
      <c r="F438">
        <v>7.8246234892410324E-2</v>
      </c>
      <c r="G438">
        <v>0.28610359262935259</v>
      </c>
      <c r="H438">
        <v>0.44002195362741647</v>
      </c>
      <c r="I438">
        <v>0.34910214670871881</v>
      </c>
      <c r="J438">
        <v>0.42903305694274602</v>
      </c>
      <c r="K438">
        <v>0.31880074866686914</v>
      </c>
      <c r="L438">
        <v>0.38172950410805651</v>
      </c>
      <c r="M438">
        <v>0.28643522320987624</v>
      </c>
      <c r="N438">
        <v>0.38586828929941891</v>
      </c>
      <c r="O438">
        <v>0.31046052195019891</v>
      </c>
      <c r="P438">
        <v>0.40931932046400399</v>
      </c>
      <c r="Q438">
        <v>0.27878301049637572</v>
      </c>
      <c r="R438">
        <v>0.35356082973012515</v>
      </c>
      <c r="S438">
        <v>0.39001985056249477</v>
      </c>
      <c r="T438">
        <v>0.2377813485496813</v>
      </c>
      <c r="U438">
        <v>9.5438641805563468E-2</v>
      </c>
      <c r="V438">
        <v>0.4913818887526204</v>
      </c>
      <c r="W438">
        <v>0.59199772027781528</v>
      </c>
      <c r="X438">
        <v>0.42595269598714419</v>
      </c>
      <c r="Y438">
        <v>0.38361277809821109</v>
      </c>
      <c r="Z438">
        <v>0.42063437270576282</v>
      </c>
      <c r="AA438">
        <v>0.33942050222693304</v>
      </c>
      <c r="AB438">
        <v>0.72925968186092183</v>
      </c>
      <c r="AC438">
        <v>0.42471462634923024</v>
      </c>
      <c r="AD438">
        <v>0.60961024503176908</v>
      </c>
      <c r="AE438">
        <v>0.44383489413534394</v>
      </c>
      <c r="AF438">
        <v>0.45288431656594264</v>
      </c>
      <c r="AG438">
        <v>0.44576659351416165</v>
      </c>
      <c r="AH438">
        <v>0.35774552156407835</v>
      </c>
      <c r="AI438">
        <v>0.44708414376243466</v>
      </c>
      <c r="AJ438">
        <v>0.2073742991880019</v>
      </c>
      <c r="AK438">
        <v>0.43085547285921211</v>
      </c>
      <c r="AL438">
        <v>0.46866567766778722</v>
      </c>
      <c r="AM438">
        <v>0.28531278393419163</v>
      </c>
      <c r="AN438">
        <v>0.19528887634234962</v>
      </c>
      <c r="AO438">
        <v>5.4504510096838522E-2</v>
      </c>
      <c r="AP438">
        <v>7.6870047860166754E-2</v>
      </c>
      <c r="AQ438">
        <v>2.9670661773828461E-2</v>
      </c>
      <c r="AR438">
        <v>0.14276038799643495</v>
      </c>
      <c r="AS438">
        <v>0.44566136473105394</v>
      </c>
      <c r="AT438">
        <v>0.23575087291540786</v>
      </c>
      <c r="AU438">
        <v>0.38058064699611727</v>
      </c>
    </row>
    <row r="439" spans="3:47" x14ac:dyDescent="0.2">
      <c r="C439" t="s">
        <v>26</v>
      </c>
      <c r="D439">
        <v>0.10511488027953339</v>
      </c>
      <c r="E439">
        <v>-4.767520719878271E-2</v>
      </c>
      <c r="F439">
        <v>0.27524441935764044</v>
      </c>
      <c r="G439">
        <v>0.28361653463551867</v>
      </c>
      <c r="H439">
        <v>0.44049039063195594</v>
      </c>
      <c r="I439">
        <v>0.27346274378851176</v>
      </c>
      <c r="J439">
        <v>0.34025879855370916</v>
      </c>
      <c r="K439">
        <v>0.27213078972237503</v>
      </c>
      <c r="L439">
        <v>0.39652290104254262</v>
      </c>
      <c r="M439">
        <v>0.40049819746714471</v>
      </c>
      <c r="N439">
        <v>0.26877580359229392</v>
      </c>
      <c r="O439">
        <v>0.39475335501715753</v>
      </c>
      <c r="P439">
        <v>0.31963282442281671</v>
      </c>
      <c r="Q439">
        <v>0.10022591157053287</v>
      </c>
      <c r="R439">
        <v>0.25393688323712582</v>
      </c>
      <c r="S439">
        <v>0.4025145440382516</v>
      </c>
      <c r="T439">
        <v>0.32652832274054427</v>
      </c>
      <c r="U439">
        <v>0.4301972563812782</v>
      </c>
      <c r="V439">
        <v>0.27141170632204864</v>
      </c>
      <c r="W439">
        <v>0.35805716022728051</v>
      </c>
      <c r="X439">
        <v>0.4049040575306086</v>
      </c>
      <c r="Y439">
        <v>0.51374213041535077</v>
      </c>
      <c r="Z439">
        <v>0.51666330217776235</v>
      </c>
      <c r="AA439">
        <v>0.21624971022261058</v>
      </c>
      <c r="AB439">
        <v>0.42471462634923024</v>
      </c>
      <c r="AC439">
        <v>0.73538291304693781</v>
      </c>
      <c r="AD439">
        <v>0.58324998422236607</v>
      </c>
      <c r="AE439">
        <v>0.54020749509677768</v>
      </c>
      <c r="AF439">
        <v>0.34574170340546184</v>
      </c>
      <c r="AG439">
        <v>0.21431239442231093</v>
      </c>
      <c r="AH439">
        <v>0.54817980183209014</v>
      </c>
      <c r="AI439">
        <v>0.40567353164001546</v>
      </c>
      <c r="AJ439">
        <v>0.1644808901671731</v>
      </c>
      <c r="AK439">
        <v>0.46297004811295411</v>
      </c>
      <c r="AL439">
        <v>0.4846425698450485</v>
      </c>
      <c r="AM439">
        <v>0.22214234307437516</v>
      </c>
      <c r="AN439">
        <v>0.11558381050936865</v>
      </c>
      <c r="AO439">
        <v>0.36808613903323262</v>
      </c>
      <c r="AP439">
        <v>0.28481230360744286</v>
      </c>
      <c r="AQ439">
        <v>0.2278808208546626</v>
      </c>
      <c r="AR439">
        <v>0.32711156191488117</v>
      </c>
      <c r="AS439">
        <v>0.34056996201840917</v>
      </c>
      <c r="AT439">
        <v>9.3208905871836514E-2</v>
      </c>
      <c r="AU439">
        <v>9.3608122943018235E-2</v>
      </c>
    </row>
    <row r="440" spans="3:47" x14ac:dyDescent="0.2">
      <c r="C440" t="s">
        <v>27</v>
      </c>
      <c r="D440">
        <v>0.2968794582211316</v>
      </c>
      <c r="E440">
        <v>0.21162261633202956</v>
      </c>
      <c r="F440">
        <v>0.1913169638686476</v>
      </c>
      <c r="G440">
        <v>0.36328688402011022</v>
      </c>
      <c r="H440">
        <v>0.45965532572632273</v>
      </c>
      <c r="I440">
        <v>0.47178688196505147</v>
      </c>
      <c r="J440">
        <v>0.55465252000551113</v>
      </c>
      <c r="K440">
        <v>0.35757151807479026</v>
      </c>
      <c r="L440">
        <v>0.50540512486561862</v>
      </c>
      <c r="M440">
        <v>0.49931482404619532</v>
      </c>
      <c r="N440">
        <v>0.46165365448701917</v>
      </c>
      <c r="O440">
        <v>0.42402857074828409</v>
      </c>
      <c r="P440">
        <v>0.45687697674883126</v>
      </c>
      <c r="Q440">
        <v>0.21515148789976055</v>
      </c>
      <c r="R440">
        <v>0.42941662627814747</v>
      </c>
      <c r="S440">
        <v>0.36903439835411567</v>
      </c>
      <c r="T440">
        <v>0.40007368016125722</v>
      </c>
      <c r="U440">
        <v>0.14598310893714714</v>
      </c>
      <c r="V440">
        <v>0.41184267121839457</v>
      </c>
      <c r="W440">
        <v>0.48802880130644077</v>
      </c>
      <c r="X440">
        <v>0.45409734210830932</v>
      </c>
      <c r="Y440">
        <v>0.43737505962875106</v>
      </c>
      <c r="Z440">
        <v>0.46876334698340022</v>
      </c>
      <c r="AA440">
        <v>0.25263012019713921</v>
      </c>
      <c r="AB440">
        <v>0.60961024503176908</v>
      </c>
      <c r="AC440">
        <v>0.58324998422236607</v>
      </c>
      <c r="AD440">
        <v>0.76413126454749458</v>
      </c>
      <c r="AE440">
        <v>0.60897454664723061</v>
      </c>
      <c r="AF440">
        <v>0.52613783028698369</v>
      </c>
      <c r="AG440">
        <v>0.342637861542539</v>
      </c>
      <c r="AH440">
        <v>0.34194497970409066</v>
      </c>
      <c r="AI440">
        <v>0.41956037925271356</v>
      </c>
      <c r="AJ440">
        <v>0.18287866824632898</v>
      </c>
      <c r="AK440">
        <v>0.49489509557259181</v>
      </c>
      <c r="AL440">
        <v>0.59098809308518796</v>
      </c>
      <c r="AM440">
        <v>0.43557718883091795</v>
      </c>
      <c r="AN440">
        <v>0.30950543770041922</v>
      </c>
      <c r="AO440">
        <v>0.25508299856114836</v>
      </c>
      <c r="AP440">
        <v>0.28297724017939752</v>
      </c>
      <c r="AQ440">
        <v>0.2215468946671319</v>
      </c>
      <c r="AR440">
        <v>0.39942266688923633</v>
      </c>
      <c r="AS440">
        <v>0.38699503194988749</v>
      </c>
      <c r="AT440">
        <v>0.14947753543883874</v>
      </c>
      <c r="AU440">
        <v>0.33629289371106807</v>
      </c>
    </row>
    <row r="441" spans="3:47" x14ac:dyDescent="0.2">
      <c r="C441" t="s">
        <v>28</v>
      </c>
      <c r="D441">
        <v>0.3467571725318217</v>
      </c>
      <c r="E441">
        <v>0.18772254989547466</v>
      </c>
      <c r="F441">
        <v>0.16903950415243696</v>
      </c>
      <c r="G441">
        <v>0.3556762718332277</v>
      </c>
      <c r="H441">
        <v>0.39918352943542257</v>
      </c>
      <c r="I441">
        <v>0.4758915556704576</v>
      </c>
      <c r="J441">
        <v>0.4878537002835977</v>
      </c>
      <c r="K441">
        <v>0.51168475543135572</v>
      </c>
      <c r="L441">
        <v>0.48202773377257657</v>
      </c>
      <c r="M441">
        <v>0.6669096407759374</v>
      </c>
      <c r="N441">
        <v>0.45208959082566147</v>
      </c>
      <c r="O441">
        <v>0.46210587968192091</v>
      </c>
      <c r="P441">
        <v>0.40695714814319989</v>
      </c>
      <c r="Q441">
        <v>0.30968537798288304</v>
      </c>
      <c r="R441">
        <v>0.39670689120851188</v>
      </c>
      <c r="S441">
        <v>0.35851994384364017</v>
      </c>
      <c r="T441">
        <v>0.38321253819874884</v>
      </c>
      <c r="U441">
        <v>0.42697118549819407</v>
      </c>
      <c r="V441">
        <v>0.19037385700409412</v>
      </c>
      <c r="W441">
        <v>0.25768178285719573</v>
      </c>
      <c r="X441">
        <v>0.30952899347594687</v>
      </c>
      <c r="Y441">
        <v>0.41933152505475157</v>
      </c>
      <c r="Z441">
        <v>0.28380153994765517</v>
      </c>
      <c r="AA441">
        <v>8.0393463207930616E-3</v>
      </c>
      <c r="AB441">
        <v>0.44383489413534394</v>
      </c>
      <c r="AC441">
        <v>0.54020749509677768</v>
      </c>
      <c r="AD441">
        <v>0.60897454664723061</v>
      </c>
      <c r="AE441">
        <v>0.74893847682833392</v>
      </c>
      <c r="AF441">
        <v>0.62969890694429942</v>
      </c>
      <c r="AG441">
        <v>0.33315932968832568</v>
      </c>
      <c r="AH441">
        <v>0.36675617071788691</v>
      </c>
      <c r="AI441">
        <v>0.31212117340895046</v>
      </c>
      <c r="AJ441">
        <v>0.11602236575578373</v>
      </c>
      <c r="AK441">
        <v>0.37978977327170649</v>
      </c>
      <c r="AL441">
        <v>0.41141676747090405</v>
      </c>
      <c r="AM441">
        <v>0.24367464126458813</v>
      </c>
      <c r="AN441">
        <v>0.2648593276925752</v>
      </c>
      <c r="AO441">
        <v>0.25593979097302977</v>
      </c>
      <c r="AP441">
        <v>0.29225687916293774</v>
      </c>
      <c r="AQ441">
        <v>0.27277316980497363</v>
      </c>
      <c r="AR441">
        <v>0.22717989120468818</v>
      </c>
      <c r="AS441">
        <v>0.41585420732006789</v>
      </c>
      <c r="AT441">
        <v>0.18822507721641166</v>
      </c>
      <c r="AU441">
        <v>0.43432332279401886</v>
      </c>
    </row>
    <row r="442" spans="3:47" x14ac:dyDescent="0.2">
      <c r="C442" t="s">
        <v>29</v>
      </c>
      <c r="D442">
        <v>0.2006431297684643</v>
      </c>
      <c r="E442">
        <v>3.5138804250923882E-2</v>
      </c>
      <c r="F442">
        <v>3.1852473776590201E-2</v>
      </c>
      <c r="G442">
        <v>0.16260572723085451</v>
      </c>
      <c r="H442">
        <v>0.19693360308949792</v>
      </c>
      <c r="I442">
        <v>0.41273017824734387</v>
      </c>
      <c r="J442">
        <v>0.4104830780852291</v>
      </c>
      <c r="K442">
        <v>0.37711668776796631</v>
      </c>
      <c r="L442">
        <v>0.37174152361538609</v>
      </c>
      <c r="M442">
        <v>0.45215949036604891</v>
      </c>
      <c r="N442">
        <v>0.33225192085103988</v>
      </c>
      <c r="O442">
        <v>0.33840977384328941</v>
      </c>
      <c r="P442">
        <v>0.35749273832628864</v>
      </c>
      <c r="Q442">
        <v>0.27098080937283409</v>
      </c>
      <c r="R442">
        <v>0.24522109870628142</v>
      </c>
      <c r="S442">
        <v>8.3181258238378464E-2</v>
      </c>
      <c r="T442">
        <v>0.19921431827579361</v>
      </c>
      <c r="U442">
        <v>0.22150776353598331</v>
      </c>
      <c r="V442">
        <v>0.10793825033648055</v>
      </c>
      <c r="W442">
        <v>0.13869014269254398</v>
      </c>
      <c r="X442">
        <v>0.17619258090801188</v>
      </c>
      <c r="Y442">
        <v>0.32764553743041985</v>
      </c>
      <c r="Z442">
        <v>0.14552183574812186</v>
      </c>
      <c r="AA442">
        <v>0.12698705154585416</v>
      </c>
      <c r="AB442">
        <v>0.45288431656594264</v>
      </c>
      <c r="AC442">
        <v>0.34574170340546184</v>
      </c>
      <c r="AD442">
        <v>0.52613783028698369</v>
      </c>
      <c r="AE442">
        <v>0.62969890694429942</v>
      </c>
      <c r="AF442">
        <v>0.772485559641236</v>
      </c>
      <c r="AG442">
        <v>0.50605283502559273</v>
      </c>
      <c r="AH442">
        <v>0.18053644090200077</v>
      </c>
      <c r="AI442">
        <v>4.7706051685370364E-2</v>
      </c>
      <c r="AJ442">
        <v>2.5927926837409868E-2</v>
      </c>
      <c r="AK442">
        <v>0.14685676240656653</v>
      </c>
      <c r="AL442">
        <v>0.26856964282388335</v>
      </c>
      <c r="AM442">
        <v>0.19972425535918278</v>
      </c>
      <c r="AN442">
        <v>0.21059619309040167</v>
      </c>
      <c r="AO442">
        <v>0.17419264719725078</v>
      </c>
      <c r="AP442">
        <v>0.2535044787963045</v>
      </c>
      <c r="AQ442">
        <v>0.18608022037322169</v>
      </c>
      <c r="AR442">
        <v>-2.3478890161058003E-2</v>
      </c>
      <c r="AS442">
        <v>0.20848928055576874</v>
      </c>
      <c r="AT442">
        <v>1.7193626854367022E-2</v>
      </c>
      <c r="AU442">
        <v>0.47940344793054046</v>
      </c>
    </row>
    <row r="443" spans="3:47" x14ac:dyDescent="0.2">
      <c r="C443" t="s">
        <v>30</v>
      </c>
      <c r="D443">
        <v>4.9334079232585662E-2</v>
      </c>
      <c r="E443">
        <v>-7.2692063188883049E-2</v>
      </c>
      <c r="F443">
        <v>-9.399739727136365E-2</v>
      </c>
      <c r="G443">
        <v>5.6223094700802896E-2</v>
      </c>
      <c r="H443">
        <v>9.9441835850718197E-2</v>
      </c>
      <c r="I443">
        <v>0.12141010391744317</v>
      </c>
      <c r="J443">
        <v>0.21414856594803189</v>
      </c>
      <c r="K443">
        <v>0.17841668950302639</v>
      </c>
      <c r="L443">
        <v>3.7704707271970679E-2</v>
      </c>
      <c r="M443">
        <v>0.11737058903819234</v>
      </c>
      <c r="N443">
        <v>0.17323428336267077</v>
      </c>
      <c r="O443">
        <v>0.14078783293247304</v>
      </c>
      <c r="P443">
        <v>0.27634661815812323</v>
      </c>
      <c r="Q443">
        <v>0.47880486325675436</v>
      </c>
      <c r="R443">
        <v>0.32662947198380987</v>
      </c>
      <c r="S443">
        <v>0.17933756593919878</v>
      </c>
      <c r="T443">
        <v>0.23802062335477683</v>
      </c>
      <c r="U443">
        <v>0.14536883721045593</v>
      </c>
      <c r="V443">
        <v>0.12339120484138219</v>
      </c>
      <c r="W443">
        <v>0.1229177931687182</v>
      </c>
      <c r="X443">
        <v>0.1689746354295257</v>
      </c>
      <c r="Y443">
        <v>0.2666857846976583</v>
      </c>
      <c r="Z443">
        <v>6.3984670616879624E-2</v>
      </c>
      <c r="AA443">
        <v>0.37298855083746008</v>
      </c>
      <c r="AB443">
        <v>0.44576659351416165</v>
      </c>
      <c r="AC443">
        <v>0.21431239442231093</v>
      </c>
      <c r="AD443">
        <v>0.342637861542539</v>
      </c>
      <c r="AE443">
        <v>0.33315932968832568</v>
      </c>
      <c r="AF443">
        <v>0.50605283502559273</v>
      </c>
      <c r="AG443">
        <v>0.67772043070925547</v>
      </c>
      <c r="AH443">
        <v>0.29517653281609996</v>
      </c>
      <c r="AI443">
        <v>3.4006526781508346E-3</v>
      </c>
      <c r="AJ443">
        <v>0.19865019989687682</v>
      </c>
      <c r="AK443">
        <v>0.23929175481467907</v>
      </c>
      <c r="AL443">
        <v>0.24700417870373331</v>
      </c>
      <c r="AM443">
        <v>7.7078388682209203E-2</v>
      </c>
      <c r="AN443">
        <v>0.27530075883415367</v>
      </c>
      <c r="AO443">
        <v>0.20683142013238287</v>
      </c>
      <c r="AP443">
        <v>0.25862303523655888</v>
      </c>
      <c r="AQ443">
        <v>0.13516223347637513</v>
      </c>
      <c r="AR443">
        <v>-8.2489030318538659E-2</v>
      </c>
      <c r="AS443">
        <v>0.18201406579839136</v>
      </c>
      <c r="AT443">
        <v>9.5350216651800504E-2</v>
      </c>
      <c r="AU443">
        <v>0.49143482341421618</v>
      </c>
    </row>
    <row r="444" spans="3:47" x14ac:dyDescent="0.2">
      <c r="C444" t="s">
        <v>31</v>
      </c>
      <c r="D444">
        <v>7.3766918153847783E-2</v>
      </c>
      <c r="E444">
        <v>-9.6806402829425084E-2</v>
      </c>
      <c r="F444">
        <v>2.0658607860340114E-2</v>
      </c>
      <c r="G444">
        <v>0.16374471611611249</v>
      </c>
      <c r="H444">
        <v>0.32084379451518508</v>
      </c>
      <c r="I444">
        <v>3.9297048859575648E-2</v>
      </c>
      <c r="J444">
        <v>0.1206357729042436</v>
      </c>
      <c r="K444">
        <v>0.21779111381898619</v>
      </c>
      <c r="L444">
        <v>0.13538481080315543</v>
      </c>
      <c r="M444">
        <v>0.24390846044032671</v>
      </c>
      <c r="N444">
        <v>6.3523761593902134E-2</v>
      </c>
      <c r="O444">
        <v>0.21089863482171761</v>
      </c>
      <c r="P444">
        <v>0.1359757721070303</v>
      </c>
      <c r="Q444">
        <v>0.26909842321511473</v>
      </c>
      <c r="R444">
        <v>0.2483564988181852</v>
      </c>
      <c r="S444">
        <v>0.43022966991425604</v>
      </c>
      <c r="T444">
        <v>0.24626268173286131</v>
      </c>
      <c r="U444">
        <v>0.44170676937429537</v>
      </c>
      <c r="V444">
        <v>0.1889806274366039</v>
      </c>
      <c r="W444">
        <v>0.28092535477557329</v>
      </c>
      <c r="X444">
        <v>0.29833368271627725</v>
      </c>
      <c r="Y444">
        <v>0.47920007350832411</v>
      </c>
      <c r="Z444">
        <v>0.31395383614035455</v>
      </c>
      <c r="AA444">
        <v>0.13328721372421398</v>
      </c>
      <c r="AB444">
        <v>0.35774552156407835</v>
      </c>
      <c r="AC444">
        <v>0.54817980183209014</v>
      </c>
      <c r="AD444">
        <v>0.34194497970409066</v>
      </c>
      <c r="AE444">
        <v>0.36675617071788691</v>
      </c>
      <c r="AF444">
        <v>0.18053644090200077</v>
      </c>
      <c r="AG444">
        <v>0.29517653281609996</v>
      </c>
      <c r="AH444">
        <v>0.65296099665901908</v>
      </c>
      <c r="AI444">
        <v>0.40017584996563071</v>
      </c>
      <c r="AJ444">
        <v>0.31524761025260306</v>
      </c>
      <c r="AK444">
        <v>0.49711203934768938</v>
      </c>
      <c r="AL444">
        <v>0.39832337727160699</v>
      </c>
      <c r="AM444">
        <v>1.6624431868394622E-2</v>
      </c>
      <c r="AN444">
        <v>0.1266360773339984</v>
      </c>
      <c r="AO444">
        <v>0.336770626161361</v>
      </c>
      <c r="AP444">
        <v>0.21166355584939678</v>
      </c>
      <c r="AQ444">
        <v>0.23229506774328512</v>
      </c>
      <c r="AR444">
        <v>0.10706129556838417</v>
      </c>
      <c r="AS444">
        <v>0.37654414774526535</v>
      </c>
      <c r="AT444">
        <v>0.17118030417428373</v>
      </c>
      <c r="AU444">
        <v>0.20432579664544764</v>
      </c>
    </row>
    <row r="445" spans="3:47" x14ac:dyDescent="0.2">
      <c r="C445" t="s">
        <v>32</v>
      </c>
      <c r="D445">
        <v>0.37798519761712113</v>
      </c>
      <c r="E445">
        <v>0.39229498820366587</v>
      </c>
      <c r="F445">
        <v>0.1786597040794673</v>
      </c>
      <c r="G445">
        <v>0.42567567324416111</v>
      </c>
      <c r="H445">
        <v>0.54812314291050812</v>
      </c>
      <c r="I445">
        <v>0.27223845326778284</v>
      </c>
      <c r="J445">
        <v>0.3355090116912568</v>
      </c>
      <c r="K445">
        <v>0.33540831889799805</v>
      </c>
      <c r="L445">
        <v>0.39523528649101958</v>
      </c>
      <c r="M445">
        <v>0.35328600125968007</v>
      </c>
      <c r="N445">
        <v>0.2838158585414377</v>
      </c>
      <c r="O445">
        <v>0.30376681153420543</v>
      </c>
      <c r="P445">
        <v>0.231710703497264</v>
      </c>
      <c r="Q445">
        <v>7.8312826049956902E-2</v>
      </c>
      <c r="R445">
        <v>0.20529887132336938</v>
      </c>
      <c r="S445">
        <v>0.42795506806927275</v>
      </c>
      <c r="T445">
        <v>0.13847105411699553</v>
      </c>
      <c r="U445">
        <v>0.21525296168689192</v>
      </c>
      <c r="V445">
        <v>0.46117082963648259</v>
      </c>
      <c r="W445">
        <v>0.55573253798120381</v>
      </c>
      <c r="X445">
        <v>0.37880129758759384</v>
      </c>
      <c r="Y445">
        <v>0.34111172737559264</v>
      </c>
      <c r="Z445">
        <v>0.39869254099102119</v>
      </c>
      <c r="AA445">
        <v>2.0049659923427054E-2</v>
      </c>
      <c r="AB445">
        <v>0.44708414376243466</v>
      </c>
      <c r="AC445">
        <v>0.40567353164001546</v>
      </c>
      <c r="AD445">
        <v>0.41956037925271356</v>
      </c>
      <c r="AE445">
        <v>0.31212117340895046</v>
      </c>
      <c r="AF445">
        <v>4.7706051685370364E-2</v>
      </c>
      <c r="AG445">
        <v>3.4006526781508346E-3</v>
      </c>
      <c r="AH445">
        <v>0.40017584996563071</v>
      </c>
      <c r="AI445">
        <v>0.67317896174608005</v>
      </c>
      <c r="AJ445">
        <v>0.31916583685765432</v>
      </c>
      <c r="AK445">
        <v>0.48341946236757383</v>
      </c>
      <c r="AL445">
        <v>0.42690647778861351</v>
      </c>
      <c r="AM445">
        <v>0.28579655765113804</v>
      </c>
      <c r="AN445">
        <v>0.19052052717637985</v>
      </c>
      <c r="AO445">
        <v>0.11418851571489068</v>
      </c>
      <c r="AP445">
        <v>5.2334592256540004E-2</v>
      </c>
      <c r="AQ445">
        <v>0.12174011310866947</v>
      </c>
      <c r="AR445">
        <v>0.29064828481239324</v>
      </c>
      <c r="AS445">
        <v>0.55177430919717751</v>
      </c>
      <c r="AT445">
        <v>0.40393569914641825</v>
      </c>
      <c r="AU445">
        <v>0.20326868995444289</v>
      </c>
    </row>
    <row r="446" spans="3:47" x14ac:dyDescent="0.2">
      <c r="C446" t="s">
        <v>33</v>
      </c>
      <c r="D446">
        <v>0.46412174502981157</v>
      </c>
      <c r="E446">
        <v>0.29575599398378233</v>
      </c>
      <c r="F446">
        <v>0.19146851579548546</v>
      </c>
      <c r="G446">
        <v>0.47928293138011302</v>
      </c>
      <c r="H446">
        <v>0.34583878792264405</v>
      </c>
      <c r="I446">
        <v>0.24107941173202665</v>
      </c>
      <c r="J446">
        <v>0.37655974469008269</v>
      </c>
      <c r="K446">
        <v>0.37562704210068243</v>
      </c>
      <c r="L446">
        <v>0.17750601291468249</v>
      </c>
      <c r="M446">
        <v>0.2299846632292698</v>
      </c>
      <c r="N446">
        <v>0.14638189440901431</v>
      </c>
      <c r="O446">
        <v>0.15727670911506633</v>
      </c>
      <c r="P446">
        <v>0.19637921811755571</v>
      </c>
      <c r="Q446">
        <v>0.25931543115014322</v>
      </c>
      <c r="R446">
        <v>0.12072199124214343</v>
      </c>
      <c r="S446">
        <v>5.8158443341726346E-2</v>
      </c>
      <c r="T446">
        <v>-1.1929152584388038E-2</v>
      </c>
      <c r="U446">
        <v>0.19568955179106376</v>
      </c>
      <c r="V446">
        <v>0.20858383786018117</v>
      </c>
      <c r="W446">
        <v>5.7318299547510526E-2</v>
      </c>
      <c r="X446">
        <v>-1.6696594415530036E-2</v>
      </c>
      <c r="Y446">
        <v>0.12152340264170901</v>
      </c>
      <c r="Z446">
        <v>-0.20544612008417001</v>
      </c>
      <c r="AA446">
        <v>-2.8662718695688941E-2</v>
      </c>
      <c r="AB446">
        <v>0.2073742991880019</v>
      </c>
      <c r="AC446">
        <v>0.1644808901671731</v>
      </c>
      <c r="AD446">
        <v>0.18287866824632898</v>
      </c>
      <c r="AE446">
        <v>0.11602236575578373</v>
      </c>
      <c r="AF446">
        <v>2.5927926837409868E-2</v>
      </c>
      <c r="AG446">
        <v>0.19865019989687682</v>
      </c>
      <c r="AH446">
        <v>0.31524761025260306</v>
      </c>
      <c r="AI446">
        <v>0.31916583685765432</v>
      </c>
      <c r="AJ446">
        <v>0.74684813224495716</v>
      </c>
      <c r="AK446">
        <v>0.40010650671540454</v>
      </c>
      <c r="AL446">
        <v>0.29931733712765529</v>
      </c>
      <c r="AM446">
        <v>0.14773510274388724</v>
      </c>
      <c r="AN446">
        <v>0.23695990406051992</v>
      </c>
      <c r="AO446">
        <v>0.27473564010327889</v>
      </c>
      <c r="AP446">
        <v>0.32142394087504522</v>
      </c>
      <c r="AQ446">
        <v>0.18486057519274274</v>
      </c>
      <c r="AR446">
        <v>4.4390215659025685E-2</v>
      </c>
      <c r="AS446">
        <v>7.553571356253759E-2</v>
      </c>
      <c r="AT446">
        <v>0.12970426665322912</v>
      </c>
      <c r="AU446">
        <v>0.2637611953086727</v>
      </c>
    </row>
    <row r="447" spans="3:47" x14ac:dyDescent="0.2">
      <c r="C447" t="s">
        <v>34</v>
      </c>
      <c r="D447">
        <v>0.27111497806439533</v>
      </c>
      <c r="E447">
        <v>0.12503882350646631</v>
      </c>
      <c r="F447">
        <v>1.5159175868441194E-2</v>
      </c>
      <c r="G447">
        <v>0.30299172788752449</v>
      </c>
      <c r="H447">
        <v>0.39489893159618211</v>
      </c>
      <c r="I447">
        <v>0.380952884561024</v>
      </c>
      <c r="J447">
        <v>0.4520874782181532</v>
      </c>
      <c r="K447">
        <v>0.42990319737883326</v>
      </c>
      <c r="L447">
        <v>0.39829480763460046</v>
      </c>
      <c r="M447">
        <v>0.41709224666172834</v>
      </c>
      <c r="N447">
        <v>0.44467995393622906</v>
      </c>
      <c r="O447">
        <v>0.4643728571124372</v>
      </c>
      <c r="P447">
        <v>0.44219093430603584</v>
      </c>
      <c r="Q447">
        <v>0.2489531049662001</v>
      </c>
      <c r="R447">
        <v>0.37195490561584005</v>
      </c>
      <c r="S447">
        <v>0.57765705791388178</v>
      </c>
      <c r="T447">
        <v>0.30281071407103438</v>
      </c>
      <c r="U447">
        <v>0.20146981788223695</v>
      </c>
      <c r="V447">
        <v>0.36429254976025288</v>
      </c>
      <c r="W447">
        <v>0.37143317346172883</v>
      </c>
      <c r="X447">
        <v>0.29524000829027519</v>
      </c>
      <c r="Y447">
        <v>0.29257899766963491</v>
      </c>
      <c r="Z447">
        <v>0.23575345118283578</v>
      </c>
      <c r="AA447">
        <v>7.7204105276198212E-2</v>
      </c>
      <c r="AB447">
        <v>0.43085547285921211</v>
      </c>
      <c r="AC447">
        <v>0.46297004811295411</v>
      </c>
      <c r="AD447">
        <v>0.49489509557259181</v>
      </c>
      <c r="AE447">
        <v>0.37978977327170649</v>
      </c>
      <c r="AF447">
        <v>0.14685676240656653</v>
      </c>
      <c r="AG447">
        <v>0.23929175481467907</v>
      </c>
      <c r="AH447">
        <v>0.49711203934768938</v>
      </c>
      <c r="AI447">
        <v>0.48341946236757383</v>
      </c>
      <c r="AJ447">
        <v>0.40010650671540454</v>
      </c>
      <c r="AK447">
        <v>0.79789812830341889</v>
      </c>
      <c r="AL447">
        <v>0.7254937305206306</v>
      </c>
      <c r="AM447">
        <v>0.33050317277443941</v>
      </c>
      <c r="AN447">
        <v>0.19336226648889029</v>
      </c>
      <c r="AO447">
        <v>0.27354098188216536</v>
      </c>
      <c r="AP447">
        <v>0.2419436835832505</v>
      </c>
      <c r="AQ447">
        <v>0.26713905801268434</v>
      </c>
      <c r="AR447">
        <v>0.47585035092329309</v>
      </c>
      <c r="AS447">
        <v>0.46238780758113351</v>
      </c>
      <c r="AT447">
        <v>0.31184988536761044</v>
      </c>
      <c r="AU447">
        <v>0.23628385713030842</v>
      </c>
    </row>
    <row r="448" spans="3:47" x14ac:dyDescent="0.2">
      <c r="C448" t="s">
        <v>35</v>
      </c>
      <c r="D448">
        <v>0.25894111590632796</v>
      </c>
      <c r="E448">
        <v>8.8824665013460605E-2</v>
      </c>
      <c r="F448">
        <v>1.234818339654482E-2</v>
      </c>
      <c r="G448">
        <v>0.28011873040787533</v>
      </c>
      <c r="H448">
        <v>0.34207692856338706</v>
      </c>
      <c r="I448">
        <v>0.43555142183536055</v>
      </c>
      <c r="J448">
        <v>0.4955934251818751</v>
      </c>
      <c r="K448">
        <v>0.36402265393030842</v>
      </c>
      <c r="L448">
        <v>0.46870193555878892</v>
      </c>
      <c r="M448">
        <v>0.39620599764307346</v>
      </c>
      <c r="N448">
        <v>0.44863474463660663</v>
      </c>
      <c r="O448">
        <v>0.46651073927576248</v>
      </c>
      <c r="P448">
        <v>0.44001143027418649</v>
      </c>
      <c r="Q448">
        <v>6.313800140705364E-2</v>
      </c>
      <c r="R448">
        <v>0.24936678528381467</v>
      </c>
      <c r="S448">
        <v>0.42124642836613668</v>
      </c>
      <c r="T448">
        <v>0.25354288654245449</v>
      </c>
      <c r="U448">
        <v>7.4957565771977264E-2</v>
      </c>
      <c r="V448">
        <v>0.29417978514413018</v>
      </c>
      <c r="W448">
        <v>0.34193970725560086</v>
      </c>
      <c r="X448">
        <v>0.21751319901094784</v>
      </c>
      <c r="Y448">
        <v>0.26225480817443725</v>
      </c>
      <c r="Z448">
        <v>0.30940034934130983</v>
      </c>
      <c r="AA448">
        <v>0.14899974216867629</v>
      </c>
      <c r="AB448">
        <v>0.46866567766778722</v>
      </c>
      <c r="AC448">
        <v>0.4846425698450485</v>
      </c>
      <c r="AD448">
        <v>0.59098809308518796</v>
      </c>
      <c r="AE448">
        <v>0.41141676747090405</v>
      </c>
      <c r="AF448">
        <v>0.26856964282388335</v>
      </c>
      <c r="AG448">
        <v>0.24700417870373331</v>
      </c>
      <c r="AH448">
        <v>0.39832337727160699</v>
      </c>
      <c r="AI448">
        <v>0.42690647778861351</v>
      </c>
      <c r="AJ448">
        <v>0.29931733712765529</v>
      </c>
      <c r="AK448">
        <v>0.7254937305206306</v>
      </c>
      <c r="AL448">
        <v>0.78513186456693262</v>
      </c>
      <c r="AM448">
        <v>0.50759985319013756</v>
      </c>
      <c r="AN448">
        <v>0.20427228107823214</v>
      </c>
      <c r="AO448">
        <v>0.21232028645246123</v>
      </c>
      <c r="AP448">
        <v>0.17496521754974934</v>
      </c>
      <c r="AQ448">
        <v>0.18296421700591209</v>
      </c>
      <c r="AR448">
        <v>0.49362135868978402</v>
      </c>
      <c r="AS448">
        <v>0.44366160039693803</v>
      </c>
      <c r="AT448">
        <v>0.24945335538708907</v>
      </c>
      <c r="AU448">
        <v>0.23696896280836741</v>
      </c>
    </row>
    <row r="449" spans="3:47" x14ac:dyDescent="0.2">
      <c r="C449" t="s">
        <v>36</v>
      </c>
      <c r="D449">
        <v>0.39538767117709278</v>
      </c>
      <c r="E449">
        <v>0.34045607244642473</v>
      </c>
      <c r="F449">
        <v>0.22815610141979401</v>
      </c>
      <c r="G449">
        <v>0.40793148946185426</v>
      </c>
      <c r="H449">
        <v>0.30453018286036104</v>
      </c>
      <c r="I449">
        <v>0.43667488140787403</v>
      </c>
      <c r="J449">
        <v>0.49084514817863106</v>
      </c>
      <c r="K449">
        <v>0.24438162234503691</v>
      </c>
      <c r="L449">
        <v>0.45840856326695917</v>
      </c>
      <c r="M449">
        <v>0.26982317242113357</v>
      </c>
      <c r="N449">
        <v>0.44833384827110379</v>
      </c>
      <c r="O449">
        <v>0.39092373516781753</v>
      </c>
      <c r="P449">
        <v>0.37892119036224581</v>
      </c>
      <c r="Q449">
        <v>-0.19687458728048313</v>
      </c>
      <c r="R449">
        <v>-3.4114306398555769E-2</v>
      </c>
      <c r="S449">
        <v>7.4357716082895861E-2</v>
      </c>
      <c r="T449">
        <v>6.847960789535866E-2</v>
      </c>
      <c r="U449">
        <v>-6.7026139822845221E-2</v>
      </c>
      <c r="V449">
        <v>0.15455066815689625</v>
      </c>
      <c r="W449">
        <v>0.16482633337927421</v>
      </c>
      <c r="X449">
        <v>5.8284692881299116E-3</v>
      </c>
      <c r="Y449">
        <v>-1.2530086291403331E-2</v>
      </c>
      <c r="Z449">
        <v>0.24536279663658561</v>
      </c>
      <c r="AA449">
        <v>0.21790025721303075</v>
      </c>
      <c r="AB449">
        <v>0.28531278393419163</v>
      </c>
      <c r="AC449">
        <v>0.22214234307437516</v>
      </c>
      <c r="AD449">
        <v>0.43557718883091795</v>
      </c>
      <c r="AE449">
        <v>0.24367464126458813</v>
      </c>
      <c r="AF449">
        <v>0.19972425535918278</v>
      </c>
      <c r="AG449">
        <v>7.7078388682209203E-2</v>
      </c>
      <c r="AH449">
        <v>1.6624431868394622E-2</v>
      </c>
      <c r="AI449">
        <v>0.28579655765113804</v>
      </c>
      <c r="AJ449">
        <v>0.14773510274388724</v>
      </c>
      <c r="AK449">
        <v>0.33050317277443941</v>
      </c>
      <c r="AL449">
        <v>0.50759985319013756</v>
      </c>
      <c r="AM449">
        <v>0.7168411640983029</v>
      </c>
      <c r="AN449">
        <v>0.32322684718095679</v>
      </c>
      <c r="AO449">
        <v>5.1774706619722485E-2</v>
      </c>
      <c r="AP449">
        <v>7.4834571219166687E-2</v>
      </c>
      <c r="AQ449">
        <v>-1.4159286732615045E-2</v>
      </c>
      <c r="AR449">
        <v>0.45938024024537</v>
      </c>
      <c r="AS449">
        <v>0.41252595395750224</v>
      </c>
      <c r="AT449">
        <v>0.39477304650851147</v>
      </c>
      <c r="AU449">
        <v>0.24854429054166499</v>
      </c>
    </row>
    <row r="450" spans="3:47" x14ac:dyDescent="0.2">
      <c r="C450" t="s">
        <v>37</v>
      </c>
      <c r="D450">
        <v>0.39306645058228462</v>
      </c>
      <c r="E450">
        <v>0.36482138882375426</v>
      </c>
      <c r="F450">
        <v>6.2052488782926629E-2</v>
      </c>
      <c r="G450">
        <v>0.30736558712311635</v>
      </c>
      <c r="H450">
        <v>0.20301779720688157</v>
      </c>
      <c r="I450">
        <v>9.7619116272774614E-2</v>
      </c>
      <c r="J450">
        <v>0.22648238127407216</v>
      </c>
      <c r="K450">
        <v>0.11650005434572792</v>
      </c>
      <c r="L450">
        <v>4.3702984213012955E-2</v>
      </c>
      <c r="M450">
        <v>0.24886882836502688</v>
      </c>
      <c r="N450">
        <v>0.15530201469996519</v>
      </c>
      <c r="O450">
        <v>6.6706685028523477E-2</v>
      </c>
      <c r="P450">
        <v>0.11196073897730179</v>
      </c>
      <c r="Q450">
        <v>0.34227896459266799</v>
      </c>
      <c r="R450">
        <v>0.3544016537891902</v>
      </c>
      <c r="S450">
        <v>0.12190581515094204</v>
      </c>
      <c r="T450">
        <v>0.34623176092585151</v>
      </c>
      <c r="U450">
        <v>6.8798893069736244E-2</v>
      </c>
      <c r="V450">
        <v>8.180493638775399E-2</v>
      </c>
      <c r="W450">
        <v>0.10144819166615068</v>
      </c>
      <c r="X450">
        <v>0.17194743928817485</v>
      </c>
      <c r="Y450">
        <v>0.16569744899532191</v>
      </c>
      <c r="Z450">
        <v>0.10260055054120476</v>
      </c>
      <c r="AA450">
        <v>0.16910168106574117</v>
      </c>
      <c r="AB450">
        <v>0.19528887634234962</v>
      </c>
      <c r="AC450">
        <v>0.11558381050936865</v>
      </c>
      <c r="AD450">
        <v>0.30950543770041922</v>
      </c>
      <c r="AE450">
        <v>0.2648593276925752</v>
      </c>
      <c r="AF450">
        <v>0.21059619309040167</v>
      </c>
      <c r="AG450">
        <v>0.27530075883415367</v>
      </c>
      <c r="AH450">
        <v>0.1266360773339984</v>
      </c>
      <c r="AI450">
        <v>0.19052052717637985</v>
      </c>
      <c r="AJ450">
        <v>0.23695990406051992</v>
      </c>
      <c r="AK450">
        <v>0.19336226648889029</v>
      </c>
      <c r="AL450">
        <v>0.20427228107823214</v>
      </c>
      <c r="AM450">
        <v>0.32322684718095679</v>
      </c>
      <c r="AN450">
        <v>0.5873254775262553</v>
      </c>
      <c r="AO450">
        <v>0.24698164013548204</v>
      </c>
      <c r="AP450">
        <v>0.2894270982839508</v>
      </c>
      <c r="AQ450">
        <v>0.22966629343318204</v>
      </c>
      <c r="AR450">
        <v>0.21917503481389145</v>
      </c>
      <c r="AS450">
        <v>0.316059279901451</v>
      </c>
      <c r="AT450">
        <v>0.32531284088317741</v>
      </c>
      <c r="AU450">
        <v>0.50132144946272073</v>
      </c>
    </row>
    <row r="451" spans="3:47" x14ac:dyDescent="0.2">
      <c r="C451" t="s">
        <v>38</v>
      </c>
      <c r="D451">
        <v>9.6635298801456215E-2</v>
      </c>
      <c r="E451">
        <v>-8.857652201045374E-2</v>
      </c>
      <c r="F451">
        <v>0.1531005273179662</v>
      </c>
      <c r="G451">
        <v>9.7128597864487826E-2</v>
      </c>
      <c r="H451">
        <v>0.26719247113606148</v>
      </c>
      <c r="I451">
        <v>0.13760766115704651</v>
      </c>
      <c r="J451">
        <v>0.20636525956675927</v>
      </c>
      <c r="K451">
        <v>0.18234730007138664</v>
      </c>
      <c r="L451">
        <v>0.20742312104013733</v>
      </c>
      <c r="M451">
        <v>0.22649688202246659</v>
      </c>
      <c r="N451">
        <v>6.4706173593728752E-2</v>
      </c>
      <c r="O451">
        <v>0.35242801517769617</v>
      </c>
      <c r="P451">
        <v>0.23616211218522012</v>
      </c>
      <c r="Q451">
        <v>0.21368384971360554</v>
      </c>
      <c r="R451">
        <v>0.13506204971913524</v>
      </c>
      <c r="S451">
        <v>0.16521405035501321</v>
      </c>
      <c r="T451">
        <v>6.3729049118240247E-2</v>
      </c>
      <c r="U451">
        <v>0.32510234786991604</v>
      </c>
      <c r="V451">
        <v>0.26892436541205245</v>
      </c>
      <c r="W451">
        <v>9.0810591464328516E-2</v>
      </c>
      <c r="X451">
        <v>0.3716386894414489</v>
      </c>
      <c r="Y451">
        <v>0.43204757953724487</v>
      </c>
      <c r="Z451">
        <v>0.11894419627619565</v>
      </c>
      <c r="AA451">
        <v>8.920861130570068E-2</v>
      </c>
      <c r="AB451">
        <v>5.4504510096838522E-2</v>
      </c>
      <c r="AC451">
        <v>0.36808613903323262</v>
      </c>
      <c r="AD451">
        <v>0.25508299856114836</v>
      </c>
      <c r="AE451">
        <v>0.25593979097302977</v>
      </c>
      <c r="AF451">
        <v>0.17419264719725078</v>
      </c>
      <c r="AG451">
        <v>0.20683142013238287</v>
      </c>
      <c r="AH451">
        <v>0.336770626161361</v>
      </c>
      <c r="AI451">
        <v>0.11418851571489068</v>
      </c>
      <c r="AJ451">
        <v>0.27473564010327889</v>
      </c>
      <c r="AK451">
        <v>0.27354098188216536</v>
      </c>
      <c r="AL451">
        <v>0.21232028645246123</v>
      </c>
      <c r="AM451">
        <v>5.1774706619722485E-2</v>
      </c>
      <c r="AN451">
        <v>0.24698164013548204</v>
      </c>
      <c r="AO451">
        <v>0.73651487402568394</v>
      </c>
      <c r="AP451">
        <v>0.71303672640907867</v>
      </c>
      <c r="AQ451">
        <v>0.66666484356844946</v>
      </c>
      <c r="AR451">
        <v>0.23726109348646174</v>
      </c>
      <c r="AS451">
        <v>5.0480690176153233E-2</v>
      </c>
      <c r="AT451">
        <v>6.5961261810704663E-2</v>
      </c>
      <c r="AU451">
        <v>0.12467951542117126</v>
      </c>
    </row>
    <row r="452" spans="3:47" x14ac:dyDescent="0.2">
      <c r="C452" t="s">
        <v>39</v>
      </c>
      <c r="D452">
        <v>0.20620872187768144</v>
      </c>
      <c r="E452">
        <v>5.028675074419571E-2</v>
      </c>
      <c r="F452">
        <v>0.25319648339813167</v>
      </c>
      <c r="G452">
        <v>0.20872724113162286</v>
      </c>
      <c r="H452">
        <v>0.30776043933802461</v>
      </c>
      <c r="I452">
        <v>0.29084392415802601</v>
      </c>
      <c r="J452">
        <v>0.3644402784063574</v>
      </c>
      <c r="K452">
        <v>0.30670940789869328</v>
      </c>
      <c r="L452">
        <v>0.28143548118541845</v>
      </c>
      <c r="M452">
        <v>0.31109545557870327</v>
      </c>
      <c r="N452">
        <v>0.22520608158888128</v>
      </c>
      <c r="O452">
        <v>0.42167084234135538</v>
      </c>
      <c r="P452">
        <v>0.37970253028635481</v>
      </c>
      <c r="Q452">
        <v>0.32233695453236522</v>
      </c>
      <c r="R452">
        <v>0.22364256867996765</v>
      </c>
      <c r="S452">
        <v>0.14205903421842009</v>
      </c>
      <c r="T452">
        <v>9.0449917914033243E-2</v>
      </c>
      <c r="U452">
        <v>0.29738753762526376</v>
      </c>
      <c r="V452">
        <v>0.32656639830987483</v>
      </c>
      <c r="W452">
        <v>6.5182342858674774E-2</v>
      </c>
      <c r="X452">
        <v>0.36126617597702021</v>
      </c>
      <c r="Y452">
        <v>0.3426907931912192</v>
      </c>
      <c r="Z452">
        <v>-5.3986315589617338E-3</v>
      </c>
      <c r="AA452">
        <v>8.7072006903433863E-2</v>
      </c>
      <c r="AB452">
        <v>7.6870047860166754E-2</v>
      </c>
      <c r="AC452">
        <v>0.28481230360744286</v>
      </c>
      <c r="AD452">
        <v>0.28297724017939752</v>
      </c>
      <c r="AE452">
        <v>0.29225687916293774</v>
      </c>
      <c r="AF452">
        <v>0.2535044787963045</v>
      </c>
      <c r="AG452">
        <v>0.25862303523655888</v>
      </c>
      <c r="AH452">
        <v>0.21166355584939678</v>
      </c>
      <c r="AI452">
        <v>5.2334592256540004E-2</v>
      </c>
      <c r="AJ452">
        <v>0.32142394087504522</v>
      </c>
      <c r="AK452">
        <v>0.2419436835832505</v>
      </c>
      <c r="AL452">
        <v>0.17496521754974934</v>
      </c>
      <c r="AM452">
        <v>7.4834571219166687E-2</v>
      </c>
      <c r="AN452">
        <v>0.2894270982839508</v>
      </c>
      <c r="AO452">
        <v>0.71303672640907867</v>
      </c>
      <c r="AP452">
        <v>0.79065168587250367</v>
      </c>
      <c r="AQ452">
        <v>0.66612015347868792</v>
      </c>
      <c r="AR452">
        <v>0.25449569144180773</v>
      </c>
      <c r="AS452">
        <v>-2.1699567607050125E-2</v>
      </c>
      <c r="AT452">
        <v>6.600969171515024E-2</v>
      </c>
      <c r="AU452">
        <v>0.19139069434663639</v>
      </c>
    </row>
    <row r="453" spans="3:47" x14ac:dyDescent="0.2">
      <c r="C453" t="s">
        <v>40</v>
      </c>
      <c r="D453">
        <v>0.12823887223403357</v>
      </c>
      <c r="E453">
        <v>-1.6589042885151291E-2</v>
      </c>
      <c r="F453">
        <v>-3.009848121741638E-2</v>
      </c>
      <c r="G453">
        <v>-2.643118444523123E-3</v>
      </c>
      <c r="H453">
        <v>0.21209979444061774</v>
      </c>
      <c r="I453">
        <v>0.17390215400531356</v>
      </c>
      <c r="J453">
        <v>0.18390489416733968</v>
      </c>
      <c r="K453">
        <v>0.2328164615454191</v>
      </c>
      <c r="L453">
        <v>0.22970678959492211</v>
      </c>
      <c r="M453">
        <v>0.30881864276609378</v>
      </c>
      <c r="N453">
        <v>7.8883844591516372E-2</v>
      </c>
      <c r="O453">
        <v>0.35040793195705922</v>
      </c>
      <c r="P453">
        <v>0.20227759546469015</v>
      </c>
      <c r="Q453">
        <v>0.2597325365189701</v>
      </c>
      <c r="R453">
        <v>0.20479057536535789</v>
      </c>
      <c r="S453">
        <v>0.20414179625509099</v>
      </c>
      <c r="T453">
        <v>4.3917444055639507E-2</v>
      </c>
      <c r="U453">
        <v>0.21773853108281871</v>
      </c>
      <c r="V453">
        <v>0.31751798417727051</v>
      </c>
      <c r="W453">
        <v>0.15100125331218769</v>
      </c>
      <c r="X453">
        <v>0.41854138832002546</v>
      </c>
      <c r="Y453">
        <v>0.41575575915569379</v>
      </c>
      <c r="Z453">
        <v>4.5759496721521312E-2</v>
      </c>
      <c r="AA453">
        <v>-0.11960354448605945</v>
      </c>
      <c r="AB453">
        <v>2.9670661773828461E-2</v>
      </c>
      <c r="AC453">
        <v>0.2278808208546626</v>
      </c>
      <c r="AD453">
        <v>0.2215468946671319</v>
      </c>
      <c r="AE453">
        <v>0.27277316980497363</v>
      </c>
      <c r="AF453">
        <v>0.18608022037322169</v>
      </c>
      <c r="AG453">
        <v>0.13516223347637513</v>
      </c>
      <c r="AH453">
        <v>0.23229506774328512</v>
      </c>
      <c r="AI453">
        <v>0.12174011310866947</v>
      </c>
      <c r="AJ453">
        <v>0.18486057519274274</v>
      </c>
      <c r="AK453">
        <v>0.26713905801268434</v>
      </c>
      <c r="AL453">
        <v>0.18296421700591209</v>
      </c>
      <c r="AM453">
        <v>-1.4159286732615045E-2</v>
      </c>
      <c r="AN453">
        <v>0.22966629343318204</v>
      </c>
      <c r="AO453">
        <v>0.66666484356844946</v>
      </c>
      <c r="AP453">
        <v>0.66612015347868792</v>
      </c>
      <c r="AQ453">
        <v>0.75295838025372352</v>
      </c>
      <c r="AR453">
        <v>0.21799289743323061</v>
      </c>
      <c r="AS453">
        <v>7.5109358896136125E-2</v>
      </c>
      <c r="AT453">
        <v>6.9587958191246774E-2</v>
      </c>
      <c r="AU453">
        <v>0.17767023795424877</v>
      </c>
    </row>
    <row r="454" spans="3:47" x14ac:dyDescent="0.2">
      <c r="C454" t="s">
        <v>41</v>
      </c>
      <c r="D454">
        <v>0.20421193302582535</v>
      </c>
      <c r="E454">
        <v>0.2189808052829692</v>
      </c>
      <c r="F454">
        <v>0.2658698240893429</v>
      </c>
      <c r="G454">
        <v>0.28888888992703143</v>
      </c>
      <c r="H454">
        <v>0.32367727891213638</v>
      </c>
      <c r="I454">
        <v>0.36425145985445034</v>
      </c>
      <c r="J454">
        <v>0.40921116252997708</v>
      </c>
      <c r="K454">
        <v>0.2137062864448746</v>
      </c>
      <c r="L454">
        <v>0.39668314436076524</v>
      </c>
      <c r="M454">
        <v>0.32499689208867222</v>
      </c>
      <c r="N454">
        <v>0.48618274229964603</v>
      </c>
      <c r="O454">
        <v>0.44922479287914469</v>
      </c>
      <c r="P454">
        <v>0.42690507237495479</v>
      </c>
      <c r="Q454">
        <v>-1.5448542605840904E-2</v>
      </c>
      <c r="R454">
        <v>0.26877450882323006</v>
      </c>
      <c r="S454">
        <v>0.41748362925102389</v>
      </c>
      <c r="T454">
        <v>0.32542915801738065</v>
      </c>
      <c r="U454">
        <v>4.1620230552194354E-2</v>
      </c>
      <c r="V454">
        <v>0.297622857914561</v>
      </c>
      <c r="W454">
        <v>0.26119675842529488</v>
      </c>
      <c r="X454">
        <v>0.30459881081466705</v>
      </c>
      <c r="Y454">
        <v>8.3426028739336758E-2</v>
      </c>
      <c r="Z454">
        <v>0.33080298142798881</v>
      </c>
      <c r="AA454">
        <v>0.13933108877409198</v>
      </c>
      <c r="AB454">
        <v>0.14276038799643495</v>
      </c>
      <c r="AC454">
        <v>0.32711156191488117</v>
      </c>
      <c r="AD454">
        <v>0.39942266688923633</v>
      </c>
      <c r="AE454">
        <v>0.22717989120468818</v>
      </c>
      <c r="AF454">
        <v>-2.3478890161058003E-2</v>
      </c>
      <c r="AG454">
        <v>-8.2489030318538659E-2</v>
      </c>
      <c r="AH454">
        <v>0.10706129556838417</v>
      </c>
      <c r="AI454">
        <v>0.29064828481239324</v>
      </c>
      <c r="AJ454">
        <v>4.4390215659025685E-2</v>
      </c>
      <c r="AK454">
        <v>0.47585035092329309</v>
      </c>
      <c r="AL454">
        <v>0.49362135868978402</v>
      </c>
      <c r="AM454">
        <v>0.45938024024537</v>
      </c>
      <c r="AN454">
        <v>0.21917503481389145</v>
      </c>
      <c r="AO454">
        <v>0.23726109348646174</v>
      </c>
      <c r="AP454">
        <v>0.25449569144180773</v>
      </c>
      <c r="AQ454">
        <v>0.21799289743323061</v>
      </c>
      <c r="AR454">
        <v>0.71250299299290454</v>
      </c>
      <c r="AS454">
        <v>0.31280193569490206</v>
      </c>
      <c r="AT454">
        <v>0.30412592511890058</v>
      </c>
      <c r="AU454">
        <v>-2.0019428118341162E-2</v>
      </c>
    </row>
    <row r="455" spans="3:47" x14ac:dyDescent="0.2">
      <c r="C455" t="s">
        <v>42</v>
      </c>
      <c r="D455">
        <v>0.34436675910758086</v>
      </c>
      <c r="E455">
        <v>0.34839059982771525</v>
      </c>
      <c r="F455">
        <v>5.1412883059545195E-2</v>
      </c>
      <c r="G455">
        <v>0.33266818489689914</v>
      </c>
      <c r="H455">
        <v>0.44307285956556125</v>
      </c>
      <c r="I455">
        <v>0.27024773538254504</v>
      </c>
      <c r="J455">
        <v>0.28967223230158357</v>
      </c>
      <c r="K455">
        <v>0.35682217251749671</v>
      </c>
      <c r="L455">
        <v>0.37624239836080825</v>
      </c>
      <c r="M455">
        <v>0.37428294044545268</v>
      </c>
      <c r="N455">
        <v>0.409717604654115</v>
      </c>
      <c r="O455">
        <v>0.41643267572474246</v>
      </c>
      <c r="P455">
        <v>0.3170402592632891</v>
      </c>
      <c r="Q455">
        <v>0.12193189960142277</v>
      </c>
      <c r="R455">
        <v>0.17867692965931528</v>
      </c>
      <c r="S455">
        <v>0.52091595632744059</v>
      </c>
      <c r="T455">
        <v>0.20032687625001205</v>
      </c>
      <c r="U455">
        <v>0.29615057537605544</v>
      </c>
      <c r="V455">
        <v>0.27909364284916205</v>
      </c>
      <c r="W455">
        <v>0.43404068074909047</v>
      </c>
      <c r="X455">
        <v>0.28032206016648514</v>
      </c>
      <c r="Y455">
        <v>0.26509496470081767</v>
      </c>
      <c r="Z455">
        <v>0.43420491526863431</v>
      </c>
      <c r="AA455">
        <v>0.13806718964961001</v>
      </c>
      <c r="AB455">
        <v>0.44566136473105394</v>
      </c>
      <c r="AC455">
        <v>0.34056996201840917</v>
      </c>
      <c r="AD455">
        <v>0.38699503194988749</v>
      </c>
      <c r="AE455">
        <v>0.41585420732006789</v>
      </c>
      <c r="AF455">
        <v>0.20848928055576874</v>
      </c>
      <c r="AG455">
        <v>0.18201406579839136</v>
      </c>
      <c r="AH455">
        <v>0.37654414774526535</v>
      </c>
      <c r="AI455">
        <v>0.55177430919717751</v>
      </c>
      <c r="AJ455">
        <v>7.553571356253759E-2</v>
      </c>
      <c r="AK455">
        <v>0.46238780758113351</v>
      </c>
      <c r="AL455">
        <v>0.44366160039693803</v>
      </c>
      <c r="AM455">
        <v>0.41252595395750224</v>
      </c>
      <c r="AN455">
        <v>0.316059279901451</v>
      </c>
      <c r="AO455">
        <v>5.0480690176153233E-2</v>
      </c>
      <c r="AP455">
        <v>-2.1699567607050125E-2</v>
      </c>
      <c r="AQ455">
        <v>7.5109358896136125E-2</v>
      </c>
      <c r="AR455">
        <v>0.31280193569490206</v>
      </c>
      <c r="AS455">
        <v>0.84224185804344831</v>
      </c>
      <c r="AT455">
        <v>0.71049798494740191</v>
      </c>
      <c r="AU455">
        <v>0.44584928906089111</v>
      </c>
    </row>
    <row r="456" spans="3:47" x14ac:dyDescent="0.2">
      <c r="C456" t="s">
        <v>43</v>
      </c>
      <c r="D456">
        <v>0.39285099532609119</v>
      </c>
      <c r="E456">
        <v>0.45276103332578826</v>
      </c>
      <c r="F456">
        <v>0.18807102977339724</v>
      </c>
      <c r="G456">
        <v>0.39156574539282119</v>
      </c>
      <c r="H456">
        <v>0.41181812524622113</v>
      </c>
      <c r="I456">
        <v>0.26838944140688142</v>
      </c>
      <c r="J456">
        <v>0.29327053849959134</v>
      </c>
      <c r="K456">
        <v>0.35339014117833734</v>
      </c>
      <c r="L456">
        <v>0.31922107963951069</v>
      </c>
      <c r="M456">
        <v>0.24741851643312776</v>
      </c>
      <c r="N456">
        <v>0.43960625597965758</v>
      </c>
      <c r="O456">
        <v>0.42571653505385226</v>
      </c>
      <c r="P456">
        <v>0.36270593803389578</v>
      </c>
      <c r="Q456">
        <v>9.8467205123115076E-2</v>
      </c>
      <c r="R456">
        <v>4.2466540572819018E-2</v>
      </c>
      <c r="S456">
        <v>0.39111054528466438</v>
      </c>
      <c r="T456">
        <v>3.5579324345300534E-2</v>
      </c>
      <c r="U456">
        <v>0.25635972486667674</v>
      </c>
      <c r="V456">
        <v>0.25977377438969257</v>
      </c>
      <c r="W456">
        <v>0.25621914636225573</v>
      </c>
      <c r="X456">
        <v>0.14714664237856531</v>
      </c>
      <c r="Y456">
        <v>3.611866277764085E-2</v>
      </c>
      <c r="Z456">
        <v>0.20215964542368087</v>
      </c>
      <c r="AA456">
        <v>0.1425547563658337</v>
      </c>
      <c r="AB456">
        <v>0.23575087291540786</v>
      </c>
      <c r="AC456">
        <v>9.3208905871836514E-2</v>
      </c>
      <c r="AD456">
        <v>0.14947753543883874</v>
      </c>
      <c r="AE456">
        <v>0.18822507721641166</v>
      </c>
      <c r="AF456">
        <v>1.7193626854367022E-2</v>
      </c>
      <c r="AG456">
        <v>9.5350216651800504E-2</v>
      </c>
      <c r="AH456">
        <v>0.17118030417428373</v>
      </c>
      <c r="AI456">
        <v>0.40393569914641825</v>
      </c>
      <c r="AJ456">
        <v>0.12970426665322912</v>
      </c>
      <c r="AK456">
        <v>0.31184988536761044</v>
      </c>
      <c r="AL456">
        <v>0.24945335538708907</v>
      </c>
      <c r="AM456">
        <v>0.39477304650851147</v>
      </c>
      <c r="AN456">
        <v>0.32531284088317741</v>
      </c>
      <c r="AO456">
        <v>6.5961261810704663E-2</v>
      </c>
      <c r="AP456">
        <v>6.600969171515024E-2</v>
      </c>
      <c r="AQ456">
        <v>6.9587958191246774E-2</v>
      </c>
      <c r="AR456">
        <v>0.30412592511890058</v>
      </c>
      <c r="AS456">
        <v>0.71049798494740191</v>
      </c>
      <c r="AT456">
        <v>0.79831872299813533</v>
      </c>
      <c r="AU456">
        <v>0.38374900446561655</v>
      </c>
    </row>
    <row r="457" spans="3:47" x14ac:dyDescent="0.2">
      <c r="C457" t="s">
        <v>44</v>
      </c>
      <c r="D457">
        <v>0.44064865295067229</v>
      </c>
      <c r="E457">
        <v>0.34652068149026638</v>
      </c>
      <c r="F457">
        <v>-9.1243643374037092E-2</v>
      </c>
      <c r="G457">
        <v>0.28910772178673516</v>
      </c>
      <c r="H457">
        <v>0.21289397951297995</v>
      </c>
      <c r="I457">
        <v>0.23228637014161846</v>
      </c>
      <c r="J457">
        <v>0.3023650753039715</v>
      </c>
      <c r="K457">
        <v>0.34709247608826177</v>
      </c>
      <c r="L457">
        <v>0.14770922558414096</v>
      </c>
      <c r="M457">
        <v>0.36965877950891962</v>
      </c>
      <c r="N457">
        <v>0.25379240194382763</v>
      </c>
      <c r="O457">
        <v>0.1696082397996331</v>
      </c>
      <c r="P457">
        <v>0.20960413000068151</v>
      </c>
      <c r="Q457">
        <v>0.45936722608788422</v>
      </c>
      <c r="R457">
        <v>0.33264481879723395</v>
      </c>
      <c r="S457">
        <v>0.16222058300104075</v>
      </c>
      <c r="T457">
        <v>0.23807173339419671</v>
      </c>
      <c r="U457">
        <v>0.17142852933296679</v>
      </c>
      <c r="V457">
        <v>8.3385931186487627E-2</v>
      </c>
      <c r="W457">
        <v>0.12511997629855778</v>
      </c>
      <c r="X457">
        <v>9.5740375241998715E-2</v>
      </c>
      <c r="Y457">
        <v>0.20238081754996884</v>
      </c>
      <c r="Z457">
        <v>-7.0821391251212479E-3</v>
      </c>
      <c r="AA457">
        <v>8.207515972904085E-2</v>
      </c>
      <c r="AB457">
        <v>0.38058064699611727</v>
      </c>
      <c r="AC457">
        <v>9.3608122943018235E-2</v>
      </c>
      <c r="AD457">
        <v>0.33629289371106807</v>
      </c>
      <c r="AE457">
        <v>0.43432332279401886</v>
      </c>
      <c r="AF457">
        <v>0.47940344793054046</v>
      </c>
      <c r="AG457">
        <v>0.49143482341421618</v>
      </c>
      <c r="AH457">
        <v>0.20432579664544764</v>
      </c>
      <c r="AI457">
        <v>0.20326868995444289</v>
      </c>
      <c r="AJ457">
        <v>0.2637611953086727</v>
      </c>
      <c r="AK457">
        <v>0.23628385713030842</v>
      </c>
      <c r="AL457">
        <v>0.23696896280836741</v>
      </c>
      <c r="AM457">
        <v>0.24854429054166499</v>
      </c>
      <c r="AN457">
        <v>0.50132144946272073</v>
      </c>
      <c r="AO457">
        <v>0.12467951542117126</v>
      </c>
      <c r="AP457">
        <v>0.19139069434663639</v>
      </c>
      <c r="AQ457">
        <v>0.17767023795424877</v>
      </c>
      <c r="AR457">
        <v>-2.0019428118341162E-2</v>
      </c>
      <c r="AS457">
        <v>0.44584928906089111</v>
      </c>
      <c r="AT457">
        <v>0.38374900446561655</v>
      </c>
      <c r="AU457">
        <v>0.72594479615778773</v>
      </c>
    </row>
    <row r="459" spans="3:47" x14ac:dyDescent="0.2">
      <c r="C459" t="s">
        <v>209</v>
      </c>
    </row>
    <row r="461" spans="3:47" x14ac:dyDescent="0.2">
      <c r="D461" t="s">
        <v>1</v>
      </c>
      <c r="E461" t="s">
        <v>2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8</v>
      </c>
      <c r="L461" t="s">
        <v>9</v>
      </c>
      <c r="M461" t="s">
        <v>10</v>
      </c>
      <c r="N461" t="s">
        <v>11</v>
      </c>
      <c r="O461" t="s">
        <v>12</v>
      </c>
      <c r="P461" t="s">
        <v>13</v>
      </c>
      <c r="Q461" t="s">
        <v>14</v>
      </c>
      <c r="R461" t="s">
        <v>15</v>
      </c>
      <c r="S461" t="s">
        <v>16</v>
      </c>
      <c r="T461" t="s">
        <v>17</v>
      </c>
      <c r="U461" t="s">
        <v>18</v>
      </c>
      <c r="V461" t="s">
        <v>19</v>
      </c>
      <c r="W461" t="s">
        <v>20</v>
      </c>
      <c r="X461" t="s">
        <v>21</v>
      </c>
      <c r="Y461" t="s">
        <v>22</v>
      </c>
      <c r="Z461" t="s">
        <v>23</v>
      </c>
      <c r="AA461" t="s">
        <v>24</v>
      </c>
      <c r="AB461" t="s">
        <v>25</v>
      </c>
      <c r="AC461" t="s">
        <v>26</v>
      </c>
      <c r="AD461" t="s">
        <v>27</v>
      </c>
      <c r="AE461" t="s">
        <v>28</v>
      </c>
      <c r="AF461" t="s">
        <v>29</v>
      </c>
      <c r="AG461" t="s">
        <v>30</v>
      </c>
      <c r="AH461" t="s">
        <v>31</v>
      </c>
      <c r="AI461" t="s">
        <v>32</v>
      </c>
      <c r="AJ461" t="s">
        <v>33</v>
      </c>
      <c r="AK461" t="s">
        <v>34</v>
      </c>
      <c r="AL461" t="s">
        <v>35</v>
      </c>
      <c r="AM461" t="s">
        <v>36</v>
      </c>
      <c r="AN461" t="s">
        <v>37</v>
      </c>
      <c r="AO461" t="s">
        <v>38</v>
      </c>
      <c r="AP461" t="s">
        <v>39</v>
      </c>
      <c r="AQ461" t="s">
        <v>40</v>
      </c>
      <c r="AR461" t="s">
        <v>41</v>
      </c>
      <c r="AS461" t="s">
        <v>42</v>
      </c>
      <c r="AT461" t="s">
        <v>43</v>
      </c>
      <c r="AU461" t="s">
        <v>44</v>
      </c>
    </row>
    <row r="462" spans="3:47" x14ac:dyDescent="0.2">
      <c r="C462" t="s">
        <v>1</v>
      </c>
      <c r="D462">
        <v>0.28466601873195585</v>
      </c>
      <c r="E462">
        <v>-2.7899840136001774E-2</v>
      </c>
      <c r="F462">
        <v>-8.4845296355074873E-2</v>
      </c>
      <c r="G462">
        <v>2.6815291703866095E-2</v>
      </c>
      <c r="H462">
        <v>-6.0766576275218087E-2</v>
      </c>
      <c r="I462">
        <v>6.8244304924729993E-3</v>
      </c>
      <c r="J462">
        <v>-1.158404561423021E-3</v>
      </c>
      <c r="K462">
        <v>1.6939576658958067E-2</v>
      </c>
      <c r="L462">
        <v>-9.1233224803509705E-3</v>
      </c>
      <c r="M462">
        <v>-5.4116357311769336E-2</v>
      </c>
      <c r="N462">
        <v>1.8037547560760092E-2</v>
      </c>
      <c r="O462">
        <v>-8.4634041765715984E-3</v>
      </c>
      <c r="P462">
        <v>-2.2772426019461833E-2</v>
      </c>
      <c r="Q462">
        <v>-4.2890648514618629E-2</v>
      </c>
      <c r="R462">
        <v>2.7209028522904133E-2</v>
      </c>
      <c r="S462">
        <v>-1.7534356398693489E-2</v>
      </c>
      <c r="T462">
        <v>2.7236654960129114E-4</v>
      </c>
      <c r="U462">
        <v>4.441978649019479E-2</v>
      </c>
      <c r="V462">
        <v>-1.9477305820314011E-2</v>
      </c>
      <c r="W462">
        <v>-1.9824931590554137E-2</v>
      </c>
      <c r="X462">
        <v>4.0288512941084029E-2</v>
      </c>
      <c r="Y462">
        <v>6.3337849977993438E-2</v>
      </c>
      <c r="Z462">
        <v>-3.7394880740870884E-2</v>
      </c>
      <c r="AA462">
        <v>9.1456420308531253E-2</v>
      </c>
      <c r="AB462">
        <v>5.7707040518605451E-2</v>
      </c>
      <c r="AC462">
        <v>4.4982173840357742E-2</v>
      </c>
      <c r="AD462">
        <v>-2.3066600133379855E-2</v>
      </c>
      <c r="AE462">
        <v>-2.2369526791703676E-2</v>
      </c>
      <c r="AF462">
        <v>-1.4407009068121507E-2</v>
      </c>
      <c r="AG462">
        <v>5.6678537728706388E-2</v>
      </c>
      <c r="AH462">
        <v>-5.1059257682373904E-2</v>
      </c>
      <c r="AI462">
        <v>-1.0766712418659785E-2</v>
      </c>
      <c r="AJ462">
        <v>-6.4048340314369456E-2</v>
      </c>
      <c r="AK462">
        <v>-3.0416860428456732E-2</v>
      </c>
      <c r="AL462">
        <v>2.8932972236647259E-2</v>
      </c>
      <c r="AM462">
        <v>-8.2273820348481741E-2</v>
      </c>
      <c r="AN462">
        <v>-6.9887157086017893E-2</v>
      </c>
      <c r="AO462">
        <v>7.0879999515929548E-3</v>
      </c>
      <c r="AP462">
        <v>-2.4600538471930888E-2</v>
      </c>
      <c r="AQ462">
        <v>3.1314030069058002E-2</v>
      </c>
      <c r="AR462">
        <v>5.7285180093420207E-2</v>
      </c>
      <c r="AS462">
        <v>-3.0908464486467668E-4</v>
      </c>
      <c r="AT462">
        <v>2.8578930600534624E-2</v>
      </c>
      <c r="AU462">
        <v>-0.10017684202520577</v>
      </c>
    </row>
    <row r="463" spans="3:47" x14ac:dyDescent="0.2">
      <c r="C463" t="s">
        <v>2</v>
      </c>
      <c r="D463">
        <v>-2.7899840136001774E-2</v>
      </c>
      <c r="E463">
        <v>0.22485447308560225</v>
      </c>
      <c r="F463">
        <v>-2.6392789311029952E-3</v>
      </c>
      <c r="G463">
        <v>-5.3241221369813019E-2</v>
      </c>
      <c r="H463">
        <v>-9.42972439034645E-3</v>
      </c>
      <c r="I463">
        <v>-4.1586382861759086E-2</v>
      </c>
      <c r="J463">
        <v>-6.1151117782160702E-2</v>
      </c>
      <c r="K463">
        <v>-6.2075277504852755E-4</v>
      </c>
      <c r="L463">
        <v>-8.9233435155707252E-3</v>
      </c>
      <c r="M463">
        <v>-2.0082799732119516E-2</v>
      </c>
      <c r="N463">
        <v>8.8056579661527357E-3</v>
      </c>
      <c r="O463">
        <v>-3.8674169708068085E-3</v>
      </c>
      <c r="P463">
        <v>4.0512248712764376E-2</v>
      </c>
      <c r="Q463">
        <v>-6.4541916457152848E-2</v>
      </c>
      <c r="R463">
        <v>-1.8650801722027932E-2</v>
      </c>
      <c r="S463">
        <v>2.3380992468290507E-2</v>
      </c>
      <c r="T463">
        <v>3.1913471896097334E-2</v>
      </c>
      <c r="U463">
        <v>3.8967994008713425E-2</v>
      </c>
      <c r="V463">
        <v>1.3964794181994256E-2</v>
      </c>
      <c r="W463">
        <v>-2.2505899346500657E-2</v>
      </c>
      <c r="X463">
        <v>-5.7514288671884663E-2</v>
      </c>
      <c r="Y463">
        <v>2.8645448073083064E-2</v>
      </c>
      <c r="Z463">
        <v>2.6767464698347392E-2</v>
      </c>
      <c r="AA463">
        <v>3.55359378826254E-2</v>
      </c>
      <c r="AB463">
        <v>2.5147727087510646E-2</v>
      </c>
      <c r="AC463">
        <v>5.3797896511030771E-3</v>
      </c>
      <c r="AD463">
        <v>-1.8056593657680142E-3</v>
      </c>
      <c r="AE463">
        <v>-6.8759083763811901E-3</v>
      </c>
      <c r="AF463">
        <v>3.8516517046839165E-2</v>
      </c>
      <c r="AG463">
        <v>-3.5006750135577927E-2</v>
      </c>
      <c r="AH463">
        <v>2.3563388618803263E-2</v>
      </c>
      <c r="AI463">
        <v>-8.5090850116393835E-2</v>
      </c>
      <c r="AJ463">
        <v>5.1672251701092575E-3</v>
      </c>
      <c r="AK463">
        <v>4.9701084723875022E-2</v>
      </c>
      <c r="AL463">
        <v>5.9709298123571355E-2</v>
      </c>
      <c r="AM463">
        <v>-1.8011554369187055E-2</v>
      </c>
      <c r="AN463">
        <v>-4.6864487035344127E-2</v>
      </c>
      <c r="AO463">
        <v>-4.2942130239382537E-2</v>
      </c>
      <c r="AP463">
        <v>5.7843403543472588E-2</v>
      </c>
      <c r="AQ463">
        <v>5.0231328309887364E-2</v>
      </c>
      <c r="AR463">
        <v>-3.9615224569133967E-2</v>
      </c>
      <c r="AS463">
        <v>-1.2799338813711869E-2</v>
      </c>
      <c r="AT463">
        <v>-3.0948985545790675E-2</v>
      </c>
      <c r="AU463">
        <v>3.570655638682585E-3</v>
      </c>
    </row>
    <row r="464" spans="3:47" x14ac:dyDescent="0.2">
      <c r="C464" t="s">
        <v>3</v>
      </c>
      <c r="D464">
        <v>-8.4845296355074873E-2</v>
      </c>
      <c r="E464">
        <v>-2.6392789311029952E-3</v>
      </c>
      <c r="F464">
        <v>0.26979973419294034</v>
      </c>
      <c r="G464">
        <v>-5.33267205121295E-2</v>
      </c>
      <c r="H464">
        <v>-6.6305176607630301E-2</v>
      </c>
      <c r="I464">
        <v>-2.3959921103737736E-2</v>
      </c>
      <c r="J464">
        <v>-2.0331232944611755E-2</v>
      </c>
      <c r="K464">
        <v>-2.4362936813890401E-2</v>
      </c>
      <c r="L464">
        <v>1.7100814646788143E-2</v>
      </c>
      <c r="M464">
        <v>-1.1258222089398529E-2</v>
      </c>
      <c r="N464">
        <v>-1.7816739000910686E-2</v>
      </c>
      <c r="O464">
        <v>-5.2561116565691401E-4</v>
      </c>
      <c r="P464">
        <v>-3.1351568821974984E-2</v>
      </c>
      <c r="Q464">
        <v>-2.1591472631607433E-4</v>
      </c>
      <c r="R464">
        <v>2.4770821972278631E-2</v>
      </c>
      <c r="S464">
        <v>5.8554133377718906E-3</v>
      </c>
      <c r="T464">
        <v>-3.0208969590517821E-2</v>
      </c>
      <c r="U464">
        <v>-6.5644500424707097E-2</v>
      </c>
      <c r="V464">
        <v>3.9846739740267256E-2</v>
      </c>
      <c r="W464">
        <v>1.8167444868617044E-2</v>
      </c>
      <c r="X464">
        <v>2.5789111219188837E-2</v>
      </c>
      <c r="Y464">
        <v>2.4378282462587386E-2</v>
      </c>
      <c r="Z464">
        <v>-8.6954283312975028E-2</v>
      </c>
      <c r="AA464">
        <v>-6.8489970958673901E-2</v>
      </c>
      <c r="AB464">
        <v>-3.8284393651986527E-2</v>
      </c>
      <c r="AC464">
        <v>-1.8004884114099784E-2</v>
      </c>
      <c r="AD464">
        <v>-7.2672039782678832E-3</v>
      </c>
      <c r="AE464">
        <v>1.1347048283811556E-2</v>
      </c>
      <c r="AF464">
        <v>4.488407583404852E-2</v>
      </c>
      <c r="AG464">
        <v>-2.0290867641438295E-2</v>
      </c>
      <c r="AH464">
        <v>3.1232532134061478E-2</v>
      </c>
      <c r="AI464">
        <v>-3.0479479109321417E-2</v>
      </c>
      <c r="AJ464">
        <v>-1.675196770350082E-2</v>
      </c>
      <c r="AK464">
        <v>9.5239078732759275E-2</v>
      </c>
      <c r="AL464">
        <v>4.9383870188570753E-2</v>
      </c>
      <c r="AM464">
        <v>2.2974574710209056E-2</v>
      </c>
      <c r="AN464">
        <v>2.610016578041488E-2</v>
      </c>
      <c r="AO464">
        <v>-8.4666672856237857E-3</v>
      </c>
      <c r="AP464">
        <v>-4.8068365346343261E-2</v>
      </c>
      <c r="AQ464">
        <v>9.9998015844194946E-3</v>
      </c>
      <c r="AR464">
        <v>-4.2543479336155432E-2</v>
      </c>
      <c r="AS464">
        <v>5.816031763770127E-2</v>
      </c>
      <c r="AT464">
        <v>-9.6586526658878624E-3</v>
      </c>
      <c r="AU464">
        <v>9.0449177341199671E-2</v>
      </c>
    </row>
    <row r="465" spans="3:47" x14ac:dyDescent="0.2">
      <c r="C465" t="s">
        <v>4</v>
      </c>
      <c r="D465">
        <v>2.6815291703866095E-2</v>
      </c>
      <c r="E465">
        <v>-5.3241221369813019E-2</v>
      </c>
      <c r="F465">
        <v>-5.33267205121295E-2</v>
      </c>
      <c r="G465">
        <v>0.22784627085773257</v>
      </c>
      <c r="H465">
        <v>-1.0165047832697227E-2</v>
      </c>
      <c r="I465">
        <v>1.337825096291545E-2</v>
      </c>
      <c r="J465">
        <v>1.2070848788454991E-2</v>
      </c>
      <c r="K465">
        <v>-6.7841369785970329E-3</v>
      </c>
      <c r="L465">
        <v>-7.6121812475411443E-2</v>
      </c>
      <c r="M465">
        <v>-2.5898167492069302E-2</v>
      </c>
      <c r="N465">
        <v>-5.8153695978360176E-3</v>
      </c>
      <c r="O465">
        <v>-2.8843207244977409E-2</v>
      </c>
      <c r="P465">
        <v>1.9000721772444717E-2</v>
      </c>
      <c r="Q465">
        <v>-4.2471088644027419E-2</v>
      </c>
      <c r="R465">
        <v>3.3313171382217677E-3</v>
      </c>
      <c r="S465">
        <v>-2.3894426018303327E-2</v>
      </c>
      <c r="T465">
        <v>-2.1663075806097332E-2</v>
      </c>
      <c r="U465">
        <v>-6.4926503057978369E-2</v>
      </c>
      <c r="V465">
        <v>-3.861993308673578E-2</v>
      </c>
      <c r="W465">
        <v>-9.2794707070741056E-3</v>
      </c>
      <c r="X465">
        <v>5.3876974506593407E-2</v>
      </c>
      <c r="Y465">
        <v>-6.7515145966937848E-3</v>
      </c>
      <c r="Z465">
        <v>1.4416183960582966E-2</v>
      </c>
      <c r="AA465">
        <v>-6.5377946289854633E-2</v>
      </c>
      <c r="AB465">
        <v>2.0916839035434731E-2</v>
      </c>
      <c r="AC465">
        <v>-1.3750291657439351E-2</v>
      </c>
      <c r="AD465">
        <v>2.6931242416374512E-2</v>
      </c>
      <c r="AE465">
        <v>1.9319556309950692E-2</v>
      </c>
      <c r="AF465">
        <v>-1.5616701221167151E-2</v>
      </c>
      <c r="AG465">
        <v>0.10383251525969228</v>
      </c>
      <c r="AH465">
        <v>-9.8455387701881503E-3</v>
      </c>
      <c r="AI465">
        <v>-2.1422306146507919E-2</v>
      </c>
      <c r="AJ465">
        <v>-6.3431649627397724E-2</v>
      </c>
      <c r="AK465">
        <v>6.1043146548533933E-4</v>
      </c>
      <c r="AL465">
        <v>-1.2500232856672011E-3</v>
      </c>
      <c r="AM465">
        <v>-6.6425409990099438E-2</v>
      </c>
      <c r="AN465">
        <v>-5.9326650228685912E-2</v>
      </c>
      <c r="AO465">
        <v>2.3090542952676929E-2</v>
      </c>
      <c r="AP465">
        <v>2.2478791914495283E-2</v>
      </c>
      <c r="AQ465">
        <v>2.7539290201510021E-2</v>
      </c>
      <c r="AR465">
        <v>2.3578107394860826E-2</v>
      </c>
      <c r="AS465">
        <v>5.6674295892138016E-2</v>
      </c>
      <c r="AT465">
        <v>3.8727583153896905E-2</v>
      </c>
      <c r="AU465">
        <v>-6.6686223286345131E-2</v>
      </c>
    </row>
    <row r="466" spans="3:47" x14ac:dyDescent="0.2">
      <c r="C466" t="s">
        <v>5</v>
      </c>
      <c r="D466">
        <v>-6.0766576275218087E-2</v>
      </c>
      <c r="E466">
        <v>-9.42972439034645E-3</v>
      </c>
      <c r="F466">
        <v>-6.6305176607630301E-2</v>
      </c>
      <c r="G466">
        <v>-1.0165047832697227E-2</v>
      </c>
      <c r="H466">
        <v>0.33905206137688926</v>
      </c>
      <c r="I466">
        <v>-4.8335112738484176E-2</v>
      </c>
      <c r="J466">
        <v>-2.6344127902489411E-2</v>
      </c>
      <c r="K466">
        <v>-7.5348795237830002E-2</v>
      </c>
      <c r="L466">
        <v>-1.9880037482301605E-3</v>
      </c>
      <c r="M466">
        <v>-4.7263676650492137E-2</v>
      </c>
      <c r="N466">
        <v>1.2107399041117628E-2</v>
      </c>
      <c r="O466">
        <v>-2.5255686260417909E-2</v>
      </c>
      <c r="P466">
        <v>6.7119536338899999E-2</v>
      </c>
      <c r="Q466">
        <v>1.8939003557827877E-2</v>
      </c>
      <c r="R466">
        <v>-1.469982090775479E-2</v>
      </c>
      <c r="S466">
        <v>5.338490793044004E-2</v>
      </c>
      <c r="T466">
        <v>-4.785695894167654E-2</v>
      </c>
      <c r="U466">
        <v>-2.8587645098442915E-3</v>
      </c>
      <c r="V466">
        <v>-7.3708955165492474E-2</v>
      </c>
      <c r="W466">
        <v>-3.8889593399941746E-2</v>
      </c>
      <c r="X466">
        <v>2.8221452676224779E-5</v>
      </c>
      <c r="Y466">
        <v>-3.4250062134018433E-2</v>
      </c>
      <c r="Z466">
        <v>2.4452157910063888E-2</v>
      </c>
      <c r="AA466">
        <v>-8.3280212325295006E-2</v>
      </c>
      <c r="AB466">
        <v>-1.3686150917060158E-2</v>
      </c>
      <c r="AC466">
        <v>1.3707028376632235E-2</v>
      </c>
      <c r="AD466">
        <v>-7.6650235281497392E-3</v>
      </c>
      <c r="AE466">
        <v>3.5038657010317997E-2</v>
      </c>
      <c r="AF466">
        <v>3.1734281475950477E-2</v>
      </c>
      <c r="AG466">
        <v>-1.0746621379494795E-2</v>
      </c>
      <c r="AH466">
        <v>-8.5080729109574343E-2</v>
      </c>
      <c r="AI466">
        <v>-4.7437002459958633E-2</v>
      </c>
      <c r="AJ466">
        <v>1.1197657408826611E-2</v>
      </c>
      <c r="AK466">
        <v>1.9493097008726645E-2</v>
      </c>
      <c r="AL466">
        <v>6.0617923516943339E-2</v>
      </c>
      <c r="AM466">
        <v>-1.7429697271342248E-2</v>
      </c>
      <c r="AN466">
        <v>7.1615072305763139E-2</v>
      </c>
      <c r="AO466">
        <v>-3.9229860183077059E-2</v>
      </c>
      <c r="AP466">
        <v>2.7583089676488537E-2</v>
      </c>
      <c r="AQ466">
        <v>-2.3405852882944056E-2</v>
      </c>
      <c r="AR466">
        <v>-8.3481364828492666E-3</v>
      </c>
      <c r="AS466">
        <v>-3.2186519181395534E-2</v>
      </c>
      <c r="AT466">
        <v>-3.0960323776988374E-2</v>
      </c>
      <c r="AU466">
        <v>1.940552430492351E-2</v>
      </c>
    </row>
    <row r="467" spans="3:47" x14ac:dyDescent="0.2">
      <c r="C467" t="s">
        <v>6</v>
      </c>
      <c r="D467">
        <v>6.8244304924729993E-3</v>
      </c>
      <c r="E467">
        <v>-4.1586382861759086E-2</v>
      </c>
      <c r="F467">
        <v>-2.3959921103737736E-2</v>
      </c>
      <c r="G467">
        <v>1.337825096291545E-2</v>
      </c>
      <c r="H467">
        <v>-4.8335112738484176E-2</v>
      </c>
      <c r="I467">
        <v>0.22185469050088735</v>
      </c>
      <c r="J467">
        <v>6.7552945243559259E-2</v>
      </c>
      <c r="K467">
        <v>4.7169776529081719E-2</v>
      </c>
      <c r="L467">
        <v>-3.2195923748310262E-2</v>
      </c>
      <c r="M467">
        <v>-4.6747394205057469E-2</v>
      </c>
      <c r="N467">
        <v>-6.9537652208788825E-2</v>
      </c>
      <c r="O467">
        <v>-2.6042706833687368E-2</v>
      </c>
      <c r="P467">
        <v>-2.1951003409341752E-3</v>
      </c>
      <c r="Q467">
        <v>4.025184654345796E-2</v>
      </c>
      <c r="R467">
        <v>-9.6509637107000112E-3</v>
      </c>
      <c r="S467">
        <v>1.7710505585462277E-2</v>
      </c>
      <c r="T467">
        <v>3.2431533073443736E-2</v>
      </c>
      <c r="U467">
        <v>2.01941846908191E-2</v>
      </c>
      <c r="V467">
        <v>7.1665965078637761E-4</v>
      </c>
      <c r="W467">
        <v>-3.1428478761674566E-2</v>
      </c>
      <c r="X467">
        <v>-3.5358909452198287E-2</v>
      </c>
      <c r="Y467">
        <v>3.762916243395089E-2</v>
      </c>
      <c r="Z467">
        <v>4.0845625633216115E-2</v>
      </c>
      <c r="AA467">
        <v>-1.5624731274223126E-2</v>
      </c>
      <c r="AB467">
        <v>5.3898549890453118E-2</v>
      </c>
      <c r="AC467">
        <v>-1.5233454165631655E-2</v>
      </c>
      <c r="AD467">
        <v>-2.7652480674231261E-2</v>
      </c>
      <c r="AE467">
        <v>-0.10584855859158482</v>
      </c>
      <c r="AF467">
        <v>-2.9789324531623362E-2</v>
      </c>
      <c r="AG467">
        <v>-9.6048986607457781E-3</v>
      </c>
      <c r="AH467">
        <v>5.4564077575759096E-2</v>
      </c>
      <c r="AI467">
        <v>5.5343246224756837E-2</v>
      </c>
      <c r="AJ467">
        <v>-7.9278209017293849E-2</v>
      </c>
      <c r="AK467">
        <v>-2.0973633087791876E-2</v>
      </c>
      <c r="AL467">
        <v>-6.9347291356217589E-2</v>
      </c>
      <c r="AM467">
        <v>1.9650833186261984E-2</v>
      </c>
      <c r="AN467">
        <v>6.9842595030908838E-2</v>
      </c>
      <c r="AO467">
        <v>6.5414307730161242E-2</v>
      </c>
      <c r="AP467">
        <v>-4.8765774528819944E-2</v>
      </c>
      <c r="AQ467">
        <v>-3.5896663365221348E-3</v>
      </c>
      <c r="AR467">
        <v>1.0046278248333984E-2</v>
      </c>
      <c r="AS467">
        <v>1.1457211598739359E-2</v>
      </c>
      <c r="AT467">
        <v>-3.4704036663672277E-2</v>
      </c>
      <c r="AU467">
        <v>-1.4927997033393148E-2</v>
      </c>
    </row>
    <row r="468" spans="3:47" x14ac:dyDescent="0.2">
      <c r="C468" t="s">
        <v>7</v>
      </c>
      <c r="D468">
        <v>-1.158404561423021E-3</v>
      </c>
      <c r="E468">
        <v>-6.1151117782160702E-2</v>
      </c>
      <c r="F468">
        <v>-2.0331232944611755E-2</v>
      </c>
      <c r="G468">
        <v>1.2070848788454991E-2</v>
      </c>
      <c r="H468">
        <v>-2.6344127902489411E-2</v>
      </c>
      <c r="I468">
        <v>6.7552945243559259E-2</v>
      </c>
      <c r="J468">
        <v>0.20175532128071627</v>
      </c>
      <c r="K468">
        <v>-5.1208855348722992E-2</v>
      </c>
      <c r="L468">
        <v>-1.2165724734094274E-2</v>
      </c>
      <c r="M468">
        <v>-3.664904562846083E-2</v>
      </c>
      <c r="N468">
        <v>-4.6631059563100874E-2</v>
      </c>
      <c r="O468">
        <v>-5.2562395689889518E-2</v>
      </c>
      <c r="P468">
        <v>3.3831438729770014E-4</v>
      </c>
      <c r="Q468">
        <v>5.1737550031830365E-2</v>
      </c>
      <c r="R468">
        <v>-3.0261448575224364E-2</v>
      </c>
      <c r="S468">
        <v>1.8042752870019302E-2</v>
      </c>
      <c r="T468">
        <v>1.3793455071002506E-2</v>
      </c>
      <c r="U468">
        <v>1.9916744933072994E-2</v>
      </c>
      <c r="V468">
        <v>4.8777346287415257E-3</v>
      </c>
      <c r="W468">
        <v>-3.0408596533149368E-2</v>
      </c>
      <c r="X468">
        <v>-3.2075222303185852E-2</v>
      </c>
      <c r="Y468">
        <v>7.246176897611345E-2</v>
      </c>
      <c r="Z468">
        <v>1.0596928574860096E-2</v>
      </c>
      <c r="AA468">
        <v>-5.1030973072748495E-2</v>
      </c>
      <c r="AB468">
        <v>-4.6086376354433911E-3</v>
      </c>
      <c r="AC468">
        <v>-1.5550433917272066E-2</v>
      </c>
      <c r="AD468">
        <v>-1.8623846280495404E-2</v>
      </c>
      <c r="AE468">
        <v>-2.9385201553336238E-2</v>
      </c>
      <c r="AF468">
        <v>-4.3733048584839118E-2</v>
      </c>
      <c r="AG468">
        <v>5.1450563156426543E-2</v>
      </c>
      <c r="AH468">
        <v>-8.313185319486549E-3</v>
      </c>
      <c r="AI468">
        <v>9.2782844659787866E-2</v>
      </c>
      <c r="AJ468">
        <v>-4.9434731820689304E-2</v>
      </c>
      <c r="AK468">
        <v>-6.3137200553709472E-2</v>
      </c>
      <c r="AL468">
        <v>-3.2391664109746199E-2</v>
      </c>
      <c r="AM468">
        <v>-7.2779427030994492E-3</v>
      </c>
      <c r="AN468">
        <v>-3.4341790217709722E-2</v>
      </c>
      <c r="AO468">
        <v>2.4880118215290709E-2</v>
      </c>
      <c r="AP468">
        <v>-1.7525646612353285E-2</v>
      </c>
      <c r="AQ468">
        <v>-1.7894237661328888E-2</v>
      </c>
      <c r="AR468">
        <v>7.3556988271518076E-2</v>
      </c>
      <c r="AS468">
        <v>1.6613580974848718E-2</v>
      </c>
      <c r="AT468">
        <v>7.1775107395956605E-3</v>
      </c>
      <c r="AU468">
        <v>3.025658332399167E-2</v>
      </c>
    </row>
    <row r="469" spans="3:47" x14ac:dyDescent="0.2">
      <c r="C469" t="s">
        <v>8</v>
      </c>
      <c r="D469">
        <v>1.6939576658958067E-2</v>
      </c>
      <c r="E469">
        <v>-6.2075277504852755E-4</v>
      </c>
      <c r="F469">
        <v>-2.4362936813890401E-2</v>
      </c>
      <c r="G469">
        <v>-6.7841369785970329E-3</v>
      </c>
      <c r="H469">
        <v>-7.5348795237830002E-2</v>
      </c>
      <c r="I469">
        <v>4.7169776529081719E-2</v>
      </c>
      <c r="J469">
        <v>-5.1208855348722992E-2</v>
      </c>
      <c r="K469">
        <v>0.23554499470272583</v>
      </c>
      <c r="L469">
        <v>1.1027445087903542E-2</v>
      </c>
      <c r="M469">
        <v>4.9023328191112991E-2</v>
      </c>
      <c r="N469">
        <v>-2.6721158811961687E-2</v>
      </c>
      <c r="O469">
        <v>2.2965284917191964E-2</v>
      </c>
      <c r="P469">
        <v>-4.8258378807205737E-2</v>
      </c>
      <c r="Q469">
        <v>8.9300804841382642E-3</v>
      </c>
      <c r="R469">
        <v>-8.9396769329514181E-3</v>
      </c>
      <c r="S469">
        <v>-5.9112935282469026E-2</v>
      </c>
      <c r="T469">
        <v>4.4537776537138946E-2</v>
      </c>
      <c r="U469">
        <v>-4.1751232001339678E-2</v>
      </c>
      <c r="V469">
        <v>2.8501727086754247E-2</v>
      </c>
      <c r="W469">
        <v>3.8814134330655309E-2</v>
      </c>
      <c r="X469">
        <v>-1.4237140024241757E-2</v>
      </c>
      <c r="Y469">
        <v>-1.1210345432747224E-2</v>
      </c>
      <c r="Z469">
        <v>2.3456546870306398E-2</v>
      </c>
      <c r="AA469">
        <v>7.940846398698001E-2</v>
      </c>
      <c r="AB469">
        <v>3.6773934734533997E-2</v>
      </c>
      <c r="AC469">
        <v>6.0651878796372849E-2</v>
      </c>
      <c r="AD469">
        <v>-3.9325740105453921E-2</v>
      </c>
      <c r="AE469">
        <v>-7.5733315019570202E-2</v>
      </c>
      <c r="AF469">
        <v>-6.797524944473371E-2</v>
      </c>
      <c r="AG469">
        <v>-2.6836371520330249E-2</v>
      </c>
      <c r="AH469">
        <v>4.6614297471107458E-2</v>
      </c>
      <c r="AI469">
        <v>-4.5135945221852491E-2</v>
      </c>
      <c r="AJ469">
        <v>-6.0862585612621367E-2</v>
      </c>
      <c r="AK469">
        <v>-1.0214885651145256E-3</v>
      </c>
      <c r="AL469">
        <v>-3.2997142970631388E-2</v>
      </c>
      <c r="AM469">
        <v>1.5972920980764083E-3</v>
      </c>
      <c r="AN469">
        <v>8.1975684499886195E-2</v>
      </c>
      <c r="AO469">
        <v>7.6801552885346652E-2</v>
      </c>
      <c r="AP469">
        <v>-3.3894503970130496E-2</v>
      </c>
      <c r="AQ469">
        <v>-3.680422968463945E-2</v>
      </c>
      <c r="AR469">
        <v>-1.5986541726407233E-2</v>
      </c>
      <c r="AS469">
        <v>3.0441732580972491E-3</v>
      </c>
      <c r="AT469">
        <v>-3.3950400525478375E-2</v>
      </c>
      <c r="AU469">
        <v>-1.5279405058585938E-2</v>
      </c>
    </row>
    <row r="470" spans="3:47" x14ac:dyDescent="0.2">
      <c r="C470" t="s">
        <v>9</v>
      </c>
      <c r="D470">
        <v>-9.1233224803509705E-3</v>
      </c>
      <c r="E470">
        <v>-8.9233435155707252E-3</v>
      </c>
      <c r="F470">
        <v>1.7100814646788143E-2</v>
      </c>
      <c r="G470">
        <v>-7.6121812475411443E-2</v>
      </c>
      <c r="H470">
        <v>-1.9880037482301605E-3</v>
      </c>
      <c r="I470">
        <v>-3.2195923748310262E-2</v>
      </c>
      <c r="J470">
        <v>-1.2165724734094274E-2</v>
      </c>
      <c r="K470">
        <v>1.1027445087903542E-2</v>
      </c>
      <c r="L470">
        <v>0.20008210040074181</v>
      </c>
      <c r="M470">
        <v>4.0708170714089276E-2</v>
      </c>
      <c r="N470">
        <v>-1.4263587585634729E-2</v>
      </c>
      <c r="O470">
        <v>-2.0429636773567572E-2</v>
      </c>
      <c r="P470">
        <v>-6.0204436069846157E-2</v>
      </c>
      <c r="Q470">
        <v>4.5071940352509506E-2</v>
      </c>
      <c r="R470">
        <v>6.4222252207579322E-2</v>
      </c>
      <c r="S470">
        <v>4.7633864530934933E-2</v>
      </c>
      <c r="T470">
        <v>-3.3119584725675902E-2</v>
      </c>
      <c r="U470">
        <v>-3.5284981734444443E-3</v>
      </c>
      <c r="V470">
        <v>4.7744491495119168E-3</v>
      </c>
      <c r="W470">
        <v>8.4260051794652346E-3</v>
      </c>
      <c r="X470">
        <v>-6.2872668159720285E-2</v>
      </c>
      <c r="Y470">
        <v>-2.0201258153197899E-2</v>
      </c>
      <c r="Z470">
        <v>3.2564143683572355E-2</v>
      </c>
      <c r="AA470">
        <v>6.4714557282835178E-2</v>
      </c>
      <c r="AB470">
        <v>-4.4021473983085591E-2</v>
      </c>
      <c r="AC470">
        <v>-1.5946640736815287E-2</v>
      </c>
      <c r="AD470">
        <v>-2.9490343276340314E-2</v>
      </c>
      <c r="AE470">
        <v>4.9030136028623827E-3</v>
      </c>
      <c r="AF470">
        <v>-9.6354257295276913E-3</v>
      </c>
      <c r="AG470">
        <v>3.9239644581551894E-3</v>
      </c>
      <c r="AH470">
        <v>3.135411829018056E-2</v>
      </c>
      <c r="AI470">
        <v>-5.7039333303744444E-3</v>
      </c>
      <c r="AJ470">
        <v>3.9520501875395742E-2</v>
      </c>
      <c r="AK470">
        <v>-1.0214724257276264E-2</v>
      </c>
      <c r="AL470">
        <v>-2.8268569004956445E-2</v>
      </c>
      <c r="AM470">
        <v>5.1722581556959579E-2</v>
      </c>
      <c r="AN470">
        <v>5.7944188611839503E-2</v>
      </c>
      <c r="AO470">
        <v>-3.3770135413160818E-2</v>
      </c>
      <c r="AP470">
        <v>-4.9907029801095626E-3</v>
      </c>
      <c r="AQ470">
        <v>1.4765015650745505E-2</v>
      </c>
      <c r="AR470">
        <v>-3.8286165572266662E-2</v>
      </c>
      <c r="AS470">
        <v>-3.0080678815264217E-2</v>
      </c>
      <c r="AT470">
        <v>1.561399757405213E-3</v>
      </c>
      <c r="AU470">
        <v>-4.042326186625364E-2</v>
      </c>
    </row>
    <row r="471" spans="3:47" x14ac:dyDescent="0.2">
      <c r="C471" t="s">
        <v>10</v>
      </c>
      <c r="D471">
        <v>-5.4116357311769336E-2</v>
      </c>
      <c r="E471">
        <v>-2.0082799732119516E-2</v>
      </c>
      <c r="F471">
        <v>-1.1258222089398529E-2</v>
      </c>
      <c r="G471">
        <v>-2.5898167492069302E-2</v>
      </c>
      <c r="H471">
        <v>-4.7263676650492137E-2</v>
      </c>
      <c r="I471">
        <v>-4.6747394205057469E-2</v>
      </c>
      <c r="J471">
        <v>-3.664904562846083E-2</v>
      </c>
      <c r="K471">
        <v>4.9023328191112991E-2</v>
      </c>
      <c r="L471">
        <v>4.0708170714089276E-2</v>
      </c>
      <c r="M471">
        <v>0.23502408375623607</v>
      </c>
      <c r="N471">
        <v>-1.2691021299135796E-2</v>
      </c>
      <c r="O471">
        <v>6.8017728596227567E-2</v>
      </c>
      <c r="P471">
        <v>-4.9786607347574785E-2</v>
      </c>
      <c r="Q471">
        <v>-2.1755182089262526E-2</v>
      </c>
      <c r="R471">
        <v>-6.3486864238848639E-5</v>
      </c>
      <c r="S471">
        <v>-4.2390663672700057E-3</v>
      </c>
      <c r="T471">
        <v>2.9609671357111345E-2</v>
      </c>
      <c r="U471">
        <v>-6.8851836800831678E-2</v>
      </c>
      <c r="V471">
        <v>-6.1732638635084158E-3</v>
      </c>
      <c r="W471">
        <v>4.7982125098147921E-2</v>
      </c>
      <c r="X471">
        <v>-1.6850200128796788E-2</v>
      </c>
      <c r="Y471">
        <v>-6.1362110285324539E-2</v>
      </c>
      <c r="Z471">
        <v>4.4894410752944036E-2</v>
      </c>
      <c r="AA471">
        <v>0.12444116740758214</v>
      </c>
      <c r="AB471">
        <v>-7.8905488701023208E-3</v>
      </c>
      <c r="AC471">
        <v>-4.5460957801241098E-2</v>
      </c>
      <c r="AD471">
        <v>2.7082135843980781E-2</v>
      </c>
      <c r="AE471">
        <v>-2.5634019209733516E-2</v>
      </c>
      <c r="AF471">
        <v>-3.3897619542100521E-2</v>
      </c>
      <c r="AG471">
        <v>-5.0397680447448051E-2</v>
      </c>
      <c r="AH471">
        <v>1.9228186958859195E-2</v>
      </c>
      <c r="AI471">
        <v>-2.6309232695986673E-2</v>
      </c>
      <c r="AJ471">
        <v>9.9647089084250184E-2</v>
      </c>
      <c r="AK471">
        <v>-1.8685379311418393E-2</v>
      </c>
      <c r="AL471">
        <v>-3.9375997192176548E-2</v>
      </c>
      <c r="AM471">
        <v>-1.3979867214748309E-2</v>
      </c>
      <c r="AN471">
        <v>-6.3612121510215336E-3</v>
      </c>
      <c r="AO471">
        <v>2.1919782827942241E-2</v>
      </c>
      <c r="AP471">
        <v>5.2754275029623598E-2</v>
      </c>
      <c r="AQ471">
        <v>-4.516233794979585E-2</v>
      </c>
      <c r="AR471">
        <v>-6.6955272428116552E-2</v>
      </c>
      <c r="AS471">
        <v>2.0415343941853903E-2</v>
      </c>
      <c r="AT471">
        <v>1.6602815115630526E-2</v>
      </c>
      <c r="AU471">
        <v>-2.5816428271341341E-4</v>
      </c>
    </row>
    <row r="472" spans="3:47" x14ac:dyDescent="0.2">
      <c r="C472" t="s">
        <v>11</v>
      </c>
      <c r="D472">
        <v>1.8037547560760092E-2</v>
      </c>
      <c r="E472">
        <v>8.8056579661527357E-3</v>
      </c>
      <c r="F472">
        <v>-1.7816739000910686E-2</v>
      </c>
      <c r="G472">
        <v>-5.8153695978360176E-3</v>
      </c>
      <c r="H472">
        <v>1.2107399041117628E-2</v>
      </c>
      <c r="I472">
        <v>-6.9537652208788825E-2</v>
      </c>
      <c r="J472">
        <v>-4.6631059563100874E-2</v>
      </c>
      <c r="K472">
        <v>-2.6721158811961687E-2</v>
      </c>
      <c r="L472">
        <v>-1.4263587585634729E-2</v>
      </c>
      <c r="M472">
        <v>-1.2691021299135796E-2</v>
      </c>
      <c r="N472">
        <v>0.1703688585237082</v>
      </c>
      <c r="O472">
        <v>-1.8087664975602324E-2</v>
      </c>
      <c r="P472">
        <v>-8.1791967834173862E-3</v>
      </c>
      <c r="Q472">
        <v>-1.1377353743776852E-2</v>
      </c>
      <c r="R472">
        <v>-3.7150066374703916E-2</v>
      </c>
      <c r="S472">
        <v>-3.2920583151751115E-2</v>
      </c>
      <c r="T472">
        <v>-3.0839231464569794E-2</v>
      </c>
      <c r="U472">
        <v>7.4349089331728624E-3</v>
      </c>
      <c r="V472">
        <v>-2.4154136671291015E-2</v>
      </c>
      <c r="W472">
        <v>2.063203898401933E-2</v>
      </c>
      <c r="X472">
        <v>7.1908896394359462E-2</v>
      </c>
      <c r="Y472">
        <v>-2.4503679227662212E-2</v>
      </c>
      <c r="Z472">
        <v>-2.2076448495974718E-2</v>
      </c>
      <c r="AA472">
        <v>1.0884707884420336E-2</v>
      </c>
      <c r="AB472">
        <v>-1.8937307951713556E-2</v>
      </c>
      <c r="AC472">
        <v>4.044515276413635E-2</v>
      </c>
      <c r="AD472">
        <v>-4.5329519963128728E-3</v>
      </c>
      <c r="AE472">
        <v>5.6870879188244516E-2</v>
      </c>
      <c r="AF472">
        <v>2.3553660590104331E-3</v>
      </c>
      <c r="AG472">
        <v>-1.3532458288430166E-2</v>
      </c>
      <c r="AH472">
        <v>1.0188850472767338E-2</v>
      </c>
      <c r="AI472">
        <v>-2.3256959670280686E-2</v>
      </c>
      <c r="AJ472">
        <v>4.1175292968058302E-2</v>
      </c>
      <c r="AK472">
        <v>-1.9663959790022778E-3</v>
      </c>
      <c r="AL472">
        <v>3.776805211814982E-2</v>
      </c>
      <c r="AM472">
        <v>-2.1540404735528262E-2</v>
      </c>
      <c r="AN472">
        <v>3.7658908111396938E-2</v>
      </c>
      <c r="AO472">
        <v>-4.6725047397829761E-2</v>
      </c>
      <c r="AP472">
        <v>-1.6060093649717722E-2</v>
      </c>
      <c r="AQ472">
        <v>4.5301327758834525E-2</v>
      </c>
      <c r="AR472">
        <v>-1.9541849263813638E-2</v>
      </c>
      <c r="AS472">
        <v>-2.6332434163932772E-2</v>
      </c>
      <c r="AT472">
        <v>-3.8872192741412626E-3</v>
      </c>
      <c r="AU472">
        <v>-1.5112467054282847E-2</v>
      </c>
    </row>
    <row r="473" spans="3:47" x14ac:dyDescent="0.2">
      <c r="C473" t="s">
        <v>12</v>
      </c>
      <c r="D473">
        <v>-8.4634041765715984E-3</v>
      </c>
      <c r="E473">
        <v>-3.8674169708068085E-3</v>
      </c>
      <c r="F473">
        <v>-5.2561116565691401E-4</v>
      </c>
      <c r="G473">
        <v>-2.8843207244977409E-2</v>
      </c>
      <c r="H473">
        <v>-2.5255686260417909E-2</v>
      </c>
      <c r="I473">
        <v>-2.6042706833687368E-2</v>
      </c>
      <c r="J473">
        <v>-5.2562395689889518E-2</v>
      </c>
      <c r="K473">
        <v>2.2965284917191964E-2</v>
      </c>
      <c r="L473">
        <v>-2.0429636773567572E-2</v>
      </c>
      <c r="M473">
        <v>6.8017728596227567E-2</v>
      </c>
      <c r="N473">
        <v>-1.8087664975602324E-2</v>
      </c>
      <c r="O473">
        <v>0.17223792662746806</v>
      </c>
      <c r="P473">
        <v>-1.4250801084893072E-2</v>
      </c>
      <c r="Q473">
        <v>-9.1992037557086879E-3</v>
      </c>
      <c r="R473">
        <v>1.9768925236617559E-2</v>
      </c>
      <c r="S473">
        <v>-1.7492459619229017E-2</v>
      </c>
      <c r="T473">
        <v>4.6208561565573666E-2</v>
      </c>
      <c r="U473">
        <v>-5.7110614550954619E-2</v>
      </c>
      <c r="V473">
        <v>1.4227948605818885E-3</v>
      </c>
      <c r="W473">
        <v>-1.4903170670613058E-2</v>
      </c>
      <c r="X473">
        <v>2.8685079466176822E-2</v>
      </c>
      <c r="Y473">
        <v>2.4174579086154668E-2</v>
      </c>
      <c r="Z473">
        <v>7.9809105665698821E-3</v>
      </c>
      <c r="AA473">
        <v>3.5279095243935188E-2</v>
      </c>
      <c r="AB473">
        <v>-8.8979314579077373E-3</v>
      </c>
      <c r="AC473">
        <v>-8.7923474369329679E-3</v>
      </c>
      <c r="AD473">
        <v>1.5337969515620997E-2</v>
      </c>
      <c r="AE473">
        <v>-1.5594529483627828E-2</v>
      </c>
      <c r="AF473">
        <v>-7.1686529678666733E-3</v>
      </c>
      <c r="AG473">
        <v>-5.4081084711691305E-2</v>
      </c>
      <c r="AH473">
        <v>-2.6377191336349193E-3</v>
      </c>
      <c r="AI473">
        <v>5.2149768200993041E-4</v>
      </c>
      <c r="AJ473">
        <v>7.2676455705517784E-2</v>
      </c>
      <c r="AK473">
        <v>-3.1765846433650657E-3</v>
      </c>
      <c r="AL473">
        <v>-3.2324672250613362E-2</v>
      </c>
      <c r="AM473">
        <v>2.0612172997899469E-2</v>
      </c>
      <c r="AN473">
        <v>-8.041314420925566E-4</v>
      </c>
      <c r="AO473">
        <v>1.6930105667062434E-2</v>
      </c>
      <c r="AP473">
        <v>-1.5949849538190453E-3</v>
      </c>
      <c r="AQ473">
        <v>-7.4099588684689854E-2</v>
      </c>
      <c r="AR473">
        <v>-5.6923572873114725E-2</v>
      </c>
      <c r="AS473">
        <v>-1.2269969658997293E-2</v>
      </c>
      <c r="AT473">
        <v>8.1044590434820596E-3</v>
      </c>
      <c r="AU473">
        <v>1.7722852954989626E-2</v>
      </c>
    </row>
    <row r="474" spans="3:47" x14ac:dyDescent="0.2">
      <c r="C474" t="s">
        <v>13</v>
      </c>
      <c r="D474">
        <v>-2.2772426019461833E-2</v>
      </c>
      <c r="E474">
        <v>4.0512248712764376E-2</v>
      </c>
      <c r="F474">
        <v>-3.1351568821974984E-2</v>
      </c>
      <c r="G474">
        <v>1.9000721772444717E-2</v>
      </c>
      <c r="H474">
        <v>6.7119536338899999E-2</v>
      </c>
      <c r="I474">
        <v>-2.1951003409341752E-3</v>
      </c>
      <c r="J474">
        <v>3.3831438729770014E-4</v>
      </c>
      <c r="K474">
        <v>-4.8258378807205737E-2</v>
      </c>
      <c r="L474">
        <v>-6.0204436069846157E-2</v>
      </c>
      <c r="M474">
        <v>-4.9786607347574785E-2</v>
      </c>
      <c r="N474">
        <v>-8.1791967834173862E-3</v>
      </c>
      <c r="O474">
        <v>-1.4250801084893072E-2</v>
      </c>
      <c r="P474">
        <v>0.2221055663676238</v>
      </c>
      <c r="Q474">
        <v>1.1072304676736394E-2</v>
      </c>
      <c r="R474">
        <v>-1.5218157941033872E-2</v>
      </c>
      <c r="S474">
        <v>-6.2823306277912494E-2</v>
      </c>
      <c r="T474">
        <v>1.2638532905328723E-2</v>
      </c>
      <c r="U474">
        <v>-2.2062120808350044E-2</v>
      </c>
      <c r="V474">
        <v>-7.3591858620038808E-2</v>
      </c>
      <c r="W474">
        <v>-5.2124859324877759E-2</v>
      </c>
      <c r="X474">
        <v>-9.9937252748575345E-3</v>
      </c>
      <c r="Y474">
        <v>4.2789922246255621E-2</v>
      </c>
      <c r="Z474">
        <v>3.4737845015525626E-2</v>
      </c>
      <c r="AA474">
        <v>-8.4111566616474731E-2</v>
      </c>
      <c r="AB474">
        <v>3.9971396478501675E-2</v>
      </c>
      <c r="AC474">
        <v>-1.4973223606064789E-2</v>
      </c>
      <c r="AD474">
        <v>3.4084363204852253E-2</v>
      </c>
      <c r="AE474">
        <v>-1.4194505110501687E-2</v>
      </c>
      <c r="AF474">
        <v>-4.3716044695394862E-2</v>
      </c>
      <c r="AG474">
        <v>-4.5384228887035971E-3</v>
      </c>
      <c r="AH474">
        <v>6.2555221332975808E-2</v>
      </c>
      <c r="AI474">
        <v>4.4144959298525327E-2</v>
      </c>
      <c r="AJ474">
        <v>-2.7629305829276279E-2</v>
      </c>
      <c r="AK474">
        <v>-4.4662385891835521E-2</v>
      </c>
      <c r="AL474">
        <v>-5.5727937658028859E-3</v>
      </c>
      <c r="AM474">
        <v>-2.4210040735983818E-2</v>
      </c>
      <c r="AN474">
        <v>-2.7850017929485063E-2</v>
      </c>
      <c r="AO474">
        <v>-1.8371101402159223E-2</v>
      </c>
      <c r="AP474">
        <v>-2.7180149845960677E-2</v>
      </c>
      <c r="AQ474">
        <v>5.6279397712592993E-2</v>
      </c>
      <c r="AR474">
        <v>3.4241374846831429E-2</v>
      </c>
      <c r="AS474">
        <v>-7.8739208447946574E-3</v>
      </c>
      <c r="AT474">
        <v>-1.9004246429230598E-2</v>
      </c>
      <c r="AU474">
        <v>4.0277073436626315E-2</v>
      </c>
    </row>
    <row r="475" spans="3:47" x14ac:dyDescent="0.2">
      <c r="C475" t="s">
        <v>14</v>
      </c>
      <c r="D475">
        <v>-4.2890648514618629E-2</v>
      </c>
      <c r="E475">
        <v>-6.4541916457152848E-2</v>
      </c>
      <c r="F475">
        <v>-2.1591472631607433E-4</v>
      </c>
      <c r="G475">
        <v>-4.2471088644027419E-2</v>
      </c>
      <c r="H475">
        <v>1.8939003557827877E-2</v>
      </c>
      <c r="I475">
        <v>4.025184654345796E-2</v>
      </c>
      <c r="J475">
        <v>5.1737550031830365E-2</v>
      </c>
      <c r="K475">
        <v>8.9300804841382642E-3</v>
      </c>
      <c r="L475">
        <v>4.5071940352509506E-2</v>
      </c>
      <c r="M475">
        <v>-2.1755182089262526E-2</v>
      </c>
      <c r="N475">
        <v>-1.1377353743776852E-2</v>
      </c>
      <c r="O475">
        <v>-9.1992037557086879E-3</v>
      </c>
      <c r="P475">
        <v>1.1072304676736394E-2</v>
      </c>
      <c r="Q475">
        <v>0.20872836290417407</v>
      </c>
      <c r="R475">
        <v>-2.7968596740770235E-2</v>
      </c>
      <c r="S475">
        <v>-1.1028512264893764E-2</v>
      </c>
      <c r="T475">
        <v>-7.3905517908401885E-2</v>
      </c>
      <c r="U475">
        <v>4.502349156842278E-3</v>
      </c>
      <c r="V475">
        <v>6.2182406659650191E-3</v>
      </c>
      <c r="W475">
        <v>1.4720119780115559E-3</v>
      </c>
      <c r="X475">
        <v>-4.6831430823701281E-2</v>
      </c>
      <c r="Y475">
        <v>1.0253741329443677E-2</v>
      </c>
      <c r="Z475">
        <v>2.474502422416467E-2</v>
      </c>
      <c r="AA475">
        <v>-2.069340150657005E-2</v>
      </c>
      <c r="AB475">
        <v>-2.6872363335556815E-2</v>
      </c>
      <c r="AC475">
        <v>2.5627212375834707E-2</v>
      </c>
      <c r="AD475">
        <v>-1.4793944621458194E-2</v>
      </c>
      <c r="AE475">
        <v>9.0160162994492588E-3</v>
      </c>
      <c r="AF475">
        <v>-6.0422692073614226E-2</v>
      </c>
      <c r="AG475">
        <v>-5.2331660975413807E-2</v>
      </c>
      <c r="AH475">
        <v>6.5964791186834293E-2</v>
      </c>
      <c r="AI475">
        <v>6.3940860053503773E-2</v>
      </c>
      <c r="AJ475">
        <v>-4.4562092488091204E-2</v>
      </c>
      <c r="AK475">
        <v>-5.2619132772246974E-2</v>
      </c>
      <c r="AL475">
        <v>-4.6455423554678424E-2</v>
      </c>
      <c r="AM475">
        <v>0.11430450503342908</v>
      </c>
      <c r="AN475">
        <v>6.2443557778481984E-2</v>
      </c>
      <c r="AO475">
        <v>-4.1047236930903674E-3</v>
      </c>
      <c r="AP475">
        <v>-7.5292639474203671E-2</v>
      </c>
      <c r="AQ475">
        <v>-4.936588073109538E-3</v>
      </c>
      <c r="AR475">
        <v>4.8956147272976869E-2</v>
      </c>
      <c r="AS475">
        <v>-5.9545385524508825E-2</v>
      </c>
      <c r="AT475">
        <v>-3.9239185815039143E-2</v>
      </c>
      <c r="AU475">
        <v>4.337160529179801E-2</v>
      </c>
    </row>
    <row r="476" spans="3:47" x14ac:dyDescent="0.2">
      <c r="C476" t="s">
        <v>15</v>
      </c>
      <c r="D476">
        <v>2.7209028522904133E-2</v>
      </c>
      <c r="E476">
        <v>-1.8650801722027932E-2</v>
      </c>
      <c r="F476">
        <v>2.4770821972278631E-2</v>
      </c>
      <c r="G476">
        <v>3.3313171382217677E-3</v>
      </c>
      <c r="H476">
        <v>-1.469982090775479E-2</v>
      </c>
      <c r="I476">
        <v>-9.6509637107000112E-3</v>
      </c>
      <c r="J476">
        <v>-3.0261448575224364E-2</v>
      </c>
      <c r="K476">
        <v>-8.9396769329514181E-3</v>
      </c>
      <c r="L476">
        <v>6.4222252207579322E-2</v>
      </c>
      <c r="M476">
        <v>-6.3486864238848639E-5</v>
      </c>
      <c r="N476">
        <v>-3.7150066374703916E-2</v>
      </c>
      <c r="O476">
        <v>1.9768925236617559E-2</v>
      </c>
      <c r="P476">
        <v>-1.5218157941033872E-2</v>
      </c>
      <c r="Q476">
        <v>-2.7968596740770235E-2</v>
      </c>
      <c r="R476">
        <v>0.15073763328138257</v>
      </c>
      <c r="S476">
        <v>-7.1213110012747771E-3</v>
      </c>
      <c r="T476">
        <v>-4.8435817778695656E-2</v>
      </c>
      <c r="U476">
        <v>-2.925084614595623E-2</v>
      </c>
      <c r="V476">
        <v>-4.3879549845231014E-2</v>
      </c>
      <c r="W476">
        <v>-5.019728642794874E-3</v>
      </c>
      <c r="X476">
        <v>-2.8821774312741688E-2</v>
      </c>
      <c r="Y476">
        <v>-1.037237812643016E-2</v>
      </c>
      <c r="Z476">
        <v>1.0149882320316578E-2</v>
      </c>
      <c r="AA476">
        <v>1.3586532715798974E-2</v>
      </c>
      <c r="AB476">
        <v>1.4070442939153049E-2</v>
      </c>
      <c r="AC476">
        <v>-1.5872229123674947E-2</v>
      </c>
      <c r="AD476">
        <v>4.8843846255400281E-3</v>
      </c>
      <c r="AE476">
        <v>-2.3800132254467088E-2</v>
      </c>
      <c r="AF476">
        <v>4.3293544427682323E-2</v>
      </c>
      <c r="AG476">
        <v>1.4590760872001396E-3</v>
      </c>
      <c r="AH476">
        <v>-1.3439672278698911E-2</v>
      </c>
      <c r="AI476">
        <v>1.6227378010125554E-2</v>
      </c>
      <c r="AJ476">
        <v>1.2252632715853709E-2</v>
      </c>
      <c r="AK476">
        <v>1.8525667573118354E-2</v>
      </c>
      <c r="AL476">
        <v>-2.3416288435848337E-2</v>
      </c>
      <c r="AM476">
        <v>-2.7086674700897706E-4</v>
      </c>
      <c r="AN476">
        <v>-4.2138909678716197E-2</v>
      </c>
      <c r="AO476">
        <v>4.4042021003506598E-2</v>
      </c>
      <c r="AP476">
        <v>1.3386128346864479E-2</v>
      </c>
      <c r="AQ476">
        <v>-1.2966237550177673E-2</v>
      </c>
      <c r="AR476">
        <v>-2.425513941203844E-2</v>
      </c>
      <c r="AS476">
        <v>2.1193824982374432E-2</v>
      </c>
      <c r="AT476">
        <v>5.3664972660414055E-2</v>
      </c>
      <c r="AU476">
        <v>-4.4960991437848097E-2</v>
      </c>
    </row>
    <row r="477" spans="3:47" x14ac:dyDescent="0.2">
      <c r="C477" t="s">
        <v>16</v>
      </c>
      <c r="D477">
        <v>-1.7534356398693489E-2</v>
      </c>
      <c r="E477">
        <v>2.3380992468290507E-2</v>
      </c>
      <c r="F477">
        <v>5.8554133377718906E-3</v>
      </c>
      <c r="G477">
        <v>-2.3894426018303327E-2</v>
      </c>
      <c r="H477">
        <v>5.338490793044004E-2</v>
      </c>
      <c r="I477">
        <v>1.7710505585462277E-2</v>
      </c>
      <c r="J477">
        <v>1.8042752870019302E-2</v>
      </c>
      <c r="K477">
        <v>-5.9112935282469026E-2</v>
      </c>
      <c r="L477">
        <v>4.7633864530934933E-2</v>
      </c>
      <c r="M477">
        <v>-4.2390663672700057E-3</v>
      </c>
      <c r="N477">
        <v>-3.2920583151751115E-2</v>
      </c>
      <c r="O477">
        <v>-1.7492459619229017E-2</v>
      </c>
      <c r="P477">
        <v>-6.2823306277912494E-2</v>
      </c>
      <c r="Q477">
        <v>-1.1028512264893764E-2</v>
      </c>
      <c r="R477">
        <v>-7.1213110012747771E-3</v>
      </c>
      <c r="S477">
        <v>0.24567078565627631</v>
      </c>
      <c r="T477">
        <v>-7.0075371325933999E-2</v>
      </c>
      <c r="U477">
        <v>1.6428424131626707E-2</v>
      </c>
      <c r="V477">
        <v>1.1196202055514803E-2</v>
      </c>
      <c r="W477">
        <v>-3.8724548877376808E-2</v>
      </c>
      <c r="X477">
        <v>-5.850120021883326E-2</v>
      </c>
      <c r="Y477">
        <v>-1.0686436082005868E-2</v>
      </c>
      <c r="Z477">
        <v>1.5221656598094435E-2</v>
      </c>
      <c r="AA477">
        <v>-1.6536998730819291E-2</v>
      </c>
      <c r="AB477">
        <v>1.1347376819123678E-2</v>
      </c>
      <c r="AC477">
        <v>-3.9577900226972496E-4</v>
      </c>
      <c r="AD477">
        <v>-1.5124599099082814E-2</v>
      </c>
      <c r="AE477">
        <v>-4.9323885509972021E-3</v>
      </c>
      <c r="AF477">
        <v>5.3056687572916816E-2</v>
      </c>
      <c r="AG477">
        <v>-1.7806832919373683E-3</v>
      </c>
      <c r="AH477">
        <v>-4.5398008398725487E-2</v>
      </c>
      <c r="AI477">
        <v>-2.3216734985249288E-2</v>
      </c>
      <c r="AJ477">
        <v>1.7347597267401885E-2</v>
      </c>
      <c r="AK477">
        <v>-9.6206595919690052E-4</v>
      </c>
      <c r="AL477">
        <v>-1.2080529635354109E-2</v>
      </c>
      <c r="AM477">
        <v>5.5906648629160324E-2</v>
      </c>
      <c r="AN477">
        <v>9.5087171066176424E-2</v>
      </c>
      <c r="AO477">
        <v>-2.1355284621308895E-2</v>
      </c>
      <c r="AP477">
        <v>5.1134746208853415E-2</v>
      </c>
      <c r="AQ477">
        <v>-2.4535740063733991E-2</v>
      </c>
      <c r="AR477">
        <v>-5.1465949501258157E-2</v>
      </c>
      <c r="AS477">
        <v>-2.6210413427648072E-2</v>
      </c>
      <c r="AT477">
        <v>-5.9872248625884195E-2</v>
      </c>
      <c r="AU477">
        <v>-2.6919276423692295E-2</v>
      </c>
    </row>
    <row r="478" spans="3:47" x14ac:dyDescent="0.2">
      <c r="C478" t="s">
        <v>17</v>
      </c>
      <c r="D478">
        <v>2.7236654960129114E-4</v>
      </c>
      <c r="E478">
        <v>3.1913471896097334E-2</v>
      </c>
      <c r="F478">
        <v>-3.0208969590517821E-2</v>
      </c>
      <c r="G478">
        <v>-2.1663075806097332E-2</v>
      </c>
      <c r="H478">
        <v>-4.785695894167654E-2</v>
      </c>
      <c r="I478">
        <v>3.2431533073443736E-2</v>
      </c>
      <c r="J478">
        <v>1.3793455071002506E-2</v>
      </c>
      <c r="K478">
        <v>4.4537776537138946E-2</v>
      </c>
      <c r="L478">
        <v>-3.3119584725675902E-2</v>
      </c>
      <c r="M478">
        <v>2.9609671357111345E-2</v>
      </c>
      <c r="N478">
        <v>-3.0839231464569794E-2</v>
      </c>
      <c r="O478">
        <v>4.6208561565573666E-2</v>
      </c>
      <c r="P478">
        <v>1.2638532905328723E-2</v>
      </c>
      <c r="Q478">
        <v>-7.3905517908401885E-2</v>
      </c>
      <c r="R478">
        <v>-4.8435817778695656E-2</v>
      </c>
      <c r="S478">
        <v>-7.0075371325933999E-2</v>
      </c>
      <c r="T478">
        <v>0.21924686290065687</v>
      </c>
      <c r="U478">
        <v>1.8877909413491184E-2</v>
      </c>
      <c r="V478">
        <v>4.1631590020918319E-2</v>
      </c>
      <c r="W478">
        <v>7.1828217604147371E-4</v>
      </c>
      <c r="X478">
        <v>-1.6857660952713904E-2</v>
      </c>
      <c r="Y478">
        <v>5.3582421866939928E-2</v>
      </c>
      <c r="Z478">
        <v>3.8549730923693737E-3</v>
      </c>
      <c r="AA478">
        <v>6.3662125484801324E-2</v>
      </c>
      <c r="AB478">
        <v>-3.2105724056353258E-3</v>
      </c>
      <c r="AC478">
        <v>-6.4560305498687354E-2</v>
      </c>
      <c r="AD478">
        <v>-2.2862619498812853E-2</v>
      </c>
      <c r="AE478">
        <v>-4.6275154854068579E-2</v>
      </c>
      <c r="AF478">
        <v>-1.6169720729733439E-4</v>
      </c>
      <c r="AG478">
        <v>-7.3600253469591204E-3</v>
      </c>
      <c r="AH478">
        <v>-3.5231477546840112E-2</v>
      </c>
      <c r="AI478">
        <v>4.4776407119657746E-2</v>
      </c>
      <c r="AJ478">
        <v>4.0115316135745281E-2</v>
      </c>
      <c r="AK478">
        <v>-1.4442053445152037E-2</v>
      </c>
      <c r="AL478">
        <v>1.1014355590774183E-2</v>
      </c>
      <c r="AM478">
        <v>-1.7230489840191855E-2</v>
      </c>
      <c r="AN478">
        <v>-0.10368873816246121</v>
      </c>
      <c r="AO478">
        <v>3.8365818149577832E-2</v>
      </c>
      <c r="AP478">
        <v>1.3221418680067959E-2</v>
      </c>
      <c r="AQ478">
        <v>9.4241973097889675E-3</v>
      </c>
      <c r="AR478">
        <v>-4.839203005453202E-2</v>
      </c>
      <c r="AS478">
        <v>3.8213036048894172E-2</v>
      </c>
      <c r="AT478">
        <v>1.596659287904649E-2</v>
      </c>
      <c r="AU478">
        <v>6.6886180780241222E-3</v>
      </c>
    </row>
    <row r="479" spans="3:47" x14ac:dyDescent="0.2">
      <c r="C479" t="s">
        <v>18</v>
      </c>
      <c r="D479">
        <v>4.441978649019479E-2</v>
      </c>
      <c r="E479">
        <v>3.8967994008713425E-2</v>
      </c>
      <c r="F479">
        <v>-6.5644500424707097E-2</v>
      </c>
      <c r="G479">
        <v>-6.4926503057978369E-2</v>
      </c>
      <c r="H479">
        <v>-2.8587645098442915E-3</v>
      </c>
      <c r="I479">
        <v>2.01941846908191E-2</v>
      </c>
      <c r="J479">
        <v>1.9916744933072994E-2</v>
      </c>
      <c r="K479">
        <v>-4.1751232001339678E-2</v>
      </c>
      <c r="L479">
        <v>-3.5284981734444443E-3</v>
      </c>
      <c r="M479">
        <v>-6.8851836800831678E-2</v>
      </c>
      <c r="N479">
        <v>7.4349089331728624E-3</v>
      </c>
      <c r="O479">
        <v>-5.7110614550954619E-2</v>
      </c>
      <c r="P479">
        <v>-2.2062120808350044E-2</v>
      </c>
      <c r="Q479">
        <v>4.502349156842278E-3</v>
      </c>
      <c r="R479">
        <v>-2.925084614595623E-2</v>
      </c>
      <c r="S479">
        <v>1.6428424131626707E-2</v>
      </c>
      <c r="T479">
        <v>1.8877909413491184E-2</v>
      </c>
      <c r="U479">
        <v>0.29597055372229075</v>
      </c>
      <c r="V479">
        <v>9.6827714623916511E-2</v>
      </c>
      <c r="W479">
        <v>5.8637032290330252E-2</v>
      </c>
      <c r="X479">
        <v>-6.9149646444669477E-2</v>
      </c>
      <c r="Y479">
        <v>4.8356457143981346E-2</v>
      </c>
      <c r="Z479">
        <v>5.0716390927760674E-3</v>
      </c>
      <c r="AA479">
        <v>2.1636433162647906E-2</v>
      </c>
      <c r="AB479">
        <v>-5.0772403892136025E-3</v>
      </c>
      <c r="AC479">
        <v>-1.5612353605246876E-2</v>
      </c>
      <c r="AD479">
        <v>-5.668233601198093E-2</v>
      </c>
      <c r="AE479">
        <v>-3.9683515068402231E-2</v>
      </c>
      <c r="AF479">
        <v>3.1952029449313996E-2</v>
      </c>
      <c r="AG479">
        <v>2.8855601680567167E-3</v>
      </c>
      <c r="AH479">
        <v>-0.11635890278736188</v>
      </c>
      <c r="AI479">
        <v>-6.2408809796825337E-3</v>
      </c>
      <c r="AJ479">
        <v>-5.622777337907392E-3</v>
      </c>
      <c r="AK479">
        <v>3.326220770761118E-2</v>
      </c>
      <c r="AL479">
        <v>4.306877368434843E-2</v>
      </c>
      <c r="AM479">
        <v>9.1649598850211178E-2</v>
      </c>
      <c r="AN479">
        <v>1.0730933095483272E-2</v>
      </c>
      <c r="AO479">
        <v>-9.5445292399553572E-2</v>
      </c>
      <c r="AP479">
        <v>-4.6202308398690661E-5</v>
      </c>
      <c r="AQ479">
        <v>4.7676479981709263E-2</v>
      </c>
      <c r="AR479">
        <v>6.7742638206975861E-2</v>
      </c>
      <c r="AS479">
        <v>-6.0430398337001173E-2</v>
      </c>
      <c r="AT479">
        <v>-8.5822953251497525E-2</v>
      </c>
      <c r="AU479">
        <v>2.7365846961233536E-2</v>
      </c>
    </row>
    <row r="480" spans="3:47" x14ac:dyDescent="0.2">
      <c r="C480" t="s">
        <v>19</v>
      </c>
      <c r="D480">
        <v>-1.9477305820314011E-2</v>
      </c>
      <c r="E480">
        <v>1.3964794181994256E-2</v>
      </c>
      <c r="F480">
        <v>3.9846739740267256E-2</v>
      </c>
      <c r="G480">
        <v>-3.861993308673578E-2</v>
      </c>
      <c r="H480">
        <v>-7.3708955165492474E-2</v>
      </c>
      <c r="I480">
        <v>7.1665965078637761E-4</v>
      </c>
      <c r="J480">
        <v>4.8777346287415257E-3</v>
      </c>
      <c r="K480">
        <v>2.8501727086754247E-2</v>
      </c>
      <c r="L480">
        <v>4.7744491495119168E-3</v>
      </c>
      <c r="M480">
        <v>-6.1732638635084158E-3</v>
      </c>
      <c r="N480">
        <v>-2.4154136671291015E-2</v>
      </c>
      <c r="O480">
        <v>1.4227948605818885E-3</v>
      </c>
      <c r="P480">
        <v>-7.3591858620038808E-2</v>
      </c>
      <c r="Q480">
        <v>6.2182406659650191E-3</v>
      </c>
      <c r="R480">
        <v>-4.3879549845231014E-2</v>
      </c>
      <c r="S480">
        <v>1.1196202055514803E-2</v>
      </c>
      <c r="T480">
        <v>4.1631590020918319E-2</v>
      </c>
      <c r="U480">
        <v>9.6827714623916511E-2</v>
      </c>
      <c r="V480">
        <v>0.21140611369394302</v>
      </c>
      <c r="W480">
        <v>8.1900218123740487E-3</v>
      </c>
      <c r="X480">
        <v>-3.2321740464156035E-2</v>
      </c>
      <c r="Y480">
        <v>7.5981328073000953E-3</v>
      </c>
      <c r="Z480">
        <v>-4.7422766279665907E-2</v>
      </c>
      <c r="AA480">
        <v>-4.9822369398225541E-3</v>
      </c>
      <c r="AB480">
        <v>-7.2790268427868621E-2</v>
      </c>
      <c r="AC480">
        <v>4.4865703934610479E-2</v>
      </c>
      <c r="AD480">
        <v>-3.451785104514693E-2</v>
      </c>
      <c r="AE480">
        <v>-3.6010014947961966E-3</v>
      </c>
      <c r="AF480">
        <v>-1.5261701040478332E-3</v>
      </c>
      <c r="AG480">
        <v>1.2676296832533324E-2</v>
      </c>
      <c r="AH480">
        <v>-2.1242235686630695E-3</v>
      </c>
      <c r="AI480">
        <v>-2.6023971791275746E-2</v>
      </c>
      <c r="AJ480">
        <v>-3.791221212594309E-2</v>
      </c>
      <c r="AK480">
        <v>1.1465813420110271E-2</v>
      </c>
      <c r="AL480">
        <v>4.0244342461421168E-2</v>
      </c>
      <c r="AM480">
        <v>7.2369963233522822E-2</v>
      </c>
      <c r="AN480">
        <v>4.3915188596243299E-2</v>
      </c>
      <c r="AO480">
        <v>-3.7016090668780699E-2</v>
      </c>
      <c r="AP480">
        <v>-2.160982395676192E-2</v>
      </c>
      <c r="AQ480">
        <v>-3.3079439495196705E-2</v>
      </c>
      <c r="AR480">
        <v>8.5712484148977031E-3</v>
      </c>
      <c r="AS480">
        <v>-1.9506321173842156E-2</v>
      </c>
      <c r="AT480">
        <v>-4.8524521579931895E-2</v>
      </c>
      <c r="AU480">
        <v>6.7158827343339556E-2</v>
      </c>
    </row>
    <row r="481" spans="3:47" x14ac:dyDescent="0.2">
      <c r="C481" t="s">
        <v>20</v>
      </c>
      <c r="D481">
        <v>-1.9824931590554137E-2</v>
      </c>
      <c r="E481">
        <v>-2.2505899346500657E-2</v>
      </c>
      <c r="F481">
        <v>1.8167444868617044E-2</v>
      </c>
      <c r="G481">
        <v>-9.2794707070741056E-3</v>
      </c>
      <c r="H481">
        <v>-3.8889593399941746E-2</v>
      </c>
      <c r="I481">
        <v>-3.1428478761674566E-2</v>
      </c>
      <c r="J481">
        <v>-3.0408596533149368E-2</v>
      </c>
      <c r="K481">
        <v>3.8814134330655309E-2</v>
      </c>
      <c r="L481">
        <v>8.4260051794652346E-3</v>
      </c>
      <c r="M481">
        <v>4.7982125098147921E-2</v>
      </c>
      <c r="N481">
        <v>2.063203898401933E-2</v>
      </c>
      <c r="O481">
        <v>-1.4903170670613058E-2</v>
      </c>
      <c r="P481">
        <v>-5.2124859324877759E-2</v>
      </c>
      <c r="Q481">
        <v>1.4720119780115559E-3</v>
      </c>
      <c r="R481">
        <v>-5.019728642794874E-3</v>
      </c>
      <c r="S481">
        <v>-3.8724548877376808E-2</v>
      </c>
      <c r="T481">
        <v>7.1828217604147371E-4</v>
      </c>
      <c r="U481">
        <v>5.8637032290330252E-2</v>
      </c>
      <c r="V481">
        <v>8.1900218123740487E-3</v>
      </c>
      <c r="W481">
        <v>0.21348007298541538</v>
      </c>
      <c r="X481">
        <v>-2.1674935548642527E-2</v>
      </c>
      <c r="Y481">
        <v>-0.10174321553103927</v>
      </c>
      <c r="Z481">
        <v>-1.8834864529926554E-2</v>
      </c>
      <c r="AA481">
        <v>3.4647322645457279E-2</v>
      </c>
      <c r="AB481">
        <v>-7.63104571684734E-2</v>
      </c>
      <c r="AC481">
        <v>7.4205856905165679E-3</v>
      </c>
      <c r="AD481">
        <v>-4.5537790000612088E-2</v>
      </c>
      <c r="AE481">
        <v>4.7439348348698562E-2</v>
      </c>
      <c r="AF481">
        <v>8.0386288373615611E-4</v>
      </c>
      <c r="AG481">
        <v>1.2142900515440674E-2</v>
      </c>
      <c r="AH481">
        <v>9.2926774436629112E-3</v>
      </c>
      <c r="AI481">
        <v>-4.3381576709648928E-2</v>
      </c>
      <c r="AJ481">
        <v>1.9016867682998637E-2</v>
      </c>
      <c r="AK481">
        <v>1.8560301458077022E-2</v>
      </c>
      <c r="AL481">
        <v>1.3810111313303786E-2</v>
      </c>
      <c r="AM481">
        <v>6.4005008151285847E-2</v>
      </c>
      <c r="AN481">
        <v>1.2119803420059888E-2</v>
      </c>
      <c r="AO481">
        <v>-1.6461232412885871E-2</v>
      </c>
      <c r="AP481">
        <v>3.5217247480881661E-2</v>
      </c>
      <c r="AQ481">
        <v>6.6483619255567339E-3</v>
      </c>
      <c r="AR481">
        <v>-1.3130863063204434E-2</v>
      </c>
      <c r="AS481">
        <v>-4.7776862155954336E-3</v>
      </c>
      <c r="AT481">
        <v>-2.4345494590538724E-2</v>
      </c>
      <c r="AU481">
        <v>6.9805000212846136E-3</v>
      </c>
    </row>
    <row r="482" spans="3:47" x14ac:dyDescent="0.2">
      <c r="C482" t="s">
        <v>21</v>
      </c>
      <c r="D482">
        <v>4.0288512941084029E-2</v>
      </c>
      <c r="E482">
        <v>-5.7514288671884663E-2</v>
      </c>
      <c r="F482">
        <v>2.5789111219188837E-2</v>
      </c>
      <c r="G482">
        <v>5.3876974506593407E-2</v>
      </c>
      <c r="H482">
        <v>2.8221452676224779E-5</v>
      </c>
      <c r="I482">
        <v>-3.5358909452198287E-2</v>
      </c>
      <c r="J482">
        <v>-3.2075222303185852E-2</v>
      </c>
      <c r="K482">
        <v>-1.4237140024241757E-2</v>
      </c>
      <c r="L482">
        <v>-6.2872668159720285E-2</v>
      </c>
      <c r="M482">
        <v>-1.6850200128796788E-2</v>
      </c>
      <c r="N482">
        <v>7.1908896394359462E-2</v>
      </c>
      <c r="O482">
        <v>2.8685079466176822E-2</v>
      </c>
      <c r="P482">
        <v>-9.9937252748575345E-3</v>
      </c>
      <c r="Q482">
        <v>-4.6831430823701281E-2</v>
      </c>
      <c r="R482">
        <v>-2.8821774312741688E-2</v>
      </c>
      <c r="S482">
        <v>-5.850120021883326E-2</v>
      </c>
      <c r="T482">
        <v>-1.6857660952713904E-2</v>
      </c>
      <c r="U482">
        <v>-6.9149646444669477E-2</v>
      </c>
      <c r="V482">
        <v>-3.2321740464156035E-2</v>
      </c>
      <c r="W482">
        <v>-2.1674935548642527E-2</v>
      </c>
      <c r="X482">
        <v>0.22173246271264768</v>
      </c>
      <c r="Y482">
        <v>-4.8060425558360931E-2</v>
      </c>
      <c r="Z482">
        <v>-8.9918892274180484E-2</v>
      </c>
      <c r="AA482">
        <v>-3.5298841341131093E-2</v>
      </c>
      <c r="AB482">
        <v>-4.6945709142986625E-2</v>
      </c>
      <c r="AC482">
        <v>4.5353968834942415E-2</v>
      </c>
      <c r="AD482">
        <v>4.6733824790187284E-2</v>
      </c>
      <c r="AE482">
        <v>5.9043245358690932E-2</v>
      </c>
      <c r="AF482">
        <v>5.2587159295056918E-3</v>
      </c>
      <c r="AG482">
        <v>2.4800768230901188E-2</v>
      </c>
      <c r="AH482">
        <v>-6.9549683513592253E-4</v>
      </c>
      <c r="AI482">
        <v>-1.9828673492094051E-2</v>
      </c>
      <c r="AJ482">
        <v>9.3708458647113746E-3</v>
      </c>
      <c r="AK482">
        <v>4.6849462209664072E-2</v>
      </c>
      <c r="AL482">
        <v>2.1453703003646213E-2</v>
      </c>
      <c r="AM482">
        <v>-5.2133161516079392E-2</v>
      </c>
      <c r="AN482">
        <v>1.0703721238965597E-2</v>
      </c>
      <c r="AO482">
        <v>5.1601658554159546E-3</v>
      </c>
      <c r="AP482">
        <v>-3.3235247140526003E-2</v>
      </c>
      <c r="AQ482">
        <v>-4.4571849417571308E-2</v>
      </c>
      <c r="AR482">
        <v>-3.4083057902826563E-2</v>
      </c>
      <c r="AS482">
        <v>1.6836744032230344E-2</v>
      </c>
      <c r="AT482">
        <v>5.2512178697348144E-2</v>
      </c>
      <c r="AU482">
        <v>-7.016503528601975E-3</v>
      </c>
    </row>
    <row r="483" spans="3:47" x14ac:dyDescent="0.2">
      <c r="C483" t="s">
        <v>22</v>
      </c>
      <c r="D483">
        <v>6.3337849977993438E-2</v>
      </c>
      <c r="E483">
        <v>2.8645448073083064E-2</v>
      </c>
      <c r="F483">
        <v>2.4378282462587386E-2</v>
      </c>
      <c r="G483">
        <v>-6.7515145966937848E-3</v>
      </c>
      <c r="H483">
        <v>-3.4250062134018433E-2</v>
      </c>
      <c r="I483">
        <v>3.762916243395089E-2</v>
      </c>
      <c r="J483">
        <v>7.246176897611345E-2</v>
      </c>
      <c r="K483">
        <v>-1.1210345432747224E-2</v>
      </c>
      <c r="L483">
        <v>-2.0201258153197899E-2</v>
      </c>
      <c r="M483">
        <v>-6.1362110285324539E-2</v>
      </c>
      <c r="N483">
        <v>-2.4503679227662212E-2</v>
      </c>
      <c r="O483">
        <v>2.4174579086154668E-2</v>
      </c>
      <c r="P483">
        <v>4.2789922246255621E-2</v>
      </c>
      <c r="Q483">
        <v>1.0253741329443677E-2</v>
      </c>
      <c r="R483">
        <v>-1.037237812643016E-2</v>
      </c>
      <c r="S483">
        <v>-1.0686436082005868E-2</v>
      </c>
      <c r="T483">
        <v>5.3582421866939928E-2</v>
      </c>
      <c r="U483">
        <v>4.8356457143981346E-2</v>
      </c>
      <c r="V483">
        <v>7.5981328073000953E-3</v>
      </c>
      <c r="W483">
        <v>-0.10174321553103927</v>
      </c>
      <c r="X483">
        <v>-4.8060425558360931E-2</v>
      </c>
      <c r="Y483">
        <v>0.38993513310834171</v>
      </c>
      <c r="Z483">
        <v>-1.0389026590025829E-3</v>
      </c>
      <c r="AA483">
        <v>-1.4027873310584846E-2</v>
      </c>
      <c r="AB483">
        <v>2.5563099427990177E-2</v>
      </c>
      <c r="AC483">
        <v>-2.0687643354841745E-2</v>
      </c>
      <c r="AD483">
        <v>-4.6769661405640428E-2</v>
      </c>
      <c r="AE483">
        <v>-9.7267558593259473E-2</v>
      </c>
      <c r="AF483">
        <v>-6.3245847392333576E-2</v>
      </c>
      <c r="AG483">
        <v>4.2803777181758484E-2</v>
      </c>
      <c r="AH483">
        <v>-0.13755164874809478</v>
      </c>
      <c r="AI483">
        <v>-2.7656391914072265E-2</v>
      </c>
      <c r="AJ483">
        <v>-1.2951935935286762E-2</v>
      </c>
      <c r="AK483">
        <v>3.3704811253588707E-3</v>
      </c>
      <c r="AL483">
        <v>3.6354287722082157E-2</v>
      </c>
      <c r="AM483">
        <v>-2.3796724878132707E-2</v>
      </c>
      <c r="AN483">
        <v>-6.6440514452600546E-2</v>
      </c>
      <c r="AO483">
        <v>-5.1963475557969707E-2</v>
      </c>
      <c r="AP483">
        <v>-8.3151895636709272E-2</v>
      </c>
      <c r="AQ483">
        <v>7.194031383725652E-3</v>
      </c>
      <c r="AR483">
        <v>8.3542276668960427E-2</v>
      </c>
      <c r="AS483">
        <v>9.9926365422347563E-3</v>
      </c>
      <c r="AT483">
        <v>-2.8661070455048079E-3</v>
      </c>
      <c r="AU483">
        <v>4.1182692917252212E-2</v>
      </c>
    </row>
    <row r="484" spans="3:47" x14ac:dyDescent="0.2">
      <c r="C484" t="s">
        <v>23</v>
      </c>
      <c r="D484">
        <v>-3.7394880740870884E-2</v>
      </c>
      <c r="E484">
        <v>2.6767464698347392E-2</v>
      </c>
      <c r="F484">
        <v>-8.6954283312975028E-2</v>
      </c>
      <c r="G484">
        <v>1.4416183960582966E-2</v>
      </c>
      <c r="H484">
        <v>2.4452157910063888E-2</v>
      </c>
      <c r="I484">
        <v>4.0845625633216115E-2</v>
      </c>
      <c r="J484">
        <v>1.0596928574860096E-2</v>
      </c>
      <c r="K484">
        <v>2.3456546870306398E-2</v>
      </c>
      <c r="L484">
        <v>3.2564143683572355E-2</v>
      </c>
      <c r="M484">
        <v>4.4894410752944036E-2</v>
      </c>
      <c r="N484">
        <v>-2.2076448495974718E-2</v>
      </c>
      <c r="O484">
        <v>7.9809105665698821E-3</v>
      </c>
      <c r="P484">
        <v>3.4737845015525626E-2</v>
      </c>
      <c r="Q484">
        <v>2.474502422416467E-2</v>
      </c>
      <c r="R484">
        <v>1.0149882320316578E-2</v>
      </c>
      <c r="S484">
        <v>1.5221656598094435E-2</v>
      </c>
      <c r="T484">
        <v>3.8549730923693737E-3</v>
      </c>
      <c r="U484">
        <v>5.0716390927760674E-3</v>
      </c>
      <c r="V484">
        <v>-4.7422766279665907E-2</v>
      </c>
      <c r="W484">
        <v>-1.8834864529926554E-2</v>
      </c>
      <c r="X484">
        <v>-8.9918892274180484E-2</v>
      </c>
      <c r="Y484">
        <v>-1.0389026590025829E-3</v>
      </c>
      <c r="Z484">
        <v>0.24814870671616318</v>
      </c>
      <c r="AA484">
        <v>-2.0998230928907347E-2</v>
      </c>
      <c r="AB484">
        <v>2.521536132687302E-2</v>
      </c>
      <c r="AC484">
        <v>-7.0313501298108871E-2</v>
      </c>
      <c r="AD484">
        <v>-5.003283081235671E-2</v>
      </c>
      <c r="AE484">
        <v>-5.356110094478847E-2</v>
      </c>
      <c r="AF484">
        <v>-3.9476237231433065E-3</v>
      </c>
      <c r="AG484">
        <v>1.5115973114231351E-2</v>
      </c>
      <c r="AH484">
        <v>1.5119726978311598E-2</v>
      </c>
      <c r="AI484">
        <v>-2.3283957995965276E-2</v>
      </c>
      <c r="AJ484">
        <v>7.6435729552104203E-2</v>
      </c>
      <c r="AK484">
        <v>-1.4093493032126869E-2</v>
      </c>
      <c r="AL484">
        <v>-4.9980046745390971E-2</v>
      </c>
      <c r="AM484">
        <v>-3.5191350884565265E-3</v>
      </c>
      <c r="AN484">
        <v>1.6602097487286624E-2</v>
      </c>
      <c r="AO484">
        <v>-3.2846393613173833E-2</v>
      </c>
      <c r="AP484">
        <v>5.1390667779377619E-2</v>
      </c>
      <c r="AQ484">
        <v>1.6295425970016049E-2</v>
      </c>
      <c r="AR484">
        <v>3.8924559278624704E-3</v>
      </c>
      <c r="AS484">
        <v>-4.9377856436384704E-2</v>
      </c>
      <c r="AT484">
        <v>-7.5129508810330703E-3</v>
      </c>
      <c r="AU484">
        <v>-2.5729886192654476E-2</v>
      </c>
    </row>
    <row r="485" spans="3:47" x14ac:dyDescent="0.2">
      <c r="C485" t="s">
        <v>24</v>
      </c>
      <c r="D485">
        <v>9.1456420308531253E-2</v>
      </c>
      <c r="E485">
        <v>3.55359378826254E-2</v>
      </c>
      <c r="F485">
        <v>-6.8489970958673901E-2</v>
      </c>
      <c r="G485">
        <v>-6.5377946289854633E-2</v>
      </c>
      <c r="H485">
        <v>-8.3280212325295006E-2</v>
      </c>
      <c r="I485">
        <v>-1.5624731274223126E-2</v>
      </c>
      <c r="J485">
        <v>-5.1030973072748495E-2</v>
      </c>
      <c r="K485">
        <v>7.940846398698001E-2</v>
      </c>
      <c r="L485">
        <v>6.4714557282835178E-2</v>
      </c>
      <c r="M485">
        <v>0.12444116740758214</v>
      </c>
      <c r="N485">
        <v>1.0884707884420336E-2</v>
      </c>
      <c r="O485">
        <v>3.5279095243935188E-2</v>
      </c>
      <c r="P485">
        <v>-8.4111566616474731E-2</v>
      </c>
      <c r="Q485">
        <v>-2.069340150657005E-2</v>
      </c>
      <c r="R485">
        <v>1.3586532715798974E-2</v>
      </c>
      <c r="S485">
        <v>-1.6536998730819291E-2</v>
      </c>
      <c r="T485">
        <v>6.3662125484801324E-2</v>
      </c>
      <c r="U485">
        <v>2.1636433162647906E-2</v>
      </c>
      <c r="V485">
        <v>-4.9822369398225541E-3</v>
      </c>
      <c r="W485">
        <v>3.4647322645457279E-2</v>
      </c>
      <c r="X485">
        <v>-3.5298841341131093E-2</v>
      </c>
      <c r="Y485">
        <v>-1.4027873310584846E-2</v>
      </c>
      <c r="Z485">
        <v>-2.0998230928907347E-2</v>
      </c>
      <c r="AA485">
        <v>0.3279440993687488</v>
      </c>
      <c r="AB485">
        <v>4.3560931377830681E-3</v>
      </c>
      <c r="AC485">
        <v>-4.0105508487936342E-2</v>
      </c>
      <c r="AD485">
        <v>-3.6937564930344918E-2</v>
      </c>
      <c r="AE485">
        <v>1.9515175918049927E-2</v>
      </c>
      <c r="AF485">
        <v>2.2423881956539937E-2</v>
      </c>
      <c r="AG485">
        <v>-0.15525246029207179</v>
      </c>
      <c r="AH485">
        <v>-2.4211118904394008E-2</v>
      </c>
      <c r="AI485">
        <v>1.7177223834363875E-2</v>
      </c>
      <c r="AJ485">
        <v>6.3657981560800242E-2</v>
      </c>
      <c r="AK485">
        <v>-3.9720868754116873E-3</v>
      </c>
      <c r="AL485">
        <v>2.2537444965591874E-2</v>
      </c>
      <c r="AM485">
        <v>-4.1986939216827751E-2</v>
      </c>
      <c r="AN485">
        <v>-6.6820400596898658E-2</v>
      </c>
      <c r="AO485">
        <v>1.4478471440924956E-2</v>
      </c>
      <c r="AP485">
        <v>-3.1610951432211459E-3</v>
      </c>
      <c r="AQ485">
        <v>6.6318295921851789E-2</v>
      </c>
      <c r="AR485">
        <v>-6.2508182768168649E-2</v>
      </c>
      <c r="AS485">
        <v>-2.7602470827229331E-3</v>
      </c>
      <c r="AT485">
        <v>8.0486829841822094E-4</v>
      </c>
      <c r="AU485">
        <v>-4.2564858034132999E-2</v>
      </c>
    </row>
    <row r="486" spans="3:47" x14ac:dyDescent="0.2">
      <c r="C486" t="s">
        <v>25</v>
      </c>
      <c r="D486">
        <v>5.7707040518605451E-2</v>
      </c>
      <c r="E486">
        <v>2.5147727087510646E-2</v>
      </c>
      <c r="F486">
        <v>-3.8284393651986527E-2</v>
      </c>
      <c r="G486">
        <v>2.0916839035434731E-2</v>
      </c>
      <c r="H486">
        <v>-1.3686150917060158E-2</v>
      </c>
      <c r="I486">
        <v>5.3898549890453118E-2</v>
      </c>
      <c r="J486">
        <v>-4.6086376354433911E-3</v>
      </c>
      <c r="K486">
        <v>3.6773934734533997E-2</v>
      </c>
      <c r="L486">
        <v>-4.4021473983085591E-2</v>
      </c>
      <c r="M486">
        <v>-7.8905488701023208E-3</v>
      </c>
      <c r="N486">
        <v>-1.8937307951713556E-2</v>
      </c>
      <c r="O486">
        <v>-8.8979314579077373E-3</v>
      </c>
      <c r="P486">
        <v>3.9971396478501675E-2</v>
      </c>
      <c r="Q486">
        <v>-2.6872363335556815E-2</v>
      </c>
      <c r="R486">
        <v>1.4070442939153049E-2</v>
      </c>
      <c r="S486">
        <v>1.1347376819123678E-2</v>
      </c>
      <c r="T486">
        <v>-3.2105724056353258E-3</v>
      </c>
      <c r="U486">
        <v>-5.0772403892136025E-3</v>
      </c>
      <c r="V486">
        <v>-7.2790268427868621E-2</v>
      </c>
      <c r="W486">
        <v>-7.63104571684734E-2</v>
      </c>
      <c r="X486">
        <v>-4.6945709142986625E-2</v>
      </c>
      <c r="Y486">
        <v>2.5563099427990177E-2</v>
      </c>
      <c r="Z486">
        <v>2.521536132687302E-2</v>
      </c>
      <c r="AA486">
        <v>4.3560931377830681E-3</v>
      </c>
      <c r="AB486">
        <v>0.27074031813907762</v>
      </c>
      <c r="AC486">
        <v>-1.2962918623772746E-2</v>
      </c>
      <c r="AD486">
        <v>-1.4365653599915928E-3</v>
      </c>
      <c r="AE486">
        <v>-7.4115838552761992E-2</v>
      </c>
      <c r="AF486">
        <v>-2.9880988614094606E-2</v>
      </c>
      <c r="AG486">
        <v>-7.9166165661494092E-2</v>
      </c>
      <c r="AH486">
        <v>1.7088536437314505E-2</v>
      </c>
      <c r="AI486">
        <v>-3.6040987270388514E-2</v>
      </c>
      <c r="AJ486">
        <v>-6.4642989025287367E-2</v>
      </c>
      <c r="AK486">
        <v>1.3535164054037652E-3</v>
      </c>
      <c r="AL486">
        <v>-4.3588179136196559E-2</v>
      </c>
      <c r="AM486">
        <v>-5.9783045510064053E-2</v>
      </c>
      <c r="AN486">
        <v>2.6529323981170527E-2</v>
      </c>
      <c r="AO486">
        <v>6.4508048910351196E-2</v>
      </c>
      <c r="AP486">
        <v>1.5824011939242391E-2</v>
      </c>
      <c r="AQ486">
        <v>3.7850183082877978E-2</v>
      </c>
      <c r="AR486">
        <v>2.237185274275319E-2</v>
      </c>
      <c r="AS486">
        <v>2.0847648106652128E-2</v>
      </c>
      <c r="AT486">
        <v>-7.9869180607808621E-3</v>
      </c>
      <c r="AU486">
        <v>-5.8038821293303955E-2</v>
      </c>
    </row>
    <row r="487" spans="3:47" x14ac:dyDescent="0.2">
      <c r="C487" t="s">
        <v>26</v>
      </c>
      <c r="D487">
        <v>4.4982173840357742E-2</v>
      </c>
      <c r="E487">
        <v>5.3797896511030771E-3</v>
      </c>
      <c r="F487">
        <v>-1.8004884114099784E-2</v>
      </c>
      <c r="G487">
        <v>-1.3750291657439351E-2</v>
      </c>
      <c r="H487">
        <v>1.3707028376632235E-2</v>
      </c>
      <c r="I487">
        <v>-1.5233454165631655E-2</v>
      </c>
      <c r="J487">
        <v>-1.5550433917272066E-2</v>
      </c>
      <c r="K487">
        <v>6.0651878796372849E-2</v>
      </c>
      <c r="L487">
        <v>-1.5946640736815287E-2</v>
      </c>
      <c r="M487">
        <v>-4.5460957801241098E-2</v>
      </c>
      <c r="N487">
        <v>4.044515276413635E-2</v>
      </c>
      <c r="O487">
        <v>-8.7923474369329679E-3</v>
      </c>
      <c r="P487">
        <v>-1.4973223606064789E-2</v>
      </c>
      <c r="Q487">
        <v>2.5627212375834707E-2</v>
      </c>
      <c r="R487">
        <v>-1.5872229123674947E-2</v>
      </c>
      <c r="S487">
        <v>-3.9577900226972496E-4</v>
      </c>
      <c r="T487">
        <v>-6.4560305498687354E-2</v>
      </c>
      <c r="U487">
        <v>-1.5612353605246876E-2</v>
      </c>
      <c r="V487">
        <v>4.4865703934610479E-2</v>
      </c>
      <c r="W487">
        <v>7.4205856905165679E-3</v>
      </c>
      <c r="X487">
        <v>4.5353968834942415E-2</v>
      </c>
      <c r="Y487">
        <v>-2.0687643354841745E-2</v>
      </c>
      <c r="Z487">
        <v>-7.0313501298108871E-2</v>
      </c>
      <c r="AA487">
        <v>-4.0105508487936342E-2</v>
      </c>
      <c r="AB487">
        <v>-1.2962918623772746E-2</v>
      </c>
      <c r="AC487">
        <v>0.26461708695306196</v>
      </c>
      <c r="AD487">
        <v>2.0108866725372376E-3</v>
      </c>
      <c r="AE487">
        <v>-2.2709195044630981E-2</v>
      </c>
      <c r="AF487">
        <v>-8.6284979898288816E-2</v>
      </c>
      <c r="AG487">
        <v>1.3740230970860801E-2</v>
      </c>
      <c r="AH487">
        <v>-2.7794138516373468E-2</v>
      </c>
      <c r="AI487">
        <v>-9.1065133117710861E-2</v>
      </c>
      <c r="AJ487">
        <v>-7.8178476286422258E-2</v>
      </c>
      <c r="AK487">
        <v>-4.617951185220126E-3</v>
      </c>
      <c r="AL487">
        <v>2.6302826143737912E-2</v>
      </c>
      <c r="AM487">
        <v>7.7138400186721467E-5</v>
      </c>
      <c r="AN487">
        <v>9.2508066147773724E-2</v>
      </c>
      <c r="AO487">
        <v>-2.9113465477203948E-2</v>
      </c>
      <c r="AP487">
        <v>-4.4121356336895207E-2</v>
      </c>
      <c r="AQ487">
        <v>-9.6478342786481541E-3</v>
      </c>
      <c r="AR487">
        <v>-1.9427207085953579E-2</v>
      </c>
      <c r="AS487">
        <v>-4.7083383802903722E-2</v>
      </c>
      <c r="AT487">
        <v>9.9028301871640634E-3</v>
      </c>
      <c r="AU487">
        <v>4.939345220488342E-2</v>
      </c>
    </row>
    <row r="488" spans="3:47" x14ac:dyDescent="0.2">
      <c r="C488" t="s">
        <v>27</v>
      </c>
      <c r="D488">
        <v>-2.3066600133379855E-2</v>
      </c>
      <c r="E488">
        <v>-1.8056593657680142E-3</v>
      </c>
      <c r="F488">
        <v>-7.2672039782678832E-3</v>
      </c>
      <c r="G488">
        <v>2.6931242416374512E-2</v>
      </c>
      <c r="H488">
        <v>-7.6650235281497392E-3</v>
      </c>
      <c r="I488">
        <v>-2.7652480674231261E-2</v>
      </c>
      <c r="J488">
        <v>-1.8623846280495404E-2</v>
      </c>
      <c r="K488">
        <v>-3.9325740105453921E-2</v>
      </c>
      <c r="L488">
        <v>-2.9490343276340314E-2</v>
      </c>
      <c r="M488">
        <v>2.7082135843980781E-2</v>
      </c>
      <c r="N488">
        <v>-4.5329519963128728E-3</v>
      </c>
      <c r="O488">
        <v>1.5337969515620997E-2</v>
      </c>
      <c r="P488">
        <v>3.4084363204852253E-2</v>
      </c>
      <c r="Q488">
        <v>-1.4793944621458194E-2</v>
      </c>
      <c r="R488">
        <v>4.8843846255400281E-3</v>
      </c>
      <c r="S488">
        <v>-1.5124599099082814E-2</v>
      </c>
      <c r="T488">
        <v>-2.2862619498812853E-2</v>
      </c>
      <c r="U488">
        <v>-5.668233601198093E-2</v>
      </c>
      <c r="V488">
        <v>-3.451785104514693E-2</v>
      </c>
      <c r="W488">
        <v>-4.5537790000612088E-2</v>
      </c>
      <c r="X488">
        <v>4.6733824790187284E-2</v>
      </c>
      <c r="Y488">
        <v>-4.6769661405640428E-2</v>
      </c>
      <c r="Z488">
        <v>-5.003283081235671E-2</v>
      </c>
      <c r="AA488">
        <v>-3.6937564930344918E-2</v>
      </c>
      <c r="AB488">
        <v>-1.4365653599915928E-3</v>
      </c>
      <c r="AC488">
        <v>2.0108866725372376E-3</v>
      </c>
      <c r="AD488">
        <v>0.2358687354525052</v>
      </c>
      <c r="AE488">
        <v>-6.5227474222824267E-3</v>
      </c>
      <c r="AF488">
        <v>-3.7614828794595656E-2</v>
      </c>
      <c r="AG488">
        <v>6.1694087488994853E-4</v>
      </c>
      <c r="AH488">
        <v>9.0191238356346903E-3</v>
      </c>
      <c r="AI488">
        <v>-4.1617825081126103E-3</v>
      </c>
      <c r="AJ488">
        <v>2.7434508172042515E-2</v>
      </c>
      <c r="AK488">
        <v>-2.2489703293739116E-2</v>
      </c>
      <c r="AL488">
        <v>-4.1776678071305584E-2</v>
      </c>
      <c r="AM488">
        <v>-6.3574699085583275E-2</v>
      </c>
      <c r="AN488">
        <v>-7.8188917346747405E-2</v>
      </c>
      <c r="AO488">
        <v>4.3522367344830615E-2</v>
      </c>
      <c r="AP488">
        <v>2.7817606293430552E-2</v>
      </c>
      <c r="AQ488">
        <v>-4.2065743930736033E-2</v>
      </c>
      <c r="AR488">
        <v>-1.014229745680767E-2</v>
      </c>
      <c r="AS488">
        <v>5.288458352572778E-2</v>
      </c>
      <c r="AT488">
        <v>8.1282557112467207E-2</v>
      </c>
      <c r="AU488">
        <v>-2.9672046499218396E-4</v>
      </c>
    </row>
    <row r="489" spans="3:47" x14ac:dyDescent="0.2">
      <c r="C489" t="s">
        <v>28</v>
      </c>
      <c r="D489">
        <v>-2.2369526791703676E-2</v>
      </c>
      <c r="E489">
        <v>-6.8759083763811901E-3</v>
      </c>
      <c r="F489">
        <v>1.1347048283811556E-2</v>
      </c>
      <c r="G489">
        <v>1.9319556309950692E-2</v>
      </c>
      <c r="H489">
        <v>3.5038657010317997E-2</v>
      </c>
      <c r="I489">
        <v>-0.10584855859158482</v>
      </c>
      <c r="J489">
        <v>-2.9385201553336238E-2</v>
      </c>
      <c r="K489">
        <v>-7.5733315019570202E-2</v>
      </c>
      <c r="L489">
        <v>4.9030136028623827E-3</v>
      </c>
      <c r="M489">
        <v>-2.5634019209733516E-2</v>
      </c>
      <c r="N489">
        <v>5.6870879188244516E-2</v>
      </c>
      <c r="O489">
        <v>-1.5594529483627828E-2</v>
      </c>
      <c r="P489">
        <v>-1.4194505110501687E-2</v>
      </c>
      <c r="Q489">
        <v>9.0160162994492588E-3</v>
      </c>
      <c r="R489">
        <v>-2.3800132254467088E-2</v>
      </c>
      <c r="S489">
        <v>-4.9323885509972021E-3</v>
      </c>
      <c r="T489">
        <v>-4.6275154854068579E-2</v>
      </c>
      <c r="U489">
        <v>-3.9683515068402231E-2</v>
      </c>
      <c r="V489">
        <v>-3.6010014947961966E-3</v>
      </c>
      <c r="W489">
        <v>4.7439348348698562E-2</v>
      </c>
      <c r="X489">
        <v>5.9043245358690932E-2</v>
      </c>
      <c r="Y489">
        <v>-9.7267558593259473E-2</v>
      </c>
      <c r="Z489">
        <v>-5.356110094478847E-2</v>
      </c>
      <c r="AA489">
        <v>1.9515175918049927E-2</v>
      </c>
      <c r="AB489">
        <v>-7.4115838552761992E-2</v>
      </c>
      <c r="AC489">
        <v>-2.2709195044630981E-2</v>
      </c>
      <c r="AD489">
        <v>-6.5227474222824267E-3</v>
      </c>
      <c r="AE489">
        <v>0.25106152317166586</v>
      </c>
      <c r="AF489">
        <v>2.0352009524369885E-2</v>
      </c>
      <c r="AG489">
        <v>6.6156960862235326E-3</v>
      </c>
      <c r="AH489">
        <v>1.6014702702371875E-2</v>
      </c>
      <c r="AI489">
        <v>6.9127253954976431E-3</v>
      </c>
      <c r="AJ489">
        <v>6.507487480768076E-2</v>
      </c>
      <c r="AK489">
        <v>7.3423333437661609E-3</v>
      </c>
      <c r="AL489">
        <v>2.7560491274692789E-2</v>
      </c>
      <c r="AM489">
        <v>1.9477665899818392E-2</v>
      </c>
      <c r="AN489">
        <v>-4.0897094814037332E-2</v>
      </c>
      <c r="AO489">
        <v>-5.9047880191511859E-2</v>
      </c>
      <c r="AP489">
        <v>2.2787739951871111E-2</v>
      </c>
      <c r="AQ489">
        <v>3.5837967279258531E-2</v>
      </c>
      <c r="AR489">
        <v>1.6964827112495029E-4</v>
      </c>
      <c r="AS489">
        <v>-3.3031857860799319E-2</v>
      </c>
      <c r="AT489">
        <v>4.8385784397305925E-2</v>
      </c>
      <c r="AU489">
        <v>-3.090473972041724E-2</v>
      </c>
    </row>
    <row r="490" spans="3:47" x14ac:dyDescent="0.2">
      <c r="C490" t="s">
        <v>29</v>
      </c>
      <c r="D490">
        <v>-1.4407009068121507E-2</v>
      </c>
      <c r="E490">
        <v>3.8516517046839165E-2</v>
      </c>
      <c r="F490">
        <v>4.488407583404852E-2</v>
      </c>
      <c r="G490">
        <v>-1.5616701221167151E-2</v>
      </c>
      <c r="H490">
        <v>3.1734281475950477E-2</v>
      </c>
      <c r="I490">
        <v>-2.9789324531623362E-2</v>
      </c>
      <c r="J490">
        <v>-4.3733048584839118E-2</v>
      </c>
      <c r="K490">
        <v>-6.797524944473371E-2</v>
      </c>
      <c r="L490">
        <v>-9.6354257295276913E-3</v>
      </c>
      <c r="M490">
        <v>-3.3897619542100521E-2</v>
      </c>
      <c r="N490">
        <v>2.3553660590104331E-3</v>
      </c>
      <c r="O490">
        <v>-7.1686529678666733E-3</v>
      </c>
      <c r="P490">
        <v>-4.3716044695394862E-2</v>
      </c>
      <c r="Q490">
        <v>-6.0422692073614226E-2</v>
      </c>
      <c r="R490">
        <v>4.3293544427682323E-2</v>
      </c>
      <c r="S490">
        <v>5.3056687572916816E-2</v>
      </c>
      <c r="T490">
        <v>-1.6169720729733439E-4</v>
      </c>
      <c r="U490">
        <v>3.1952029449313996E-2</v>
      </c>
      <c r="V490">
        <v>-1.5261701040478332E-3</v>
      </c>
      <c r="W490">
        <v>8.0386288373615611E-4</v>
      </c>
      <c r="X490">
        <v>5.2587159295056918E-3</v>
      </c>
      <c r="Y490">
        <v>-6.3245847392333576E-2</v>
      </c>
      <c r="Z490">
        <v>-3.9476237231433065E-3</v>
      </c>
      <c r="AA490">
        <v>2.2423881956539937E-2</v>
      </c>
      <c r="AB490">
        <v>-2.9880988614094606E-2</v>
      </c>
      <c r="AC490">
        <v>-8.6284979898288816E-2</v>
      </c>
      <c r="AD490">
        <v>-3.7614828794595656E-2</v>
      </c>
      <c r="AE490">
        <v>2.0352009524369885E-2</v>
      </c>
      <c r="AF490">
        <v>0.22751444035876511</v>
      </c>
      <c r="AG490">
        <v>-4.6095863383945279E-2</v>
      </c>
      <c r="AH490">
        <v>-5.1673289365759489E-2</v>
      </c>
      <c r="AI490">
        <v>4.3641309957342521E-2</v>
      </c>
      <c r="AJ490">
        <v>7.4335313520156876E-2</v>
      </c>
      <c r="AK490">
        <v>5.6661508814623091E-2</v>
      </c>
      <c r="AL490">
        <v>6.1578834255808346E-2</v>
      </c>
      <c r="AM490">
        <v>-2.8245048482865548E-2</v>
      </c>
      <c r="AN490">
        <v>-4.2368857492040279E-2</v>
      </c>
      <c r="AO490">
        <v>1.8668035940499983E-2</v>
      </c>
      <c r="AP490">
        <v>3.2874983595528984E-2</v>
      </c>
      <c r="AQ490">
        <v>2.3173039588668121E-3</v>
      </c>
      <c r="AR490">
        <v>-6.1487855675892572E-3</v>
      </c>
      <c r="AS490">
        <v>8.4828377011878509E-3</v>
      </c>
      <c r="AT490">
        <v>2.6941320560081732E-2</v>
      </c>
      <c r="AU490">
        <v>-4.4055907027709784E-2</v>
      </c>
    </row>
    <row r="491" spans="3:47" x14ac:dyDescent="0.2">
      <c r="C491" t="s">
        <v>30</v>
      </c>
      <c r="D491">
        <v>5.6678537728706388E-2</v>
      </c>
      <c r="E491">
        <v>-3.5006750135577927E-2</v>
      </c>
      <c r="F491">
        <v>-2.0290867641438295E-2</v>
      </c>
      <c r="G491">
        <v>0.10383251525969228</v>
      </c>
      <c r="H491">
        <v>-1.0746621379494795E-2</v>
      </c>
      <c r="I491">
        <v>-9.6048986607457781E-3</v>
      </c>
      <c r="J491">
        <v>5.1450563156426543E-2</v>
      </c>
      <c r="K491">
        <v>-2.6836371520330249E-2</v>
      </c>
      <c r="L491">
        <v>3.9239644581551894E-3</v>
      </c>
      <c r="M491">
        <v>-5.0397680447448051E-2</v>
      </c>
      <c r="N491">
        <v>-1.3532458288430166E-2</v>
      </c>
      <c r="O491">
        <v>-5.4081084711691305E-2</v>
      </c>
      <c r="P491">
        <v>-4.5384228887035971E-3</v>
      </c>
      <c r="Q491">
        <v>-5.2331660975413807E-2</v>
      </c>
      <c r="R491">
        <v>1.4590760872001396E-3</v>
      </c>
      <c r="S491">
        <v>-1.7806832919373683E-3</v>
      </c>
      <c r="T491">
        <v>-7.3600253469591204E-3</v>
      </c>
      <c r="U491">
        <v>2.8855601680567167E-3</v>
      </c>
      <c r="V491">
        <v>1.2676296832533324E-2</v>
      </c>
      <c r="W491">
        <v>1.2142900515440674E-2</v>
      </c>
      <c r="X491">
        <v>2.4800768230901188E-2</v>
      </c>
      <c r="Y491">
        <v>4.2803777181758484E-2</v>
      </c>
      <c r="Z491">
        <v>1.5115973114231351E-2</v>
      </c>
      <c r="AA491">
        <v>-0.15525246029207179</v>
      </c>
      <c r="AB491">
        <v>-7.9166165661494092E-2</v>
      </c>
      <c r="AC491">
        <v>1.3740230970860801E-2</v>
      </c>
      <c r="AD491">
        <v>6.1694087488994853E-4</v>
      </c>
      <c r="AE491">
        <v>6.6156960862235326E-3</v>
      </c>
      <c r="AF491">
        <v>-4.6095863383945279E-2</v>
      </c>
      <c r="AG491">
        <v>0.32227956929074542</v>
      </c>
      <c r="AH491">
        <v>-3.2026005558104698E-2</v>
      </c>
      <c r="AI491">
        <v>2.8203108701559895E-2</v>
      </c>
      <c r="AJ491">
        <v>-3.2402620893147327E-2</v>
      </c>
      <c r="AK491">
        <v>-4.8564199197269314E-2</v>
      </c>
      <c r="AL491">
        <v>-3.2936925167575543E-2</v>
      </c>
      <c r="AM491">
        <v>-5.7307447243731546E-3</v>
      </c>
      <c r="AN491">
        <v>-5.2653647327259995E-2</v>
      </c>
      <c r="AO491">
        <v>-4.5049342029846257E-2</v>
      </c>
      <c r="AP491">
        <v>4.3893367134534844E-3</v>
      </c>
      <c r="AQ491">
        <v>5.3177532518297044E-3</v>
      </c>
      <c r="AR491">
        <v>0.11680402138274198</v>
      </c>
      <c r="AS491">
        <v>2.4214051246991442E-2</v>
      </c>
      <c r="AT491">
        <v>2.6024878473484864E-2</v>
      </c>
      <c r="AU491">
        <v>-8.1502395205859945E-2</v>
      </c>
    </row>
    <row r="492" spans="3:47" x14ac:dyDescent="0.2">
      <c r="C492" t="s">
        <v>31</v>
      </c>
      <c r="D492">
        <v>-5.1059257682373904E-2</v>
      </c>
      <c r="E492">
        <v>2.3563388618803263E-2</v>
      </c>
      <c r="F492">
        <v>3.1232532134061478E-2</v>
      </c>
      <c r="G492">
        <v>-9.8455387701881503E-3</v>
      </c>
      <c r="H492">
        <v>-8.5080729109574343E-2</v>
      </c>
      <c r="I492">
        <v>5.4564077575759096E-2</v>
      </c>
      <c r="J492">
        <v>-8.313185319486549E-3</v>
      </c>
      <c r="K492">
        <v>4.6614297471107458E-2</v>
      </c>
      <c r="L492">
        <v>3.135411829018056E-2</v>
      </c>
      <c r="M492">
        <v>1.9228186958859195E-2</v>
      </c>
      <c r="N492">
        <v>1.0188850472767338E-2</v>
      </c>
      <c r="O492">
        <v>-2.6377191336349193E-3</v>
      </c>
      <c r="P492">
        <v>6.2555221332975808E-2</v>
      </c>
      <c r="Q492">
        <v>6.5964791186834293E-2</v>
      </c>
      <c r="R492">
        <v>-1.3439672278698911E-2</v>
      </c>
      <c r="S492">
        <v>-4.5398008398725487E-2</v>
      </c>
      <c r="T492">
        <v>-3.5231477546840112E-2</v>
      </c>
      <c r="U492">
        <v>-0.11635890278736188</v>
      </c>
      <c r="V492">
        <v>-2.1242235686630695E-3</v>
      </c>
      <c r="W492">
        <v>9.2926774436629112E-3</v>
      </c>
      <c r="X492">
        <v>-6.9549683513592253E-4</v>
      </c>
      <c r="Y492">
        <v>-0.13755164874809478</v>
      </c>
      <c r="Z492">
        <v>1.5119726978311598E-2</v>
      </c>
      <c r="AA492">
        <v>-2.4211118904394008E-2</v>
      </c>
      <c r="AB492">
        <v>1.7088536437314505E-2</v>
      </c>
      <c r="AC492">
        <v>-2.7794138516373468E-2</v>
      </c>
      <c r="AD492">
        <v>9.0191238356346903E-3</v>
      </c>
      <c r="AE492">
        <v>1.6014702702371875E-2</v>
      </c>
      <c r="AF492">
        <v>-5.1673289365759489E-2</v>
      </c>
      <c r="AG492">
        <v>-3.2026005558104698E-2</v>
      </c>
      <c r="AH492">
        <v>0.34703900334098403</v>
      </c>
      <c r="AI492">
        <v>5.0243282440499804E-2</v>
      </c>
      <c r="AJ492">
        <v>-9.1787538326070228E-2</v>
      </c>
      <c r="AK492">
        <v>-7.2265051111431167E-2</v>
      </c>
      <c r="AL492">
        <v>-8.7615140171539374E-2</v>
      </c>
      <c r="AM492">
        <v>4.7667993180539596E-2</v>
      </c>
      <c r="AN492">
        <v>9.4813135456428999E-2</v>
      </c>
      <c r="AO492">
        <v>2.6172875995010392E-2</v>
      </c>
      <c r="AP492">
        <v>-1.2833321319742325E-2</v>
      </c>
      <c r="AQ492">
        <v>1.5664446838515367E-2</v>
      </c>
      <c r="AR492">
        <v>-2.8066869412500389E-3</v>
      </c>
      <c r="AS492">
        <v>-1.9939667852326037E-2</v>
      </c>
      <c r="AT492">
        <v>-5.0888010124441732E-2</v>
      </c>
      <c r="AU492">
        <v>-4.638307217829124E-3</v>
      </c>
    </row>
    <row r="493" spans="3:47" x14ac:dyDescent="0.2">
      <c r="C493" t="s">
        <v>32</v>
      </c>
      <c r="D493">
        <v>-1.0766712418659785E-2</v>
      </c>
      <c r="E493">
        <v>-8.5090850116393835E-2</v>
      </c>
      <c r="F493">
        <v>-3.0479479109321417E-2</v>
      </c>
      <c r="G493">
        <v>-2.1422306146507919E-2</v>
      </c>
      <c r="H493">
        <v>-4.7437002459958633E-2</v>
      </c>
      <c r="I493">
        <v>5.5343246224756837E-2</v>
      </c>
      <c r="J493">
        <v>9.2782844659787866E-2</v>
      </c>
      <c r="K493">
        <v>-4.5135945221852491E-2</v>
      </c>
      <c r="L493">
        <v>-5.7039333303744444E-3</v>
      </c>
      <c r="M493">
        <v>-2.6309232695986673E-2</v>
      </c>
      <c r="N493">
        <v>-2.3256959670280686E-2</v>
      </c>
      <c r="O493">
        <v>5.2149768200993041E-4</v>
      </c>
      <c r="P493">
        <v>4.4144959298525327E-2</v>
      </c>
      <c r="Q493">
        <v>6.3940860053503773E-2</v>
      </c>
      <c r="R493">
        <v>1.6227378010125554E-2</v>
      </c>
      <c r="S493">
        <v>-2.3216734985249288E-2</v>
      </c>
      <c r="T493">
        <v>4.4776407119657746E-2</v>
      </c>
      <c r="U493">
        <v>-6.2408809796825337E-3</v>
      </c>
      <c r="V493">
        <v>-2.6023971791275746E-2</v>
      </c>
      <c r="W493">
        <v>-4.3381576709648928E-2</v>
      </c>
      <c r="X493">
        <v>-1.9828673492094051E-2</v>
      </c>
      <c r="Y493">
        <v>-2.7656391914072265E-2</v>
      </c>
      <c r="Z493">
        <v>-2.3283957995965276E-2</v>
      </c>
      <c r="AA493">
        <v>1.7177223834363875E-2</v>
      </c>
      <c r="AB493">
        <v>-3.6040987270388514E-2</v>
      </c>
      <c r="AC493">
        <v>-9.1065133117710861E-2</v>
      </c>
      <c r="AD493">
        <v>-4.1617825081126103E-3</v>
      </c>
      <c r="AE493">
        <v>6.9127253954976431E-3</v>
      </c>
      <c r="AF493">
        <v>4.3641309957342521E-2</v>
      </c>
      <c r="AG493">
        <v>2.8203108701559895E-2</v>
      </c>
      <c r="AH493">
        <v>5.0243282440499804E-2</v>
      </c>
      <c r="AI493">
        <v>0.32682103825392084</v>
      </c>
      <c r="AJ493">
        <v>-2.7640681047769733E-3</v>
      </c>
      <c r="AK493">
        <v>-0.13076424494610167</v>
      </c>
      <c r="AL493">
        <v>-8.2741611536579995E-2</v>
      </c>
      <c r="AM493">
        <v>5.0407223879136875E-2</v>
      </c>
      <c r="AN493">
        <v>-0.10099282977967663</v>
      </c>
      <c r="AO493">
        <v>8.5616201272660078E-2</v>
      </c>
      <c r="AP493">
        <v>-4.283460046697872E-2</v>
      </c>
      <c r="AQ493">
        <v>1.8294613117851577E-4</v>
      </c>
      <c r="AR493">
        <v>9.0351485424185418E-2</v>
      </c>
      <c r="AS493">
        <v>-1.8336296561188514E-2</v>
      </c>
      <c r="AT493">
        <v>6.6631168157602616E-3</v>
      </c>
      <c r="AU493">
        <v>8.213705422271983E-3</v>
      </c>
    </row>
    <row r="494" spans="3:47" x14ac:dyDescent="0.2">
      <c r="C494" t="s">
        <v>33</v>
      </c>
      <c r="D494">
        <v>-6.4048340314369456E-2</v>
      </c>
      <c r="E494">
        <v>5.1672251701092575E-3</v>
      </c>
      <c r="F494">
        <v>-1.675196770350082E-2</v>
      </c>
      <c r="G494">
        <v>-6.3431649627397724E-2</v>
      </c>
      <c r="H494">
        <v>1.1197657408826611E-2</v>
      </c>
      <c r="I494">
        <v>-7.9278209017293849E-2</v>
      </c>
      <c r="J494">
        <v>-4.9434731820689304E-2</v>
      </c>
      <c r="K494">
        <v>-6.0862585612621367E-2</v>
      </c>
      <c r="L494">
        <v>3.9520501875395742E-2</v>
      </c>
      <c r="M494">
        <v>9.9647089084250184E-2</v>
      </c>
      <c r="N494">
        <v>4.1175292968058302E-2</v>
      </c>
      <c r="O494">
        <v>7.2676455705517784E-2</v>
      </c>
      <c r="P494">
        <v>-2.7629305829276279E-2</v>
      </c>
      <c r="Q494">
        <v>-4.4562092488091204E-2</v>
      </c>
      <c r="R494">
        <v>1.2252632715853709E-2</v>
      </c>
      <c r="S494">
        <v>1.7347597267401885E-2</v>
      </c>
      <c r="T494">
        <v>4.0115316135745281E-2</v>
      </c>
      <c r="U494">
        <v>-5.622777337907392E-3</v>
      </c>
      <c r="V494">
        <v>-3.791221212594309E-2</v>
      </c>
      <c r="W494">
        <v>1.9016867682998637E-2</v>
      </c>
      <c r="X494">
        <v>9.3708458647113746E-3</v>
      </c>
      <c r="Y494">
        <v>-1.2951935935286762E-2</v>
      </c>
      <c r="Z494">
        <v>7.6435729552104203E-2</v>
      </c>
      <c r="AA494">
        <v>6.3657981560800242E-2</v>
      </c>
      <c r="AB494">
        <v>-6.4642989025287367E-2</v>
      </c>
      <c r="AC494">
        <v>-7.8178476286422258E-2</v>
      </c>
      <c r="AD494">
        <v>2.7434508172042515E-2</v>
      </c>
      <c r="AE494">
        <v>6.507487480768076E-2</v>
      </c>
      <c r="AF494">
        <v>7.4335313520156876E-2</v>
      </c>
      <c r="AG494">
        <v>-3.2402620893147327E-2</v>
      </c>
      <c r="AH494">
        <v>-9.1787538326070228E-2</v>
      </c>
      <c r="AI494">
        <v>-2.7640681047769733E-3</v>
      </c>
      <c r="AJ494">
        <v>0.25315186775504162</v>
      </c>
      <c r="AK494">
        <v>-6.1281759810958292E-3</v>
      </c>
      <c r="AL494">
        <v>-2.1302899651364449E-2</v>
      </c>
      <c r="AM494">
        <v>-1.5444534422179051E-2</v>
      </c>
      <c r="AN494">
        <v>-5.9616544651864833E-2</v>
      </c>
      <c r="AO494">
        <v>-5.1677225100694307E-2</v>
      </c>
      <c r="AP494">
        <v>3.0617558463740757E-2</v>
      </c>
      <c r="AQ494">
        <v>-7.6030816398067746E-4</v>
      </c>
      <c r="AR494">
        <v>-2.9093320618612376E-2</v>
      </c>
      <c r="AS494">
        <v>-2.0601333113648063E-2</v>
      </c>
      <c r="AT494">
        <v>7.6174905022950351E-2</v>
      </c>
      <c r="AU494">
        <v>-1.9178575935416886E-2</v>
      </c>
    </row>
    <row r="495" spans="3:47" x14ac:dyDescent="0.2">
      <c r="C495" t="s">
        <v>34</v>
      </c>
      <c r="D495">
        <v>-3.0416860428456732E-2</v>
      </c>
      <c r="E495">
        <v>4.9701084723875022E-2</v>
      </c>
      <c r="F495">
        <v>9.5239078732759275E-2</v>
      </c>
      <c r="G495">
        <v>6.1043146548533933E-4</v>
      </c>
      <c r="H495">
        <v>1.9493097008726645E-2</v>
      </c>
      <c r="I495">
        <v>-2.0973633087791876E-2</v>
      </c>
      <c r="J495">
        <v>-6.3137200553709472E-2</v>
      </c>
      <c r="K495">
        <v>-1.0214885651145256E-3</v>
      </c>
      <c r="L495">
        <v>-1.0214724257276264E-2</v>
      </c>
      <c r="M495">
        <v>-1.8685379311418393E-2</v>
      </c>
      <c r="N495">
        <v>-1.9663959790022778E-3</v>
      </c>
      <c r="O495">
        <v>-3.1765846433650657E-3</v>
      </c>
      <c r="P495">
        <v>-4.4662385891835521E-2</v>
      </c>
      <c r="Q495">
        <v>-5.2619132772246974E-2</v>
      </c>
      <c r="R495">
        <v>1.8525667573118354E-2</v>
      </c>
      <c r="S495">
        <v>-9.6206595919690052E-4</v>
      </c>
      <c r="T495">
        <v>-1.4442053445152037E-2</v>
      </c>
      <c r="U495">
        <v>3.326220770761118E-2</v>
      </c>
      <c r="V495">
        <v>1.1465813420110271E-2</v>
      </c>
      <c r="W495">
        <v>1.8560301458077022E-2</v>
      </c>
      <c r="X495">
        <v>4.6849462209664072E-2</v>
      </c>
      <c r="Y495">
        <v>3.3704811253588707E-3</v>
      </c>
      <c r="Z495">
        <v>-1.4093493032126869E-2</v>
      </c>
      <c r="AA495">
        <v>-3.9720868754116873E-3</v>
      </c>
      <c r="AB495">
        <v>1.3535164054037652E-3</v>
      </c>
      <c r="AC495">
        <v>-4.617951185220126E-3</v>
      </c>
      <c r="AD495">
        <v>-2.2489703293739116E-2</v>
      </c>
      <c r="AE495">
        <v>7.3423333437661609E-3</v>
      </c>
      <c r="AF495">
        <v>5.6661508814623091E-2</v>
      </c>
      <c r="AG495">
        <v>-4.8564199197269314E-2</v>
      </c>
      <c r="AH495">
        <v>-7.2265051111431167E-2</v>
      </c>
      <c r="AI495">
        <v>-0.13076424494610167</v>
      </c>
      <c r="AJ495">
        <v>-6.1281759810958292E-3</v>
      </c>
      <c r="AK495">
        <v>0.20210187169658178</v>
      </c>
      <c r="AL495">
        <v>3.1617334946803077E-2</v>
      </c>
      <c r="AM495">
        <v>1.7865976056081367E-2</v>
      </c>
      <c r="AN495">
        <v>2.8488574933722338E-2</v>
      </c>
      <c r="AO495">
        <v>-4.2423931747283011E-2</v>
      </c>
      <c r="AP495">
        <v>3.195529668175226E-2</v>
      </c>
      <c r="AQ495">
        <v>8.3415117654886406E-3</v>
      </c>
      <c r="AR495">
        <v>-9.8089273915395792E-2</v>
      </c>
      <c r="AS495">
        <v>3.6949240911630321E-2</v>
      </c>
      <c r="AT495">
        <v>-2.1213260613627827E-2</v>
      </c>
      <c r="AU495">
        <v>1.2039985783883489E-2</v>
      </c>
    </row>
    <row r="496" spans="3:47" x14ac:dyDescent="0.2">
      <c r="C496" t="s">
        <v>35</v>
      </c>
      <c r="D496">
        <v>2.8932972236647259E-2</v>
      </c>
      <c r="E496">
        <v>5.9709298123571355E-2</v>
      </c>
      <c r="F496">
        <v>4.9383870188570753E-2</v>
      </c>
      <c r="G496">
        <v>-1.2500232856672011E-3</v>
      </c>
      <c r="H496">
        <v>6.0617923516943339E-2</v>
      </c>
      <c r="I496">
        <v>-6.9347291356217589E-2</v>
      </c>
      <c r="J496">
        <v>-3.2391664109746199E-2</v>
      </c>
      <c r="K496">
        <v>-3.2997142970631388E-2</v>
      </c>
      <c r="L496">
        <v>-2.8268569004956445E-2</v>
      </c>
      <c r="M496">
        <v>-3.9375997192176548E-2</v>
      </c>
      <c r="N496">
        <v>3.776805211814982E-2</v>
      </c>
      <c r="O496">
        <v>-3.2324672250613362E-2</v>
      </c>
      <c r="P496">
        <v>-5.5727937658028859E-3</v>
      </c>
      <c r="Q496">
        <v>-4.6455423554678424E-2</v>
      </c>
      <c r="R496">
        <v>-2.3416288435848337E-2</v>
      </c>
      <c r="S496">
        <v>-1.2080529635354109E-2</v>
      </c>
      <c r="T496">
        <v>1.1014355590774183E-2</v>
      </c>
      <c r="U496">
        <v>4.306877368434843E-2</v>
      </c>
      <c r="V496">
        <v>4.0244342461421168E-2</v>
      </c>
      <c r="W496">
        <v>1.3810111313303786E-2</v>
      </c>
      <c r="X496">
        <v>2.1453703003646213E-2</v>
      </c>
      <c r="Y496">
        <v>3.6354287722082157E-2</v>
      </c>
      <c r="Z496">
        <v>-4.9980046745390971E-2</v>
      </c>
      <c r="AA496">
        <v>2.2537444965591874E-2</v>
      </c>
      <c r="AB496">
        <v>-4.3588179136196559E-2</v>
      </c>
      <c r="AC496">
        <v>2.6302826143737912E-2</v>
      </c>
      <c r="AD496">
        <v>-4.1776678071305584E-2</v>
      </c>
      <c r="AE496">
        <v>2.7560491274692789E-2</v>
      </c>
      <c r="AF496">
        <v>6.1578834255808346E-2</v>
      </c>
      <c r="AG496">
        <v>-3.2936925167575543E-2</v>
      </c>
      <c r="AH496">
        <v>-8.7615140171539374E-2</v>
      </c>
      <c r="AI496">
        <v>-8.2741611536579995E-2</v>
      </c>
      <c r="AJ496">
        <v>-2.1302899651364449E-2</v>
      </c>
      <c r="AK496">
        <v>3.1617334946803077E-2</v>
      </c>
      <c r="AL496">
        <v>0.21486813543306693</v>
      </c>
      <c r="AM496">
        <v>-9.6767938164146972E-2</v>
      </c>
      <c r="AN496">
        <v>-1.4538131676082366E-2</v>
      </c>
      <c r="AO496">
        <v>-4.4425676156477689E-2</v>
      </c>
      <c r="AP496">
        <v>5.1690156733549542E-3</v>
      </c>
      <c r="AQ496">
        <v>2.5360213438928469E-2</v>
      </c>
      <c r="AR496">
        <v>-3.0088273742566007E-2</v>
      </c>
      <c r="AS496">
        <v>-2.1222204436120995E-3</v>
      </c>
      <c r="AT496">
        <v>1.4623398934351717E-2</v>
      </c>
      <c r="AU496">
        <v>3.7189766858589129E-2</v>
      </c>
    </row>
    <row r="497" spans="3:47" x14ac:dyDescent="0.2">
      <c r="C497" t="s">
        <v>36</v>
      </c>
      <c r="D497">
        <v>-8.2273820348481741E-2</v>
      </c>
      <c r="E497">
        <v>-1.8011554369187055E-2</v>
      </c>
      <c r="F497">
        <v>2.2974574710209056E-2</v>
      </c>
      <c r="G497">
        <v>-6.6425409990099438E-2</v>
      </c>
      <c r="H497">
        <v>-1.7429697271342248E-2</v>
      </c>
      <c r="I497">
        <v>1.9650833186261984E-2</v>
      </c>
      <c r="J497">
        <v>-7.2779427030994492E-3</v>
      </c>
      <c r="K497">
        <v>1.5972920980764083E-3</v>
      </c>
      <c r="L497">
        <v>5.1722581556959579E-2</v>
      </c>
      <c r="M497">
        <v>-1.3979867214748309E-2</v>
      </c>
      <c r="N497">
        <v>-2.1540404735528262E-2</v>
      </c>
      <c r="O497">
        <v>2.0612172997899469E-2</v>
      </c>
      <c r="P497">
        <v>-2.4210040735983818E-2</v>
      </c>
      <c r="Q497">
        <v>0.11430450503342908</v>
      </c>
      <c r="R497">
        <v>-2.7086674700897706E-4</v>
      </c>
      <c r="S497">
        <v>5.5906648629160324E-2</v>
      </c>
      <c r="T497">
        <v>-1.7230489840191855E-2</v>
      </c>
      <c r="U497">
        <v>9.1649598850211178E-2</v>
      </c>
      <c r="V497">
        <v>7.2369963233522822E-2</v>
      </c>
      <c r="W497">
        <v>6.4005008151285847E-2</v>
      </c>
      <c r="X497">
        <v>-5.2133161516079392E-2</v>
      </c>
      <c r="Y497">
        <v>-2.3796724878132707E-2</v>
      </c>
      <c r="Z497">
        <v>-3.5191350884565265E-3</v>
      </c>
      <c r="AA497">
        <v>-4.1986939216827751E-2</v>
      </c>
      <c r="AB497">
        <v>-5.9783045510064053E-2</v>
      </c>
      <c r="AC497">
        <v>7.7138400186721467E-5</v>
      </c>
      <c r="AD497">
        <v>-6.3574699085583275E-2</v>
      </c>
      <c r="AE497">
        <v>1.9477665899818392E-2</v>
      </c>
      <c r="AF497">
        <v>-2.8245048482865548E-2</v>
      </c>
      <c r="AG497">
        <v>-5.7307447243731546E-3</v>
      </c>
      <c r="AH497">
        <v>4.7667993180539596E-2</v>
      </c>
      <c r="AI497">
        <v>5.0407223879136875E-2</v>
      </c>
      <c r="AJ497">
        <v>-1.5444534422179051E-2</v>
      </c>
      <c r="AK497">
        <v>1.7865976056081367E-2</v>
      </c>
      <c r="AL497">
        <v>-9.6767938164146972E-2</v>
      </c>
      <c r="AM497">
        <v>0.28315883590169655</v>
      </c>
      <c r="AN497">
        <v>6.3895906102861999E-2</v>
      </c>
      <c r="AO497">
        <v>-4.4362000626093009E-2</v>
      </c>
      <c r="AP497">
        <v>-6.4269965484390346E-3</v>
      </c>
      <c r="AQ497">
        <v>-1.0969700706876636E-2</v>
      </c>
      <c r="AR497">
        <v>-4.347335011436132E-2</v>
      </c>
      <c r="AS497">
        <v>-6.5601929916212831E-2</v>
      </c>
      <c r="AT497">
        <v>-0.10320987229577394</v>
      </c>
      <c r="AU497">
        <v>3.354935961974248E-2</v>
      </c>
    </row>
    <row r="498" spans="3:47" x14ac:dyDescent="0.2">
      <c r="C498" t="s">
        <v>37</v>
      </c>
      <c r="D498">
        <v>-6.9887157086017893E-2</v>
      </c>
      <c r="E498">
        <v>-4.6864487035344127E-2</v>
      </c>
      <c r="F498">
        <v>2.610016578041488E-2</v>
      </c>
      <c r="G498">
        <v>-5.9326650228685912E-2</v>
      </c>
      <c r="H498">
        <v>7.1615072305763139E-2</v>
      </c>
      <c r="I498">
        <v>6.9842595030908838E-2</v>
      </c>
      <c r="J498">
        <v>-3.4341790217709722E-2</v>
      </c>
      <c r="K498">
        <v>8.1975684499886195E-2</v>
      </c>
      <c r="L498">
        <v>5.7944188611839503E-2</v>
      </c>
      <c r="M498">
        <v>-6.3612121510215336E-3</v>
      </c>
      <c r="N498">
        <v>3.7658908111396938E-2</v>
      </c>
      <c r="O498">
        <v>-8.041314420925566E-4</v>
      </c>
      <c r="P498">
        <v>-2.7850017929485063E-2</v>
      </c>
      <c r="Q498">
        <v>6.2443557778481984E-2</v>
      </c>
      <c r="R498">
        <v>-4.2138909678716197E-2</v>
      </c>
      <c r="S498">
        <v>9.5087171066176424E-2</v>
      </c>
      <c r="T498">
        <v>-0.10368873816246121</v>
      </c>
      <c r="U498">
        <v>1.0730933095483272E-2</v>
      </c>
      <c r="V498">
        <v>4.3915188596243299E-2</v>
      </c>
      <c r="W498">
        <v>1.2119803420059888E-2</v>
      </c>
      <c r="X498">
        <v>1.0703721238965597E-2</v>
      </c>
      <c r="Y498">
        <v>-6.6440514452600546E-2</v>
      </c>
      <c r="Z498">
        <v>1.6602097487286624E-2</v>
      </c>
      <c r="AA498">
        <v>-6.6820400596898658E-2</v>
      </c>
      <c r="AB498">
        <v>2.6529323981170527E-2</v>
      </c>
      <c r="AC498">
        <v>9.2508066147773724E-2</v>
      </c>
      <c r="AD498">
        <v>-7.8188917346747405E-2</v>
      </c>
      <c r="AE498">
        <v>-4.0897094814037332E-2</v>
      </c>
      <c r="AF498">
        <v>-4.2368857492040279E-2</v>
      </c>
      <c r="AG498">
        <v>-5.2653647327259995E-2</v>
      </c>
      <c r="AH498">
        <v>9.4813135456428999E-2</v>
      </c>
      <c r="AI498">
        <v>-0.10099282977967663</v>
      </c>
      <c r="AJ498">
        <v>-5.9616544651864833E-2</v>
      </c>
      <c r="AK498">
        <v>2.8488574933722338E-2</v>
      </c>
      <c r="AL498">
        <v>-1.4538131676082366E-2</v>
      </c>
      <c r="AM498">
        <v>6.3895906102861999E-2</v>
      </c>
      <c r="AN498">
        <v>0.4126745224737437</v>
      </c>
      <c r="AO498">
        <v>-5.6560396280789405E-2</v>
      </c>
      <c r="AP498">
        <v>-6.2373727581759075E-2</v>
      </c>
      <c r="AQ498">
        <v>-3.2978497268337792E-2</v>
      </c>
      <c r="AR498">
        <v>-8.2219598759017271E-2</v>
      </c>
      <c r="AS498">
        <v>-5.698026645077825E-2</v>
      </c>
      <c r="AT498">
        <v>-0.13023111520284081</v>
      </c>
      <c r="AU498">
        <v>-3.6174509266098942E-2</v>
      </c>
    </row>
    <row r="499" spans="3:47" x14ac:dyDescent="0.2">
      <c r="C499" t="s">
        <v>38</v>
      </c>
      <c r="D499">
        <v>7.0879999515929548E-3</v>
      </c>
      <c r="E499">
        <v>-4.2942130239382537E-2</v>
      </c>
      <c r="F499">
        <v>-8.4666672856237857E-3</v>
      </c>
      <c r="G499">
        <v>2.3090542952676929E-2</v>
      </c>
      <c r="H499">
        <v>-3.9229860183077059E-2</v>
      </c>
      <c r="I499">
        <v>6.5414307730161242E-2</v>
      </c>
      <c r="J499">
        <v>2.4880118215290709E-2</v>
      </c>
      <c r="K499">
        <v>7.6801552885346652E-2</v>
      </c>
      <c r="L499">
        <v>-3.3770135413160818E-2</v>
      </c>
      <c r="M499">
        <v>2.1919782827942241E-2</v>
      </c>
      <c r="N499">
        <v>-4.6725047397829761E-2</v>
      </c>
      <c r="O499">
        <v>1.6930105667062434E-2</v>
      </c>
      <c r="P499">
        <v>-1.8371101402159223E-2</v>
      </c>
      <c r="Q499">
        <v>-4.1047236930903674E-3</v>
      </c>
      <c r="R499">
        <v>4.4042021003506598E-2</v>
      </c>
      <c r="S499">
        <v>-2.1355284621308895E-2</v>
      </c>
      <c r="T499">
        <v>3.8365818149577832E-2</v>
      </c>
      <c r="U499">
        <v>-9.5445292399553572E-2</v>
      </c>
      <c r="V499">
        <v>-3.7016090668780699E-2</v>
      </c>
      <c r="W499">
        <v>-1.6461232412885871E-2</v>
      </c>
      <c r="X499">
        <v>5.1601658554159546E-3</v>
      </c>
      <c r="Y499">
        <v>-5.1963475557969707E-2</v>
      </c>
      <c r="Z499">
        <v>-3.2846393613173833E-2</v>
      </c>
      <c r="AA499">
        <v>1.4478471440924956E-2</v>
      </c>
      <c r="AB499">
        <v>6.4508048910351196E-2</v>
      </c>
      <c r="AC499">
        <v>-2.9113465477203948E-2</v>
      </c>
      <c r="AD499">
        <v>4.3522367344830615E-2</v>
      </c>
      <c r="AE499">
        <v>-5.9047880191511859E-2</v>
      </c>
      <c r="AF499">
        <v>1.8668035940499983E-2</v>
      </c>
      <c r="AG499">
        <v>-4.5049342029846257E-2</v>
      </c>
      <c r="AH499">
        <v>2.6172875995010392E-2</v>
      </c>
      <c r="AI499">
        <v>8.5616201272660078E-2</v>
      </c>
      <c r="AJ499">
        <v>-5.1677225100694307E-2</v>
      </c>
      <c r="AK499">
        <v>-4.2423931747283011E-2</v>
      </c>
      <c r="AL499">
        <v>-4.4425676156477689E-2</v>
      </c>
      <c r="AM499">
        <v>-4.4362000626093009E-2</v>
      </c>
      <c r="AN499">
        <v>-5.6560396280789405E-2</v>
      </c>
      <c r="AO499">
        <v>0.26348512597431561</v>
      </c>
      <c r="AP499">
        <v>-3.4450542813265761E-2</v>
      </c>
      <c r="AQ499">
        <v>-0.119648377460158</v>
      </c>
      <c r="AR499">
        <v>-6.6956446031754269E-3</v>
      </c>
      <c r="AS499">
        <v>6.1263916563867211E-2</v>
      </c>
      <c r="AT499">
        <v>3.5360984297831563E-2</v>
      </c>
      <c r="AU499">
        <v>-1.1224413450891119E-2</v>
      </c>
    </row>
    <row r="500" spans="3:47" x14ac:dyDescent="0.2">
      <c r="C500" t="s">
        <v>39</v>
      </c>
      <c r="D500">
        <v>-2.4600538471930888E-2</v>
      </c>
      <c r="E500">
        <v>5.7843403543472588E-2</v>
      </c>
      <c r="F500">
        <v>-4.8068365346343261E-2</v>
      </c>
      <c r="G500">
        <v>2.2478791914495283E-2</v>
      </c>
      <c r="H500">
        <v>2.7583089676488537E-2</v>
      </c>
      <c r="I500">
        <v>-4.8765774528819944E-2</v>
      </c>
      <c r="J500">
        <v>-1.7525646612353285E-2</v>
      </c>
      <c r="K500">
        <v>-3.3894503970130496E-2</v>
      </c>
      <c r="L500">
        <v>-4.9907029801095626E-3</v>
      </c>
      <c r="M500">
        <v>5.2754275029623598E-2</v>
      </c>
      <c r="N500">
        <v>-1.6060093649717722E-2</v>
      </c>
      <c r="O500">
        <v>-1.5949849538190453E-3</v>
      </c>
      <c r="P500">
        <v>-2.7180149845960677E-2</v>
      </c>
      <c r="Q500">
        <v>-7.5292639474203671E-2</v>
      </c>
      <c r="R500">
        <v>1.3386128346864479E-2</v>
      </c>
      <c r="S500">
        <v>5.1134746208853415E-2</v>
      </c>
      <c r="T500">
        <v>1.3221418680067959E-2</v>
      </c>
      <c r="U500">
        <v>-4.6202308398690661E-5</v>
      </c>
      <c r="V500">
        <v>-2.160982395676192E-2</v>
      </c>
      <c r="W500">
        <v>3.5217247480881661E-2</v>
      </c>
      <c r="X500">
        <v>-3.3235247140526003E-2</v>
      </c>
      <c r="Y500">
        <v>-8.3151895636709272E-2</v>
      </c>
      <c r="Z500">
        <v>5.1390667779377619E-2</v>
      </c>
      <c r="AA500">
        <v>-3.1610951432211459E-3</v>
      </c>
      <c r="AB500">
        <v>1.5824011939242391E-2</v>
      </c>
      <c r="AC500">
        <v>-4.4121356336895207E-2</v>
      </c>
      <c r="AD500">
        <v>2.7817606293430552E-2</v>
      </c>
      <c r="AE500">
        <v>2.2787739951871111E-2</v>
      </c>
      <c r="AF500">
        <v>3.2874983595528984E-2</v>
      </c>
      <c r="AG500">
        <v>4.3893367134534844E-3</v>
      </c>
      <c r="AH500">
        <v>-1.2833321319742325E-2</v>
      </c>
      <c r="AI500">
        <v>-4.283460046697872E-2</v>
      </c>
      <c r="AJ500">
        <v>3.0617558463740757E-2</v>
      </c>
      <c r="AK500">
        <v>3.195529668175226E-2</v>
      </c>
      <c r="AL500">
        <v>5.1690156733549542E-3</v>
      </c>
      <c r="AM500">
        <v>-6.4269965484390346E-3</v>
      </c>
      <c r="AN500">
        <v>-6.2373727581759075E-2</v>
      </c>
      <c r="AO500">
        <v>-3.4450542813265761E-2</v>
      </c>
      <c r="AP500">
        <v>0.20934831412749744</v>
      </c>
      <c r="AQ500">
        <v>-5.1850869051516479E-2</v>
      </c>
      <c r="AR500">
        <v>-6.5376487601865096E-2</v>
      </c>
      <c r="AS500">
        <v>2.8699711834647802E-2</v>
      </c>
      <c r="AT500">
        <v>1.8198409308438482E-2</v>
      </c>
      <c r="AU500">
        <v>-3.9846277628206112E-2</v>
      </c>
    </row>
    <row r="501" spans="3:47" x14ac:dyDescent="0.2">
      <c r="C501" t="s">
        <v>40</v>
      </c>
      <c r="D501">
        <v>3.1314030069058002E-2</v>
      </c>
      <c r="E501">
        <v>5.0231328309887364E-2</v>
      </c>
      <c r="F501">
        <v>9.9998015844194946E-3</v>
      </c>
      <c r="G501">
        <v>2.7539290201510021E-2</v>
      </c>
      <c r="H501">
        <v>-2.3405852882944056E-2</v>
      </c>
      <c r="I501">
        <v>-3.5896663365221348E-3</v>
      </c>
      <c r="J501">
        <v>-1.7894237661328888E-2</v>
      </c>
      <c r="K501">
        <v>-3.680422968463945E-2</v>
      </c>
      <c r="L501">
        <v>1.4765015650745505E-2</v>
      </c>
      <c r="M501">
        <v>-4.516233794979585E-2</v>
      </c>
      <c r="N501">
        <v>4.5301327758834525E-2</v>
      </c>
      <c r="O501">
        <v>-7.4099588684689854E-2</v>
      </c>
      <c r="P501">
        <v>5.6279397712592993E-2</v>
      </c>
      <c r="Q501">
        <v>-4.936588073109538E-3</v>
      </c>
      <c r="R501">
        <v>-1.2966237550177673E-2</v>
      </c>
      <c r="S501">
        <v>-2.4535740063733991E-2</v>
      </c>
      <c r="T501">
        <v>9.4241973097889675E-3</v>
      </c>
      <c r="U501">
        <v>4.7676479981709263E-2</v>
      </c>
      <c r="V501">
        <v>-3.3079439495196705E-2</v>
      </c>
      <c r="W501">
        <v>6.6483619255567339E-3</v>
      </c>
      <c r="X501">
        <v>-4.4571849417571308E-2</v>
      </c>
      <c r="Y501">
        <v>7.194031383725652E-3</v>
      </c>
      <c r="Z501">
        <v>1.6295425970016049E-2</v>
      </c>
      <c r="AA501">
        <v>6.6318295921851789E-2</v>
      </c>
      <c r="AB501">
        <v>3.7850183082877978E-2</v>
      </c>
      <c r="AC501">
        <v>-9.6478342786481541E-3</v>
      </c>
      <c r="AD501">
        <v>-4.2065743930736033E-2</v>
      </c>
      <c r="AE501">
        <v>3.5837967279258531E-2</v>
      </c>
      <c r="AF501">
        <v>2.3173039588668121E-3</v>
      </c>
      <c r="AG501">
        <v>5.3177532518297044E-3</v>
      </c>
      <c r="AH501">
        <v>1.5664446838515367E-2</v>
      </c>
      <c r="AI501">
        <v>1.8294613117851577E-4</v>
      </c>
      <c r="AJ501">
        <v>-7.6030816398067746E-4</v>
      </c>
      <c r="AK501">
        <v>8.3415117654886406E-3</v>
      </c>
      <c r="AL501">
        <v>2.5360213438928469E-2</v>
      </c>
      <c r="AM501">
        <v>-1.0969700706876636E-2</v>
      </c>
      <c r="AN501">
        <v>-3.2978497268337792E-2</v>
      </c>
      <c r="AO501">
        <v>-0.119648377460158</v>
      </c>
      <c r="AP501">
        <v>-5.1850869051516479E-2</v>
      </c>
      <c r="AQ501">
        <v>0.24704161974627503</v>
      </c>
      <c r="AR501">
        <v>3.3571827703166579E-3</v>
      </c>
      <c r="AS501">
        <v>-4.1997260626800842E-3</v>
      </c>
      <c r="AT501">
        <v>-1.9839739607725178E-2</v>
      </c>
      <c r="AU501">
        <v>-4.2441946247159884E-2</v>
      </c>
    </row>
    <row r="502" spans="3:47" x14ac:dyDescent="0.2">
      <c r="C502" t="s">
        <v>41</v>
      </c>
      <c r="D502">
        <v>5.7285180093420207E-2</v>
      </c>
      <c r="E502">
        <v>-3.9615224569133967E-2</v>
      </c>
      <c r="F502">
        <v>-4.2543479336155432E-2</v>
      </c>
      <c r="G502">
        <v>2.3578107394860826E-2</v>
      </c>
      <c r="H502">
        <v>-8.3481364828492666E-3</v>
      </c>
      <c r="I502">
        <v>1.0046278248333984E-2</v>
      </c>
      <c r="J502">
        <v>7.3556988271518076E-2</v>
      </c>
      <c r="K502">
        <v>-1.5986541726407233E-2</v>
      </c>
      <c r="L502">
        <v>-3.8286165572266662E-2</v>
      </c>
      <c r="M502">
        <v>-6.6955272428116552E-2</v>
      </c>
      <c r="N502">
        <v>-1.9541849263813638E-2</v>
      </c>
      <c r="O502">
        <v>-5.6923572873114725E-2</v>
      </c>
      <c r="P502">
        <v>3.4241374846831429E-2</v>
      </c>
      <c r="Q502">
        <v>4.8956147272976869E-2</v>
      </c>
      <c r="R502">
        <v>-2.425513941203844E-2</v>
      </c>
      <c r="S502">
        <v>-5.1465949501258157E-2</v>
      </c>
      <c r="T502">
        <v>-4.839203005453202E-2</v>
      </c>
      <c r="U502">
        <v>6.7742638206975861E-2</v>
      </c>
      <c r="V502">
        <v>8.5712484148977031E-3</v>
      </c>
      <c r="W502">
        <v>-1.3130863063204434E-2</v>
      </c>
      <c r="X502">
        <v>-3.4083057902826563E-2</v>
      </c>
      <c r="Y502">
        <v>8.3542276668960427E-2</v>
      </c>
      <c r="Z502">
        <v>3.8924559278624704E-3</v>
      </c>
      <c r="AA502">
        <v>-6.2508182768168649E-2</v>
      </c>
      <c r="AB502">
        <v>2.237185274275319E-2</v>
      </c>
      <c r="AC502">
        <v>-1.9427207085953579E-2</v>
      </c>
      <c r="AD502">
        <v>-1.014229745680767E-2</v>
      </c>
      <c r="AE502">
        <v>1.6964827112495029E-4</v>
      </c>
      <c r="AF502">
        <v>-6.1487855675892572E-3</v>
      </c>
      <c r="AG502">
        <v>0.11680402138274198</v>
      </c>
      <c r="AH502">
        <v>-2.8066869412500389E-3</v>
      </c>
      <c r="AI502">
        <v>9.0351485424185418E-2</v>
      </c>
      <c r="AJ502">
        <v>-2.9093320618612376E-2</v>
      </c>
      <c r="AK502">
        <v>-9.8089273915395792E-2</v>
      </c>
      <c r="AL502">
        <v>-3.0088273742566007E-2</v>
      </c>
      <c r="AM502">
        <v>-4.347335011436132E-2</v>
      </c>
      <c r="AN502">
        <v>-8.2219598759017271E-2</v>
      </c>
      <c r="AO502">
        <v>-6.6956446031754269E-3</v>
      </c>
      <c r="AP502">
        <v>-6.5376487601865096E-2</v>
      </c>
      <c r="AQ502">
        <v>3.3571827703166579E-3</v>
      </c>
      <c r="AR502">
        <v>0.28749700700709702</v>
      </c>
      <c r="AS502">
        <v>-3.549202815457464E-2</v>
      </c>
      <c r="AT502">
        <v>2.6382874244710308E-3</v>
      </c>
      <c r="AU502">
        <v>4.4598766870441675E-2</v>
      </c>
    </row>
    <row r="503" spans="3:47" x14ac:dyDescent="0.2">
      <c r="C503" t="s">
        <v>42</v>
      </c>
      <c r="D503">
        <v>-3.0908464486467668E-4</v>
      </c>
      <c r="E503">
        <v>-1.2799338813711869E-2</v>
      </c>
      <c r="F503">
        <v>5.816031763770127E-2</v>
      </c>
      <c r="G503">
        <v>5.6674295892138016E-2</v>
      </c>
      <c r="H503">
        <v>-3.2186519181395534E-2</v>
      </c>
      <c r="I503">
        <v>1.1457211598739359E-2</v>
      </c>
      <c r="J503">
        <v>1.6613580974848718E-2</v>
      </c>
      <c r="K503">
        <v>3.0441732580972491E-3</v>
      </c>
      <c r="L503">
        <v>-3.0080678815264217E-2</v>
      </c>
      <c r="M503">
        <v>2.0415343941853903E-2</v>
      </c>
      <c r="N503">
        <v>-2.6332434163932772E-2</v>
      </c>
      <c r="O503">
        <v>-1.2269969658997293E-2</v>
      </c>
      <c r="P503">
        <v>-7.8739208447946574E-3</v>
      </c>
      <c r="Q503">
        <v>-5.9545385524508825E-2</v>
      </c>
      <c r="R503">
        <v>2.1193824982374432E-2</v>
      </c>
      <c r="S503">
        <v>-2.6210413427648072E-2</v>
      </c>
      <c r="T503">
        <v>3.8213036048894172E-2</v>
      </c>
      <c r="U503">
        <v>-6.0430398337001173E-2</v>
      </c>
      <c r="V503">
        <v>-1.9506321173842156E-2</v>
      </c>
      <c r="W503">
        <v>-4.7776862155954336E-3</v>
      </c>
      <c r="X503">
        <v>1.6836744032230344E-2</v>
      </c>
      <c r="Y503">
        <v>9.9926365422347563E-3</v>
      </c>
      <c r="Z503">
        <v>-4.9377856436384704E-2</v>
      </c>
      <c r="AA503">
        <v>-2.7602470827229331E-3</v>
      </c>
      <c r="AB503">
        <v>2.0847648106652128E-2</v>
      </c>
      <c r="AC503">
        <v>-4.7083383802903722E-2</v>
      </c>
      <c r="AD503">
        <v>5.288458352572778E-2</v>
      </c>
      <c r="AE503">
        <v>-3.3031857860799319E-2</v>
      </c>
      <c r="AF503">
        <v>8.4828377011878509E-3</v>
      </c>
      <c r="AG503">
        <v>2.4214051246991442E-2</v>
      </c>
      <c r="AH503">
        <v>-1.9939667852326037E-2</v>
      </c>
      <c r="AI503">
        <v>-1.8336296561188514E-2</v>
      </c>
      <c r="AJ503">
        <v>-2.0601333113648063E-2</v>
      </c>
      <c r="AK503">
        <v>3.6949240911630321E-2</v>
      </c>
      <c r="AL503">
        <v>-2.1222204436120995E-3</v>
      </c>
      <c r="AM503">
        <v>-6.5601929916212831E-2</v>
      </c>
      <c r="AN503">
        <v>-5.698026645077825E-2</v>
      </c>
      <c r="AO503">
        <v>6.1263916563867211E-2</v>
      </c>
      <c r="AP503">
        <v>2.8699711834647802E-2</v>
      </c>
      <c r="AQ503">
        <v>-4.1997260626800842E-3</v>
      </c>
      <c r="AR503">
        <v>-3.549202815457464E-2</v>
      </c>
      <c r="AS503">
        <v>0.15775814195655147</v>
      </c>
      <c r="AT503">
        <v>-4.4929268202335004E-3</v>
      </c>
      <c r="AU503">
        <v>-4.347706628831377E-2</v>
      </c>
    </row>
    <row r="504" spans="3:47" x14ac:dyDescent="0.2">
      <c r="C504" t="s">
        <v>43</v>
      </c>
      <c r="D504">
        <v>2.8578930600534624E-2</v>
      </c>
      <c r="E504">
        <v>-3.0948985545790675E-2</v>
      </c>
      <c r="F504">
        <v>-9.6586526658878624E-3</v>
      </c>
      <c r="G504">
        <v>3.8727583153896905E-2</v>
      </c>
      <c r="H504">
        <v>-3.0960323776988374E-2</v>
      </c>
      <c r="I504">
        <v>-3.4704036663672277E-2</v>
      </c>
      <c r="J504">
        <v>7.1775107395956605E-3</v>
      </c>
      <c r="K504">
        <v>-3.3950400525478375E-2</v>
      </c>
      <c r="L504">
        <v>1.561399757405213E-3</v>
      </c>
      <c r="M504">
        <v>1.6602815115630526E-2</v>
      </c>
      <c r="N504">
        <v>-3.8872192741412626E-3</v>
      </c>
      <c r="O504">
        <v>8.1044590434820596E-3</v>
      </c>
      <c r="P504">
        <v>-1.9004246429230598E-2</v>
      </c>
      <c r="Q504">
        <v>-3.9239185815039143E-2</v>
      </c>
      <c r="R504">
        <v>5.3664972660414055E-2</v>
      </c>
      <c r="S504">
        <v>-5.9872248625884195E-2</v>
      </c>
      <c r="T504">
        <v>1.596659287904649E-2</v>
      </c>
      <c r="U504">
        <v>-8.5822953251497525E-2</v>
      </c>
      <c r="V504">
        <v>-4.8524521579931895E-2</v>
      </c>
      <c r="W504">
        <v>-2.4345494590538724E-2</v>
      </c>
      <c r="X504">
        <v>5.2512178697348144E-2</v>
      </c>
      <c r="Y504">
        <v>-2.8661070455048079E-3</v>
      </c>
      <c r="Z504">
        <v>-7.5129508810330703E-3</v>
      </c>
      <c r="AA504">
        <v>8.0486829841822094E-4</v>
      </c>
      <c r="AB504">
        <v>-7.9869180607808621E-3</v>
      </c>
      <c r="AC504">
        <v>9.9028301871640634E-3</v>
      </c>
      <c r="AD504">
        <v>8.1282557112467207E-2</v>
      </c>
      <c r="AE504">
        <v>4.8385784397305925E-2</v>
      </c>
      <c r="AF504">
        <v>2.6941320560081732E-2</v>
      </c>
      <c r="AG504">
        <v>2.6024878473484864E-2</v>
      </c>
      <c r="AH504">
        <v>-5.0888010124441732E-2</v>
      </c>
      <c r="AI504">
        <v>6.6631168157602616E-3</v>
      </c>
      <c r="AJ504">
        <v>7.6174905022950351E-2</v>
      </c>
      <c r="AK504">
        <v>-2.1213260613627827E-2</v>
      </c>
      <c r="AL504">
        <v>1.4623398934351717E-2</v>
      </c>
      <c r="AM504">
        <v>-0.10320987229577394</v>
      </c>
      <c r="AN504">
        <v>-0.13023111520284081</v>
      </c>
      <c r="AO504">
        <v>3.5360984297831563E-2</v>
      </c>
      <c r="AP504">
        <v>1.8198409308438482E-2</v>
      </c>
      <c r="AQ504">
        <v>-1.9839739607725178E-2</v>
      </c>
      <c r="AR504">
        <v>2.6382874244710308E-3</v>
      </c>
      <c r="AS504">
        <v>-4.4929268202335004E-3</v>
      </c>
      <c r="AT504">
        <v>0.20168127700186533</v>
      </c>
      <c r="AU504">
        <v>-5.4191094262933948E-2</v>
      </c>
    </row>
    <row r="505" spans="3:47" x14ac:dyDescent="0.2">
      <c r="C505" t="s">
        <v>44</v>
      </c>
      <c r="D505">
        <v>-0.10017684202520577</v>
      </c>
      <c r="E505">
        <v>3.570655638682585E-3</v>
      </c>
      <c r="F505">
        <v>9.0449177341199671E-2</v>
      </c>
      <c r="G505">
        <v>-6.6686223286345131E-2</v>
      </c>
      <c r="H505">
        <v>1.940552430492351E-2</v>
      </c>
      <c r="I505">
        <v>-1.4927997033393148E-2</v>
      </c>
      <c r="J505">
        <v>3.025658332399167E-2</v>
      </c>
      <c r="K505">
        <v>-1.5279405058585938E-2</v>
      </c>
      <c r="L505">
        <v>-4.042326186625364E-2</v>
      </c>
      <c r="M505">
        <v>-2.5816428271341341E-4</v>
      </c>
      <c r="N505">
        <v>-1.5112467054282847E-2</v>
      </c>
      <c r="O505">
        <v>1.7722852954989626E-2</v>
      </c>
      <c r="P505">
        <v>4.0277073436626315E-2</v>
      </c>
      <c r="Q505">
        <v>4.337160529179801E-2</v>
      </c>
      <c r="R505">
        <v>-4.4960991437848097E-2</v>
      </c>
      <c r="S505">
        <v>-2.6919276423692295E-2</v>
      </c>
      <c r="T505">
        <v>6.6886180780241222E-3</v>
      </c>
      <c r="U505">
        <v>2.7365846961233536E-2</v>
      </c>
      <c r="V505">
        <v>6.7158827343339556E-2</v>
      </c>
      <c r="W505">
        <v>6.9805000212846136E-3</v>
      </c>
      <c r="X505">
        <v>-7.016503528601975E-3</v>
      </c>
      <c r="Y505">
        <v>4.1182692917252212E-2</v>
      </c>
      <c r="Z505">
        <v>-2.5729886192654476E-2</v>
      </c>
      <c r="AA505">
        <v>-4.2564858034132999E-2</v>
      </c>
      <c r="AB505">
        <v>-5.8038821293303955E-2</v>
      </c>
      <c r="AC505">
        <v>4.939345220488342E-2</v>
      </c>
      <c r="AD505">
        <v>-2.9672046499218396E-4</v>
      </c>
      <c r="AE505">
        <v>-3.090473972041724E-2</v>
      </c>
      <c r="AF505">
        <v>-4.4055907027709784E-2</v>
      </c>
      <c r="AG505">
        <v>-8.1502395205859945E-2</v>
      </c>
      <c r="AH505">
        <v>-4.638307217829124E-3</v>
      </c>
      <c r="AI505">
        <v>8.213705422271983E-3</v>
      </c>
      <c r="AJ505">
        <v>-1.9178575935416886E-2</v>
      </c>
      <c r="AK505">
        <v>1.2039985783883489E-2</v>
      </c>
      <c r="AL505">
        <v>3.7189766858589129E-2</v>
      </c>
      <c r="AM505">
        <v>3.354935961974248E-2</v>
      </c>
      <c r="AN505">
        <v>-3.6174509266098942E-2</v>
      </c>
      <c r="AO505">
        <v>-1.1224413450891119E-2</v>
      </c>
      <c r="AP505">
        <v>-3.9846277628206112E-2</v>
      </c>
      <c r="AQ505">
        <v>-4.2441946247159884E-2</v>
      </c>
      <c r="AR505">
        <v>4.4598766870441675E-2</v>
      </c>
      <c r="AS505">
        <v>-4.347706628831377E-2</v>
      </c>
      <c r="AT505">
        <v>-5.4191094262933948E-2</v>
      </c>
      <c r="AU505">
        <v>0.27405520384221382</v>
      </c>
    </row>
    <row r="507" spans="3:47" x14ac:dyDescent="0.2">
      <c r="C507" t="s">
        <v>210</v>
      </c>
    </row>
    <row r="509" spans="3:47" x14ac:dyDescent="0.2">
      <c r="D509">
        <v>1</v>
      </c>
      <c r="E509">
        <v>2</v>
      </c>
      <c r="F509">
        <v>3</v>
      </c>
      <c r="G509">
        <v>4</v>
      </c>
      <c r="H509">
        <v>5</v>
      </c>
      <c r="I509">
        <v>6</v>
      </c>
      <c r="J509">
        <v>7</v>
      </c>
      <c r="K509">
        <v>8</v>
      </c>
      <c r="L509">
        <v>9</v>
      </c>
      <c r="M509">
        <v>10</v>
      </c>
      <c r="N509">
        <v>11</v>
      </c>
    </row>
    <row r="510" spans="3:47" x14ac:dyDescent="0.2">
      <c r="C510" t="s">
        <v>1</v>
      </c>
      <c r="D510">
        <v>4.8847138814189547E-2</v>
      </c>
      <c r="E510">
        <v>-1.9411461514233033E-2</v>
      </c>
      <c r="F510">
        <v>-3.7677036274646011E-2</v>
      </c>
      <c r="G510">
        <v>1.5894931365117947E-2</v>
      </c>
      <c r="H510">
        <v>-2.3895481256659381E-2</v>
      </c>
      <c r="I510">
        <v>3.0692955660744585E-2</v>
      </c>
      <c r="J510">
        <v>-2.46918702995781E-2</v>
      </c>
      <c r="K510">
        <v>-4.693594316035167E-2</v>
      </c>
      <c r="L510">
        <v>-0.24053550739617358</v>
      </c>
      <c r="M510">
        <v>-7.1931076058316112E-3</v>
      </c>
      <c r="N510">
        <v>-0.12031628857538462</v>
      </c>
    </row>
    <row r="511" spans="3:47" x14ac:dyDescent="0.2">
      <c r="C511" t="s">
        <v>2</v>
      </c>
      <c r="D511">
        <v>4.0423198733587858E-2</v>
      </c>
      <c r="E511">
        <v>7.9961281714028595E-2</v>
      </c>
      <c r="F511">
        <v>2.6934739328370913E-2</v>
      </c>
      <c r="G511">
        <v>-2.7673460042262395E-2</v>
      </c>
      <c r="H511">
        <v>9.3259300910215295E-2</v>
      </c>
      <c r="I511">
        <v>0.12251203820859898</v>
      </c>
      <c r="J511">
        <v>4.0718834822892395E-2</v>
      </c>
      <c r="K511">
        <v>5.321400122649482E-2</v>
      </c>
      <c r="L511">
        <v>-0.28583999638582258</v>
      </c>
      <c r="M511">
        <v>2.8397623254468381E-2</v>
      </c>
      <c r="N511">
        <v>-7.4334147419968549E-2</v>
      </c>
    </row>
    <row r="512" spans="3:47" x14ac:dyDescent="0.2">
      <c r="C512" t="s">
        <v>3</v>
      </c>
      <c r="D512">
        <v>-5.7065107840455515E-2</v>
      </c>
      <c r="E512">
        <v>-3.8311178783903319E-2</v>
      </c>
      <c r="F512">
        <v>0.17318947632307216</v>
      </c>
      <c r="G512">
        <v>-1.3135056322700168E-2</v>
      </c>
      <c r="H512">
        <v>0.13209447645474326</v>
      </c>
      <c r="I512">
        <v>-0.20640022255133722</v>
      </c>
      <c r="J512">
        <v>9.590403336290524E-3</v>
      </c>
      <c r="K512">
        <v>9.8710544037008546E-2</v>
      </c>
      <c r="L512">
        <v>-0.20424286579910331</v>
      </c>
      <c r="M512">
        <v>-0.14025154342460369</v>
      </c>
      <c r="N512">
        <v>0.2795321118051009</v>
      </c>
    </row>
    <row r="513" spans="3:14" x14ac:dyDescent="0.2">
      <c r="C513" t="s">
        <v>4</v>
      </c>
      <c r="D513">
        <v>6.1351824619664593E-3</v>
      </c>
      <c r="E513">
        <v>-3.5749966389052673E-2</v>
      </c>
      <c r="F513">
        <v>6.8484019363134543E-2</v>
      </c>
      <c r="G513">
        <v>-6.6658898586529639E-2</v>
      </c>
      <c r="H513">
        <v>-4.9526689604669841E-2</v>
      </c>
      <c r="I513">
        <v>-0.1189322276566715</v>
      </c>
      <c r="J513">
        <v>1.2499279608273895E-2</v>
      </c>
      <c r="K513">
        <v>2.0138130413462713E-2</v>
      </c>
      <c r="L513">
        <v>-0.25247052965291927</v>
      </c>
      <c r="M513">
        <v>-8.777301029035138E-2</v>
      </c>
      <c r="N513">
        <v>9.7399120247354573E-2</v>
      </c>
    </row>
    <row r="514" spans="3:14" x14ac:dyDescent="0.2">
      <c r="C514" t="s">
        <v>5</v>
      </c>
      <c r="D514">
        <v>-3.2868233087813385E-3</v>
      </c>
      <c r="E514">
        <v>0.10811380408397354</v>
      </c>
      <c r="F514">
        <v>5.6041775048092178E-2</v>
      </c>
      <c r="G514">
        <v>-4.0202618025578767E-3</v>
      </c>
      <c r="H514">
        <v>-9.5589206387949217E-3</v>
      </c>
      <c r="I514">
        <v>-8.5024754317072654E-2</v>
      </c>
      <c r="J514">
        <v>-6.1921984725989421E-2</v>
      </c>
      <c r="K514">
        <v>9.7049499478114504E-2</v>
      </c>
      <c r="L514">
        <v>-0.1267762902139615</v>
      </c>
      <c r="M514">
        <v>-1.7546517823176035E-2</v>
      </c>
      <c r="N514">
        <v>4.9107151444661698E-2</v>
      </c>
    </row>
    <row r="515" spans="3:14" x14ac:dyDescent="0.2">
      <c r="C515" t="s">
        <v>6</v>
      </c>
      <c r="D515">
        <v>-0.17302871418072446</v>
      </c>
      <c r="E515">
        <v>-6.2106138157970014E-3</v>
      </c>
      <c r="F515">
        <v>-3.2859767393128604E-2</v>
      </c>
      <c r="G515">
        <v>-2.9473574282077256E-2</v>
      </c>
      <c r="H515">
        <v>1.5158683214494087E-2</v>
      </c>
      <c r="I515">
        <v>7.1527072146531992E-2</v>
      </c>
      <c r="J515">
        <v>-2.2597027102534115E-2</v>
      </c>
      <c r="K515">
        <v>3.3545734922893599E-3</v>
      </c>
      <c r="L515">
        <v>2.9442362075044307E-2</v>
      </c>
      <c r="M515">
        <v>-8.5265097617648195E-2</v>
      </c>
      <c r="N515">
        <v>-6.2715335802819447E-2</v>
      </c>
    </row>
    <row r="516" spans="3:14" x14ac:dyDescent="0.2">
      <c r="C516" t="s">
        <v>7</v>
      </c>
      <c r="D516">
        <v>-0.12481821507252969</v>
      </c>
      <c r="E516">
        <v>-1.4099344614626383E-2</v>
      </c>
      <c r="F516">
        <v>-1.9046411260603743E-2</v>
      </c>
      <c r="G516">
        <v>-1.6554797786837182E-2</v>
      </c>
      <c r="H516">
        <v>-5.4071105950127929E-2</v>
      </c>
      <c r="I516">
        <v>6.6479442344324041E-2</v>
      </c>
      <c r="J516">
        <v>1.0474692104483355E-3</v>
      </c>
      <c r="K516">
        <v>-2.5382870304834149E-2</v>
      </c>
      <c r="L516">
        <v>-4.4307845445514929E-2</v>
      </c>
      <c r="M516">
        <v>-0.12961195000426179</v>
      </c>
      <c r="N516">
        <v>4.2159905952496246E-2</v>
      </c>
    </row>
    <row r="517" spans="3:14" x14ac:dyDescent="0.2">
      <c r="C517" t="s">
        <v>8</v>
      </c>
      <c r="D517">
        <v>-0.14327840367497499</v>
      </c>
      <c r="E517">
        <v>-3.1131811770611539E-2</v>
      </c>
      <c r="F517">
        <v>-2.7696378442441483E-2</v>
      </c>
      <c r="G517">
        <v>-4.5479677892772991E-2</v>
      </c>
      <c r="H517">
        <v>-8.4678582031966612E-2</v>
      </c>
      <c r="I517">
        <v>-3.7254272306853402E-2</v>
      </c>
      <c r="J517">
        <v>-7.0066943640974197E-3</v>
      </c>
      <c r="K517">
        <v>0.15176993722671386</v>
      </c>
      <c r="L517">
        <v>3.6953473140968564E-2</v>
      </c>
      <c r="M517">
        <v>2.932685385111073E-2</v>
      </c>
      <c r="N517">
        <v>-0.12376564904461698</v>
      </c>
    </row>
    <row r="518" spans="3:14" x14ac:dyDescent="0.2">
      <c r="C518" t="s">
        <v>9</v>
      </c>
      <c r="D518">
        <v>-0.1280132468803675</v>
      </c>
      <c r="E518">
        <v>5.9067571908356382E-2</v>
      </c>
      <c r="F518">
        <v>-2.2298391097068059E-2</v>
      </c>
      <c r="G518">
        <v>-1.6695413070204009E-3</v>
      </c>
      <c r="H518">
        <v>6.6489528521292293E-2</v>
      </c>
      <c r="I518">
        <v>7.9039426018093564E-3</v>
      </c>
      <c r="J518">
        <v>-0.12127183404801725</v>
      </c>
      <c r="K518">
        <v>-2.9451359263272366E-2</v>
      </c>
      <c r="L518">
        <v>3.09778329975323E-2</v>
      </c>
      <c r="M518">
        <v>-4.4510718255655141E-2</v>
      </c>
      <c r="N518">
        <v>-9.7079204570461167E-2</v>
      </c>
    </row>
    <row r="519" spans="3:14" x14ac:dyDescent="0.2">
      <c r="C519" t="s">
        <v>10</v>
      </c>
      <c r="D519">
        <v>-5.7459360467685919E-2</v>
      </c>
      <c r="E519">
        <v>-3.7382748492172754E-2</v>
      </c>
      <c r="F519">
        <v>-2.6314780652195779E-2</v>
      </c>
      <c r="G519">
        <v>-5.9776842178459605E-3</v>
      </c>
      <c r="H519">
        <v>0.120664212863763</v>
      </c>
      <c r="I519">
        <v>-8.4477412669250851E-2</v>
      </c>
      <c r="J519">
        <v>8.4022588521369762E-2</v>
      </c>
      <c r="K519">
        <v>-4.0794207650512518E-2</v>
      </c>
      <c r="L519">
        <v>-3.6854682220651816E-2</v>
      </c>
      <c r="M519">
        <v>-4.9206371015499004E-2</v>
      </c>
      <c r="N519">
        <v>-0.26909599111097626</v>
      </c>
    </row>
    <row r="520" spans="3:14" x14ac:dyDescent="0.2">
      <c r="C520" t="s">
        <v>11</v>
      </c>
      <c r="D520">
        <v>-0.20506979283836754</v>
      </c>
      <c r="E520">
        <v>-6.1125694930305438E-2</v>
      </c>
      <c r="F520">
        <v>4.8877814473278901E-2</v>
      </c>
      <c r="G520">
        <v>-6.9545690566679197E-2</v>
      </c>
      <c r="H520">
        <v>4.6875109698989816E-2</v>
      </c>
      <c r="I520">
        <v>6.7873242131518158E-2</v>
      </c>
      <c r="J520">
        <v>0.10512537832035722</v>
      </c>
      <c r="K520">
        <v>5.7718919291629901E-2</v>
      </c>
      <c r="L520">
        <v>8.2171233984038819E-2</v>
      </c>
      <c r="M520">
        <v>6.188721848813971E-2</v>
      </c>
      <c r="N520">
        <v>7.1662174286859698E-2</v>
      </c>
    </row>
    <row r="521" spans="3:14" x14ac:dyDescent="0.2">
      <c r="C521" t="s">
        <v>12</v>
      </c>
      <c r="D521">
        <v>-0.17228505680349737</v>
      </c>
      <c r="E521">
        <v>-4.53274102707487E-2</v>
      </c>
      <c r="F521">
        <v>2.7143439476612352E-2</v>
      </c>
      <c r="G521">
        <v>7.6601339538301297E-2</v>
      </c>
      <c r="H521">
        <v>4.5930993595864451E-2</v>
      </c>
      <c r="I521">
        <v>-4.7690004108508939E-3</v>
      </c>
      <c r="J521">
        <v>-6.8927376130225176E-2</v>
      </c>
      <c r="K521">
        <v>3.8817593691412661E-2</v>
      </c>
      <c r="L521">
        <v>0.14738369937891929</v>
      </c>
      <c r="M521">
        <v>0.13350598008215114</v>
      </c>
      <c r="N521">
        <v>1.3333460353294489E-2</v>
      </c>
    </row>
    <row r="522" spans="3:14" x14ac:dyDescent="0.2">
      <c r="C522" t="s">
        <v>13</v>
      </c>
      <c r="D522">
        <v>-0.20724642637322349</v>
      </c>
      <c r="E522">
        <v>-4.2492170094206055E-2</v>
      </c>
      <c r="F522">
        <v>2.3770344592568316E-2</v>
      </c>
      <c r="G522">
        <v>2.4377137467528928E-3</v>
      </c>
      <c r="H522">
        <v>-2.4581480266462015E-2</v>
      </c>
      <c r="I522">
        <v>7.2473309046389794E-2</v>
      </c>
      <c r="J522">
        <v>3.1496064103495154E-2</v>
      </c>
      <c r="K522">
        <v>0.10148566032387533</v>
      </c>
      <c r="L522">
        <v>0.12379319214000457</v>
      </c>
      <c r="M522">
        <v>4.0264137740180853E-2</v>
      </c>
      <c r="N522">
        <v>0.17290079315184176</v>
      </c>
    </row>
    <row r="523" spans="3:14" x14ac:dyDescent="0.2">
      <c r="C523" t="s">
        <v>14</v>
      </c>
      <c r="D523">
        <v>-1.211772097549565E-2</v>
      </c>
      <c r="E523">
        <v>-2.0983286465810061E-2</v>
      </c>
      <c r="F523">
        <v>-4.7918304746849667E-2</v>
      </c>
      <c r="G523">
        <v>1.9035644374093358E-2</v>
      </c>
      <c r="H523">
        <v>-9.2009758794917476E-2</v>
      </c>
      <c r="I523">
        <v>5.7129108758907331E-2</v>
      </c>
      <c r="J523">
        <v>0.24657195235406509</v>
      </c>
      <c r="K523">
        <v>0.23976823036481917</v>
      </c>
      <c r="L523">
        <v>7.1472461902529079E-4</v>
      </c>
      <c r="M523">
        <v>3.3146042040751757E-2</v>
      </c>
      <c r="N523">
        <v>5.1054058602301028E-2</v>
      </c>
    </row>
    <row r="524" spans="3:14" x14ac:dyDescent="0.2">
      <c r="C524" t="s">
        <v>15</v>
      </c>
      <c r="D524">
        <v>-2.5780852346687921E-3</v>
      </c>
      <c r="E524">
        <v>2.2184626542164951E-2</v>
      </c>
      <c r="F524">
        <v>4.6901404591397564E-2</v>
      </c>
      <c r="G524">
        <v>-2.9752684422749139E-2</v>
      </c>
      <c r="H524">
        <v>1.0640691787167179E-2</v>
      </c>
      <c r="I524">
        <v>7.8181408092038898E-2</v>
      </c>
      <c r="J524">
        <v>0.35348293797195135</v>
      </c>
      <c r="K524">
        <v>3.306462483966989E-2</v>
      </c>
      <c r="L524">
        <v>-2.1528057718852776E-2</v>
      </c>
      <c r="M524">
        <v>-9.6624534696470865E-2</v>
      </c>
      <c r="N524">
        <v>-4.5226965381286476E-2</v>
      </c>
    </row>
    <row r="525" spans="3:14" x14ac:dyDescent="0.2">
      <c r="C525" t="s">
        <v>16</v>
      </c>
      <c r="D525">
        <v>-7.2677237387907906E-2</v>
      </c>
      <c r="E525">
        <v>2.2109510217843305E-2</v>
      </c>
      <c r="F525">
        <v>0.14999697645521332</v>
      </c>
      <c r="G525">
        <v>-5.5214013533375766E-2</v>
      </c>
      <c r="H525">
        <v>-6.0244945325109822E-2</v>
      </c>
      <c r="I525">
        <v>-4.1044005367608459E-2</v>
      </c>
      <c r="J525">
        <v>0.19583274038258267</v>
      </c>
      <c r="K525">
        <v>9.9509656533612267E-2</v>
      </c>
      <c r="L525">
        <v>0.16761631106427671</v>
      </c>
      <c r="M525">
        <v>0.19658881704518905</v>
      </c>
      <c r="N525">
        <v>-2.5336407416462738E-2</v>
      </c>
    </row>
    <row r="526" spans="3:14" x14ac:dyDescent="0.2">
      <c r="C526" t="s">
        <v>17</v>
      </c>
      <c r="D526">
        <v>3.5267620829329251E-2</v>
      </c>
      <c r="E526">
        <v>-8.9290072703304135E-2</v>
      </c>
      <c r="F526">
        <v>7.9028695237404092E-2</v>
      </c>
      <c r="G526">
        <v>-5.9859931814233644E-2</v>
      </c>
      <c r="H526">
        <v>0.10697012805753171</v>
      </c>
      <c r="I526">
        <v>-7.6008284509911109E-2</v>
      </c>
      <c r="J526">
        <v>0.35437360283414532</v>
      </c>
      <c r="K526">
        <v>-0.12473454832569963</v>
      </c>
      <c r="L526">
        <v>-4.2059271569586228E-2</v>
      </c>
      <c r="M526">
        <v>-7.4526440463522581E-2</v>
      </c>
      <c r="N526">
        <v>2.7312836938666794E-2</v>
      </c>
    </row>
    <row r="527" spans="3:14" x14ac:dyDescent="0.2">
      <c r="C527" t="s">
        <v>18</v>
      </c>
      <c r="D527">
        <v>-1.8734004753953069E-2</v>
      </c>
      <c r="E527">
        <v>-0.11764644276048813</v>
      </c>
      <c r="F527">
        <v>4.8415250081713247E-2</v>
      </c>
      <c r="G527">
        <v>1.8329328224597488E-3</v>
      </c>
      <c r="H527">
        <v>5.6388984910052828E-2</v>
      </c>
      <c r="I527">
        <v>-0.3951425171078905</v>
      </c>
      <c r="J527">
        <v>-1.2081165367154845E-3</v>
      </c>
      <c r="K527">
        <v>0.19639267487239176</v>
      </c>
      <c r="L527">
        <v>-1.1501142229331037E-3</v>
      </c>
      <c r="M527">
        <v>0.12546940674561746</v>
      </c>
      <c r="N527">
        <v>4.2167164199297141E-2</v>
      </c>
    </row>
    <row r="528" spans="3:14" x14ac:dyDescent="0.2">
      <c r="C528" t="s">
        <v>19</v>
      </c>
      <c r="D528">
        <v>-5.1619140725428808E-2</v>
      </c>
      <c r="E528">
        <v>0.26658549845486668</v>
      </c>
      <c r="F528">
        <v>4.6292441794252619E-2</v>
      </c>
      <c r="G528">
        <v>5.5863702399795774E-2</v>
      </c>
      <c r="H528">
        <v>-6.6126533319530806E-2</v>
      </c>
      <c r="I528">
        <v>0.19258073060458561</v>
      </c>
      <c r="J528">
        <v>-5.27445230628674E-2</v>
      </c>
      <c r="K528">
        <v>0.16614964225518503</v>
      </c>
      <c r="L528">
        <v>-3.6750844901910894E-3</v>
      </c>
      <c r="M528">
        <v>-4.320365849194107E-2</v>
      </c>
      <c r="N528">
        <v>2.9121033051749061E-2</v>
      </c>
    </row>
    <row r="529" spans="3:14" x14ac:dyDescent="0.2">
      <c r="C529" t="s">
        <v>20</v>
      </c>
      <c r="D529">
        <v>2.4827703634847785E-2</v>
      </c>
      <c r="E529">
        <v>0.30374686080962077</v>
      </c>
      <c r="F529">
        <v>-7.328030265006379E-3</v>
      </c>
      <c r="G529">
        <v>-5.4123222857188381E-2</v>
      </c>
      <c r="H529">
        <v>-1.3469289784213167E-3</v>
      </c>
      <c r="I529">
        <v>0.11149154607028924</v>
      </c>
      <c r="J529">
        <v>-3.5427668528854379E-2</v>
      </c>
      <c r="K529">
        <v>7.1725596206376765E-2</v>
      </c>
      <c r="L529">
        <v>-1.4399900873003364E-2</v>
      </c>
      <c r="M529">
        <v>-2.9363180259072801E-2</v>
      </c>
      <c r="N529">
        <v>-5.3686876147772705E-2</v>
      </c>
    </row>
    <row r="530" spans="3:14" x14ac:dyDescent="0.2">
      <c r="C530" t="s">
        <v>21</v>
      </c>
      <c r="D530">
        <v>2.2492288191013517E-2</v>
      </c>
      <c r="E530">
        <v>0.22497526550973038</v>
      </c>
      <c r="F530">
        <v>4.3184669068791849E-2</v>
      </c>
      <c r="G530">
        <v>0.11177642932970543</v>
      </c>
      <c r="H530">
        <v>0.14674749782448493</v>
      </c>
      <c r="I530">
        <v>7.6861028403677617E-2</v>
      </c>
      <c r="J530">
        <v>5.6204232001164915E-2</v>
      </c>
      <c r="K530">
        <v>8.8793607016426954E-2</v>
      </c>
      <c r="L530">
        <v>7.6181053338244924E-4</v>
      </c>
      <c r="M530">
        <v>-1.9418181547177796E-2</v>
      </c>
      <c r="N530">
        <v>-1.4764350047520983E-2</v>
      </c>
    </row>
    <row r="531" spans="3:14" x14ac:dyDescent="0.2">
      <c r="C531" t="s">
        <v>22</v>
      </c>
      <c r="D531">
        <v>9.8802343648813157E-2</v>
      </c>
      <c r="E531">
        <v>0.13688594758067266</v>
      </c>
      <c r="F531">
        <v>-9.318415920455142E-2</v>
      </c>
      <c r="G531">
        <v>9.3128896613908663E-2</v>
      </c>
      <c r="H531">
        <v>3.9904235714199911E-2</v>
      </c>
      <c r="I531">
        <v>-0.11592056693589445</v>
      </c>
      <c r="J531">
        <v>-7.9596561596334534E-2</v>
      </c>
      <c r="K531">
        <v>-5.1741871146812075E-3</v>
      </c>
      <c r="L531">
        <v>-1.2724509898249916E-2</v>
      </c>
      <c r="M531">
        <v>-5.702763291666945E-2</v>
      </c>
      <c r="N531">
        <v>-8.2305791281132745E-2</v>
      </c>
    </row>
    <row r="532" spans="3:14" x14ac:dyDescent="0.2">
      <c r="C532" t="s">
        <v>23</v>
      </c>
      <c r="D532">
        <v>8.0153545876050974E-2</v>
      </c>
      <c r="E532">
        <v>0.14311527513902958</v>
      </c>
      <c r="F532">
        <v>1.3503187664919761E-2</v>
      </c>
      <c r="G532">
        <v>-2.8124060654275362E-2</v>
      </c>
      <c r="H532">
        <v>0.217161554652537</v>
      </c>
      <c r="I532">
        <v>-0.12046254208747498</v>
      </c>
      <c r="J532">
        <v>-3.9162411745164875E-2</v>
      </c>
      <c r="K532">
        <v>-0.1358857539016218</v>
      </c>
      <c r="L532">
        <v>-1.2498410490459279E-2</v>
      </c>
      <c r="M532">
        <v>1.8738955950833264E-2</v>
      </c>
      <c r="N532">
        <v>7.4505088512941214E-2</v>
      </c>
    </row>
    <row r="533" spans="3:14" x14ac:dyDescent="0.2">
      <c r="C533" t="s">
        <v>24</v>
      </c>
      <c r="D533">
        <v>8.7896534519095251E-3</v>
      </c>
      <c r="E533">
        <v>-1.9763112108388749E-2</v>
      </c>
      <c r="F533">
        <v>-4.4028120320348557E-2</v>
      </c>
      <c r="G533">
        <v>-8.6494908933570213E-3</v>
      </c>
      <c r="H533">
        <v>-5.556538099770976E-3</v>
      </c>
      <c r="I533">
        <v>-2.0243750167735636E-3</v>
      </c>
      <c r="J533">
        <v>-1.3736316097086391E-2</v>
      </c>
      <c r="K533">
        <v>-7.1271604112082901E-3</v>
      </c>
      <c r="L533">
        <v>5.0131170980110933E-3</v>
      </c>
      <c r="M533">
        <v>2.9370892514051096E-2</v>
      </c>
      <c r="N533">
        <v>0.51614645254255542</v>
      </c>
    </row>
    <row r="534" spans="3:14" x14ac:dyDescent="0.2">
      <c r="C534" t="s">
        <v>25</v>
      </c>
      <c r="D534">
        <v>-1.1069514632440658E-2</v>
      </c>
      <c r="E534">
        <v>0.16334548635913249</v>
      </c>
      <c r="F534">
        <v>-0.17391805257439269</v>
      </c>
      <c r="G534">
        <v>-0.14169570682942004</v>
      </c>
      <c r="H534">
        <v>-0.11275418751457197</v>
      </c>
      <c r="I534">
        <v>3.6998197655484573E-2</v>
      </c>
      <c r="J534">
        <v>-5.5855446256897048E-2</v>
      </c>
      <c r="K534">
        <v>5.1373725795944333E-2</v>
      </c>
      <c r="L534">
        <v>1.1441505225305643E-2</v>
      </c>
      <c r="M534">
        <v>-7.7870165491239068E-2</v>
      </c>
      <c r="N534">
        <v>8.1364240460633938E-2</v>
      </c>
    </row>
    <row r="535" spans="3:14" x14ac:dyDescent="0.2">
      <c r="C535" t="s">
        <v>26</v>
      </c>
      <c r="D535">
        <v>2.955556396793263E-2</v>
      </c>
      <c r="E535">
        <v>4.8687472354769275E-3</v>
      </c>
      <c r="F535">
        <v>2.407375882870761E-2</v>
      </c>
      <c r="G535">
        <v>-2.4532792959680409E-2</v>
      </c>
      <c r="H535">
        <v>-2.9061981721585292E-4</v>
      </c>
      <c r="I535">
        <v>-0.28744444068811403</v>
      </c>
      <c r="J535">
        <v>-1.6717378320445078E-2</v>
      </c>
      <c r="K535">
        <v>-0.12193929291933828</v>
      </c>
      <c r="L535">
        <v>2.7814046396287839E-3</v>
      </c>
      <c r="M535">
        <v>-0.13291144878372121</v>
      </c>
      <c r="N535">
        <v>4.4977356349733461E-2</v>
      </c>
    </row>
    <row r="536" spans="3:14" x14ac:dyDescent="0.2">
      <c r="C536" t="s">
        <v>27</v>
      </c>
      <c r="D536">
        <v>8.9737724525456603E-3</v>
      </c>
      <c r="E536">
        <v>7.2339782696824659E-2</v>
      </c>
      <c r="F536">
        <v>-0.1058742998422699</v>
      </c>
      <c r="G536">
        <v>-2.2535148427065676E-2</v>
      </c>
      <c r="H536">
        <v>4.4122496922627014E-2</v>
      </c>
      <c r="I536">
        <v>1.8309455679626279E-3</v>
      </c>
      <c r="J536">
        <v>1.234046473972358E-2</v>
      </c>
      <c r="K536">
        <v>-0.18519927708403133</v>
      </c>
      <c r="L536">
        <v>-4.1003684396867933E-2</v>
      </c>
      <c r="M536">
        <v>-0.18421911724351539</v>
      </c>
      <c r="N536">
        <v>-7.3995919766851256E-3</v>
      </c>
    </row>
    <row r="537" spans="3:14" x14ac:dyDescent="0.2">
      <c r="C537" t="s">
        <v>28</v>
      </c>
      <c r="D537">
        <v>-2.851575643585539E-2</v>
      </c>
      <c r="E537">
        <v>-2.3666285389491309E-2</v>
      </c>
      <c r="F537">
        <v>-0.14539006444161645</v>
      </c>
      <c r="G537">
        <v>-3.0693459619653387E-2</v>
      </c>
      <c r="H537">
        <v>0.17132527193696462</v>
      </c>
      <c r="I537">
        <v>-0.15443289856918288</v>
      </c>
      <c r="J537">
        <v>3.6281334751433823E-2</v>
      </c>
      <c r="K537">
        <v>-4.0993437431009472E-2</v>
      </c>
      <c r="L537">
        <v>4.2743127904049365E-3</v>
      </c>
      <c r="M537">
        <v>-5.2015229817104776E-2</v>
      </c>
      <c r="N537">
        <v>-0.14361271193530706</v>
      </c>
    </row>
    <row r="538" spans="3:14" x14ac:dyDescent="0.2">
      <c r="C538" t="s">
        <v>29</v>
      </c>
      <c r="D538">
        <v>-5.8058721618749712E-2</v>
      </c>
      <c r="E538">
        <v>-6.6536218303819058E-3</v>
      </c>
      <c r="F538">
        <v>-0.33153887570455787</v>
      </c>
      <c r="G538">
        <v>-2.4103564143611422E-2</v>
      </c>
      <c r="H538">
        <v>0.17285369319282676</v>
      </c>
      <c r="I538">
        <v>-3.0706257185987226E-2</v>
      </c>
      <c r="J538">
        <v>-6.4104840725102086E-2</v>
      </c>
      <c r="K538">
        <v>1.1594820200654381E-3</v>
      </c>
      <c r="L538">
        <v>4.4964820038570906E-2</v>
      </c>
      <c r="M538">
        <v>-9.9722857032259818E-2</v>
      </c>
      <c r="N538">
        <v>-2.9369468452406441E-2</v>
      </c>
    </row>
    <row r="539" spans="3:14" x14ac:dyDescent="0.2">
      <c r="C539" t="s">
        <v>30</v>
      </c>
      <c r="D539">
        <v>-2.1953625554330624E-2</v>
      </c>
      <c r="E539">
        <v>-5.6177378672891617E-2</v>
      </c>
      <c r="F539">
        <v>-0.25403005194782691</v>
      </c>
      <c r="G539">
        <v>-2.3099439655135754E-3</v>
      </c>
      <c r="H539">
        <v>-0.13403779860413753</v>
      </c>
      <c r="I539">
        <v>3.4892208419503995E-2</v>
      </c>
      <c r="J539">
        <v>-6.7986684774361417E-3</v>
      </c>
      <c r="K539">
        <v>9.26337454362815E-2</v>
      </c>
      <c r="L539">
        <v>9.2180005004567508E-2</v>
      </c>
      <c r="M539">
        <v>3.9249540123027594E-2</v>
      </c>
      <c r="N539">
        <v>0.24030733137211077</v>
      </c>
    </row>
    <row r="540" spans="3:14" x14ac:dyDescent="0.2">
      <c r="C540" t="s">
        <v>31</v>
      </c>
      <c r="D540">
        <v>7.6576785252229107E-2</v>
      </c>
      <c r="E540">
        <v>-8.7476268320525481E-3</v>
      </c>
      <c r="F540">
        <v>5.7386103657532037E-3</v>
      </c>
      <c r="G540">
        <v>-2.5049552844840377E-2</v>
      </c>
      <c r="H540">
        <v>-0.23550724142588525</v>
      </c>
      <c r="I540">
        <v>-0.25908535940351146</v>
      </c>
      <c r="J540">
        <v>-2.7880246943271677E-2</v>
      </c>
      <c r="K540">
        <v>5.4172074847067325E-3</v>
      </c>
      <c r="L540">
        <v>5.1322089670469209E-2</v>
      </c>
      <c r="M540">
        <v>4.3654327709563873E-2</v>
      </c>
      <c r="N540">
        <v>1.8729997777112338E-2</v>
      </c>
    </row>
    <row r="541" spans="3:14" x14ac:dyDescent="0.2">
      <c r="C541" t="s">
        <v>32</v>
      </c>
      <c r="D541">
        <v>9.1262108928293714E-2</v>
      </c>
      <c r="E541">
        <v>0.16432222453132458</v>
      </c>
      <c r="F541">
        <v>5.3431344829343648E-2</v>
      </c>
      <c r="G541">
        <v>-6.507488883544589E-2</v>
      </c>
      <c r="H541">
        <v>-0.11706717604366136</v>
      </c>
      <c r="I541">
        <v>-6.4580691788867592E-2</v>
      </c>
      <c r="J541">
        <v>-6.726209185691702E-2</v>
      </c>
      <c r="K541">
        <v>-2.9933984294427677E-2</v>
      </c>
      <c r="L541">
        <v>-0.11493484765182328</v>
      </c>
      <c r="M541">
        <v>2.4741436654882529E-2</v>
      </c>
      <c r="N541">
        <v>-0.1301036520406865</v>
      </c>
    </row>
    <row r="542" spans="3:14" x14ac:dyDescent="0.2">
      <c r="C542" t="s">
        <v>33</v>
      </c>
      <c r="D542">
        <v>6.6921551277769595E-2</v>
      </c>
      <c r="E542">
        <v>-1.5903636960810024E-2</v>
      </c>
      <c r="F542">
        <v>2.7026433173313283E-2</v>
      </c>
      <c r="G542">
        <v>2.5363592939852981E-2</v>
      </c>
      <c r="H542">
        <v>-0.4694124791567022</v>
      </c>
      <c r="I542">
        <v>-1.3895296251964307E-2</v>
      </c>
      <c r="J542">
        <v>-5.7427090776784456E-2</v>
      </c>
      <c r="K542">
        <v>1.9717705251907219E-2</v>
      </c>
      <c r="L542">
        <v>-0.16060536801675199</v>
      </c>
      <c r="M542">
        <v>-0.13906169612149019</v>
      </c>
      <c r="N542">
        <v>6.0764106758292302E-2</v>
      </c>
    </row>
    <row r="543" spans="3:14" x14ac:dyDescent="0.2">
      <c r="C543" t="s">
        <v>34</v>
      </c>
      <c r="D543">
        <v>-3.2526323210794461E-2</v>
      </c>
      <c r="E543">
        <v>-3.6126879009743693E-2</v>
      </c>
      <c r="F543">
        <v>9.0890460844627208E-2</v>
      </c>
      <c r="G543">
        <v>-1.9584958434815506E-2</v>
      </c>
      <c r="H543">
        <v>-0.34878977825243507</v>
      </c>
      <c r="I543">
        <v>1.7488678138789373E-2</v>
      </c>
      <c r="J543">
        <v>7.7309340712590879E-2</v>
      </c>
      <c r="K543">
        <v>-0.14351203319875158</v>
      </c>
      <c r="L543">
        <v>0.13589807292963377</v>
      </c>
      <c r="M543">
        <v>4.6364932461775352E-2</v>
      </c>
      <c r="N543">
        <v>-6.2555761510079355E-2</v>
      </c>
    </row>
    <row r="544" spans="3:14" x14ac:dyDescent="0.2">
      <c r="C544" t="s">
        <v>35</v>
      </c>
      <c r="D544">
        <v>-1.9486670445467945E-2</v>
      </c>
      <c r="E544">
        <v>-3.956448051807622E-2</v>
      </c>
      <c r="F544">
        <v>-3.4215447989235084E-3</v>
      </c>
      <c r="G544">
        <v>-2.6755936425667873E-2</v>
      </c>
      <c r="H544">
        <v>-0.25782559972861613</v>
      </c>
      <c r="I544">
        <v>4.2354514536330851E-2</v>
      </c>
      <c r="J544">
        <v>-8.5826913068892522E-4</v>
      </c>
      <c r="K544">
        <v>-0.29522076254482477</v>
      </c>
      <c r="L544">
        <v>0.11540342231198185</v>
      </c>
      <c r="M544">
        <v>-2.4318403961668858E-2</v>
      </c>
      <c r="N544">
        <v>-4.3772837953325983E-2</v>
      </c>
    </row>
    <row r="545" spans="3:14" x14ac:dyDescent="0.2">
      <c r="C545" t="s">
        <v>36</v>
      </c>
      <c r="D545">
        <v>2.5583982702660185E-2</v>
      </c>
      <c r="E545">
        <v>-6.9779237841508066E-2</v>
      </c>
      <c r="F545">
        <v>-5.2120135666697417E-2</v>
      </c>
      <c r="G545">
        <v>2.9895083627549866E-2</v>
      </c>
      <c r="H545">
        <v>4.1677897637098574E-2</v>
      </c>
      <c r="I545">
        <v>9.5824262724510334E-2</v>
      </c>
      <c r="J545">
        <v>-9.7061536833454531E-2</v>
      </c>
      <c r="K545">
        <v>-0.34188284549528047</v>
      </c>
      <c r="L545">
        <v>-8.3931079933097008E-2</v>
      </c>
      <c r="M545">
        <v>4.6545016206586853E-2</v>
      </c>
      <c r="N545">
        <v>9.6343169373812459E-2</v>
      </c>
    </row>
    <row r="546" spans="3:14" x14ac:dyDescent="0.2">
      <c r="C546" t="s">
        <v>37</v>
      </c>
      <c r="D546">
        <v>0.1458656166084116</v>
      </c>
      <c r="E546">
        <v>-6.7692341839656167E-2</v>
      </c>
      <c r="F546">
        <v>-8.9520437263928471E-2</v>
      </c>
      <c r="G546">
        <v>0.1561478533528099</v>
      </c>
      <c r="H546">
        <v>9.9189714267597373E-2</v>
      </c>
      <c r="I546">
        <v>9.3296290616731198E-2</v>
      </c>
      <c r="J546">
        <v>4.8655249299734291E-2</v>
      </c>
      <c r="K546">
        <v>-0.16150278297608756</v>
      </c>
      <c r="L546">
        <v>-0.19818007978071864</v>
      </c>
      <c r="M546">
        <v>0.10333846310767687</v>
      </c>
      <c r="N546">
        <v>6.9826542279237125E-2</v>
      </c>
    </row>
    <row r="547" spans="3:14" x14ac:dyDescent="0.2">
      <c r="C547" t="s">
        <v>38</v>
      </c>
      <c r="D547">
        <v>5.5844195456788419E-2</v>
      </c>
      <c r="E547">
        <v>-4.6375663224942486E-2</v>
      </c>
      <c r="F547">
        <v>3.183006434592104E-2</v>
      </c>
      <c r="G547">
        <v>0.33350639738325688</v>
      </c>
      <c r="H547">
        <v>-1.8926953208975182E-3</v>
      </c>
      <c r="I547">
        <v>-3.2362572309428975E-2</v>
      </c>
      <c r="J547">
        <v>-6.4403962806571513E-2</v>
      </c>
      <c r="K547">
        <v>-6.0847085146865293E-2</v>
      </c>
      <c r="L547">
        <v>-9.7198371863561565E-3</v>
      </c>
      <c r="M547">
        <v>1.5582237680229451E-2</v>
      </c>
      <c r="N547">
        <v>6.1459346011561632E-2</v>
      </c>
    </row>
    <row r="548" spans="3:14" x14ac:dyDescent="0.2">
      <c r="C548" t="s">
        <v>39</v>
      </c>
      <c r="D548">
        <v>-9.9672775748288461E-3</v>
      </c>
      <c r="E548">
        <v>-5.5223803990772605E-2</v>
      </c>
      <c r="F548">
        <v>2.3370676937388202E-2</v>
      </c>
      <c r="G548">
        <v>0.32836988126613642</v>
      </c>
      <c r="H548">
        <v>2.2930651121305046E-2</v>
      </c>
      <c r="I548">
        <v>5.1990303847503132E-2</v>
      </c>
      <c r="J548">
        <v>-5.7831760480482261E-3</v>
      </c>
      <c r="K548">
        <v>1.4415029679866976E-2</v>
      </c>
      <c r="L548">
        <v>-3.2499785835424046E-2</v>
      </c>
      <c r="M548">
        <v>-3.8080858965647217E-2</v>
      </c>
      <c r="N548">
        <v>9.8591660950654955E-2</v>
      </c>
    </row>
    <row r="549" spans="3:14" x14ac:dyDescent="0.2">
      <c r="C549" t="s">
        <v>40</v>
      </c>
      <c r="D549">
        <v>3.2515110883083932E-2</v>
      </c>
      <c r="E549">
        <v>2.3789813887135997E-2</v>
      </c>
      <c r="F549">
        <v>-2.2151753569990221E-3</v>
      </c>
      <c r="G549">
        <v>0.34900825343889819</v>
      </c>
      <c r="H549">
        <v>5.895578672815989E-2</v>
      </c>
      <c r="I549">
        <v>0.11018777777640941</v>
      </c>
      <c r="J549">
        <v>-3.4467407964281133E-2</v>
      </c>
      <c r="K549">
        <v>-3.4807941777062416E-2</v>
      </c>
      <c r="L549">
        <v>3.8578051881479933E-2</v>
      </c>
      <c r="M549">
        <v>6.4512354016388565E-2</v>
      </c>
      <c r="N549">
        <v>-0.17155815928763049</v>
      </c>
    </row>
    <row r="550" spans="3:14" x14ac:dyDescent="0.2">
      <c r="C550" t="s">
        <v>41</v>
      </c>
      <c r="D550">
        <v>-4.3802859067721349E-2</v>
      </c>
      <c r="E550">
        <v>-7.5448979108669795E-2</v>
      </c>
      <c r="F550">
        <v>0.22774745363003041</v>
      </c>
      <c r="G550">
        <v>0.10065635197107063</v>
      </c>
      <c r="H550">
        <v>6.9554894113628835E-2</v>
      </c>
      <c r="I550">
        <v>7.4811378346428911E-2</v>
      </c>
      <c r="J550">
        <v>0.15260285119834172</v>
      </c>
      <c r="K550">
        <v>-0.27151635866772394</v>
      </c>
      <c r="L550">
        <v>2.6275282492297537E-2</v>
      </c>
      <c r="M550">
        <v>4.4352921333292605E-2</v>
      </c>
      <c r="N550">
        <v>2.8836808693830485E-2</v>
      </c>
    </row>
    <row r="551" spans="3:14" x14ac:dyDescent="0.2">
      <c r="C551" t="s">
        <v>42</v>
      </c>
      <c r="D551">
        <v>5.1702262476740452E-2</v>
      </c>
      <c r="E551">
        <v>1.0408471112476583E-2</v>
      </c>
      <c r="F551">
        <v>-6.3698757353764138E-2</v>
      </c>
      <c r="G551">
        <v>-4.5877759570920072E-2</v>
      </c>
      <c r="H551">
        <v>7.4640004665140536E-2</v>
      </c>
      <c r="I551">
        <v>-6.5752161878619445E-2</v>
      </c>
      <c r="J551">
        <v>-6.4405553250266132E-2</v>
      </c>
      <c r="K551">
        <v>-3.2521298323759523E-2</v>
      </c>
      <c r="L551">
        <v>2.6339429988106327E-2</v>
      </c>
      <c r="M551">
        <v>0.38386083041267816</v>
      </c>
      <c r="N551">
        <v>-5.2362253474049061E-2</v>
      </c>
    </row>
    <row r="552" spans="3:14" x14ac:dyDescent="0.2">
      <c r="C552" t="s">
        <v>43</v>
      </c>
      <c r="D552">
        <v>1.2152390158633468E-2</v>
      </c>
      <c r="E552">
        <v>-5.2231643686992152E-2</v>
      </c>
      <c r="F552">
        <v>1.7669283702403768E-2</v>
      </c>
      <c r="G552">
        <v>3.89332421545013E-2</v>
      </c>
      <c r="H552">
        <v>7.0468670214406198E-2</v>
      </c>
      <c r="I552">
        <v>1.6633055277102897E-2</v>
      </c>
      <c r="J552">
        <v>-5.6942425320558182E-2</v>
      </c>
      <c r="K552">
        <v>6.7916223832459516E-2</v>
      </c>
      <c r="L552">
        <v>-1.2873002939232998E-2</v>
      </c>
      <c r="M552">
        <v>0.47384777926101113</v>
      </c>
      <c r="N552">
        <v>9.2094243746120116E-2</v>
      </c>
    </row>
    <row r="553" spans="3:14" x14ac:dyDescent="0.2">
      <c r="C553" t="s">
        <v>44</v>
      </c>
      <c r="D553">
        <v>6.7919931156796357E-2</v>
      </c>
      <c r="E553">
        <v>-4.1248835315363615E-2</v>
      </c>
      <c r="F553">
        <v>-0.27847438808300329</v>
      </c>
      <c r="G553">
        <v>3.3993349311049997E-2</v>
      </c>
      <c r="H553">
        <v>2.1258470196079526E-2</v>
      </c>
      <c r="I553">
        <v>8.4883180938404496E-2</v>
      </c>
      <c r="J553">
        <v>-2.7736941543596485E-2</v>
      </c>
      <c r="K553">
        <v>1.9460216485025897E-2</v>
      </c>
      <c r="L553">
        <v>-7.1818712689633704E-2</v>
      </c>
      <c r="M553">
        <v>0.17893548826918054</v>
      </c>
      <c r="N553">
        <v>-2.665369651077466E-2</v>
      </c>
    </row>
    <row r="555" spans="3:14" x14ac:dyDescent="0.2">
      <c r="C555" t="s">
        <v>211</v>
      </c>
    </row>
    <row r="557" spans="3:14" x14ac:dyDescent="0.2">
      <c r="D557">
        <v>1</v>
      </c>
      <c r="E557">
        <v>2</v>
      </c>
      <c r="F557">
        <v>3</v>
      </c>
      <c r="G557">
        <v>4</v>
      </c>
      <c r="H557">
        <v>5</v>
      </c>
      <c r="I557">
        <v>6</v>
      </c>
      <c r="J557">
        <v>7</v>
      </c>
      <c r="K557">
        <v>8</v>
      </c>
      <c r="L557">
        <v>9</v>
      </c>
      <c r="M557">
        <v>10</v>
      </c>
      <c r="N557">
        <v>11</v>
      </c>
    </row>
    <row r="558" spans="3:14" x14ac:dyDescent="0.2">
      <c r="C558" t="s">
        <v>1</v>
      </c>
      <c r="D558">
        <v>4.8181286077818533E-2</v>
      </c>
      <c r="E558">
        <v>-1.5907558824844903E-2</v>
      </c>
      <c r="F558">
        <v>-3.2962349735248982E-2</v>
      </c>
      <c r="G558">
        <v>2.3423280609097319E-2</v>
      </c>
      <c r="H558">
        <v>-1.8323319272166821E-2</v>
      </c>
      <c r="I558">
        <v>3.4201514925675289E-2</v>
      </c>
      <c r="J558">
        <v>-2.2851965245073685E-2</v>
      </c>
      <c r="K558">
        <v>-5.0451932627571021E-2</v>
      </c>
      <c r="L558">
        <v>-0.21949727074511624</v>
      </c>
      <c r="M558">
        <v>-5.7171205291490831E-3</v>
      </c>
      <c r="N558">
        <v>-0.11635975930306219</v>
      </c>
    </row>
    <row r="559" spans="3:14" x14ac:dyDescent="0.2">
      <c r="C559" t="s">
        <v>2</v>
      </c>
      <c r="D559">
        <v>4.7561574183406313E-2</v>
      </c>
      <c r="E559">
        <v>7.8679759279396133E-2</v>
      </c>
      <c r="F559">
        <v>3.1314385245680657E-2</v>
      </c>
      <c r="G559">
        <v>-1.7507208294311408E-2</v>
      </c>
      <c r="H559">
        <v>0.10218234673504173</v>
      </c>
      <c r="I559">
        <v>0.14700172002799397</v>
      </c>
      <c r="J559">
        <v>3.1020408292283648E-2</v>
      </c>
      <c r="K559">
        <v>3.0425060602147138E-2</v>
      </c>
      <c r="L559">
        <v>-0.32328824007533197</v>
      </c>
      <c r="M559">
        <v>2.6378039616918932E-2</v>
      </c>
      <c r="N559">
        <v>-9.5275834192907347E-2</v>
      </c>
    </row>
    <row r="560" spans="3:14" x14ac:dyDescent="0.2">
      <c r="C560" t="s">
        <v>3</v>
      </c>
      <c r="D560">
        <v>-4.5441984205352115E-2</v>
      </c>
      <c r="E560">
        <v>-3.3784830661765838E-2</v>
      </c>
      <c r="F560">
        <v>0.16933146152754866</v>
      </c>
      <c r="G560">
        <v>-1.6994473500943758E-2</v>
      </c>
      <c r="H560">
        <v>0.11539694915345314</v>
      </c>
      <c r="I560">
        <v>-0.21338688742032272</v>
      </c>
      <c r="J560">
        <v>8.1340886531804674E-3</v>
      </c>
      <c r="K560">
        <v>8.7615172252123452E-2</v>
      </c>
      <c r="L560">
        <v>-0.18831378053268788</v>
      </c>
      <c r="M560">
        <v>-0.11615290284631555</v>
      </c>
      <c r="N560">
        <v>0.27392978141583058</v>
      </c>
    </row>
    <row r="561" spans="3:14" x14ac:dyDescent="0.2">
      <c r="C561" t="s">
        <v>4</v>
      </c>
      <c r="D561">
        <v>1.4089973269628787E-2</v>
      </c>
      <c r="E561">
        <v>-3.4565955762241043E-2</v>
      </c>
      <c r="F561">
        <v>7.7756587650413989E-2</v>
      </c>
      <c r="G561">
        <v>-6.7068702290773011E-2</v>
      </c>
      <c r="H561">
        <v>-5.5601833210483724E-2</v>
      </c>
      <c r="I561">
        <v>-0.14427805674983163</v>
      </c>
      <c r="J561">
        <v>3.8088192303992281E-3</v>
      </c>
      <c r="K561">
        <v>1.9781975031528343E-2</v>
      </c>
      <c r="L561">
        <v>-0.28177700587161497</v>
      </c>
      <c r="M561">
        <v>-8.7185065275178247E-2</v>
      </c>
      <c r="N561">
        <v>0.11332620241507232</v>
      </c>
    </row>
    <row r="562" spans="3:14" x14ac:dyDescent="0.2">
      <c r="C562" t="s">
        <v>5</v>
      </c>
      <c r="D562">
        <v>3.3497003839732175E-3</v>
      </c>
      <c r="E562">
        <v>7.8871325672202383E-2</v>
      </c>
      <c r="F562">
        <v>4.4375770753337491E-2</v>
      </c>
      <c r="G562">
        <v>-5.815267653287882E-3</v>
      </c>
      <c r="H562">
        <v>-1.4042922586625572E-2</v>
      </c>
      <c r="I562">
        <v>-8.1074875128425483E-2</v>
      </c>
      <c r="J562">
        <v>-4.3213840880144849E-2</v>
      </c>
      <c r="K562">
        <v>7.1128786196707774E-2</v>
      </c>
      <c r="L562">
        <v>-9.6852820975635814E-2</v>
      </c>
      <c r="M562">
        <v>-2.0482569902867301E-2</v>
      </c>
      <c r="N562">
        <v>3.6482583393596016E-2</v>
      </c>
    </row>
    <row r="563" spans="3:14" x14ac:dyDescent="0.2">
      <c r="C563" t="s">
        <v>6</v>
      </c>
      <c r="D563">
        <v>-0.16788785135710413</v>
      </c>
      <c r="E563">
        <v>-4.5522940151693121E-3</v>
      </c>
      <c r="F563">
        <v>-3.3495403406019982E-2</v>
      </c>
      <c r="G563">
        <v>-3.6370729116359926E-2</v>
      </c>
      <c r="H563">
        <v>1.9820356156466924E-2</v>
      </c>
      <c r="I563">
        <v>7.9722007607552478E-2</v>
      </c>
      <c r="J563">
        <v>-2.0644478763313146E-2</v>
      </c>
      <c r="K563">
        <v>1.5334201274407946E-3</v>
      </c>
      <c r="L563">
        <v>2.3557182618395192E-2</v>
      </c>
      <c r="M563">
        <v>-8.6952022227232445E-2</v>
      </c>
      <c r="N563">
        <v>-8.0107120339425103E-2</v>
      </c>
    </row>
    <row r="564" spans="3:14" x14ac:dyDescent="0.2">
      <c r="C564" t="s">
        <v>7</v>
      </c>
      <c r="D564">
        <v>-0.12712193269316271</v>
      </c>
      <c r="E564">
        <v>-1.6757719679445515E-2</v>
      </c>
      <c r="F564">
        <v>-2.8057010773551733E-2</v>
      </c>
      <c r="G564">
        <v>-2.0759122282175212E-2</v>
      </c>
      <c r="H564">
        <v>-5.9018872737620631E-2</v>
      </c>
      <c r="I564">
        <v>7.9369307678841011E-2</v>
      </c>
      <c r="J564">
        <v>-5.3093942974483501E-3</v>
      </c>
      <c r="K564">
        <v>-3.7769546844222616E-2</v>
      </c>
      <c r="L564">
        <v>-6.5473224964265067E-2</v>
      </c>
      <c r="M564">
        <v>-0.13614968370573491</v>
      </c>
      <c r="N564">
        <v>5.8094367925299623E-2</v>
      </c>
    </row>
    <row r="565" spans="3:14" x14ac:dyDescent="0.2">
      <c r="C565" t="s">
        <v>8</v>
      </c>
      <c r="D565">
        <v>-0.13223535553589139</v>
      </c>
      <c r="E565">
        <v>-2.3810887679559623E-2</v>
      </c>
      <c r="F565">
        <v>-2.5796266296786094E-2</v>
      </c>
      <c r="G565">
        <v>-5.4800087783613366E-2</v>
      </c>
      <c r="H565">
        <v>-9.6507269344117061E-2</v>
      </c>
      <c r="I565">
        <v>-5.8377023474908571E-2</v>
      </c>
      <c r="J565">
        <v>-8.830272535234154E-3</v>
      </c>
      <c r="K565">
        <v>0.17023957948113186</v>
      </c>
      <c r="L565">
        <v>3.3301827200324471E-2</v>
      </c>
      <c r="M565">
        <v>1.7696155574775382E-2</v>
      </c>
      <c r="N565">
        <v>-0.15079204223044329</v>
      </c>
    </row>
    <row r="566" spans="3:14" x14ac:dyDescent="0.2">
      <c r="C566" t="s">
        <v>9</v>
      </c>
      <c r="D566">
        <v>-0.13410021994377669</v>
      </c>
      <c r="E566">
        <v>7.6721937963078468E-2</v>
      </c>
      <c r="F566">
        <v>-1.4999882666483146E-2</v>
      </c>
      <c r="G566">
        <v>-8.1344309890058648E-3</v>
      </c>
      <c r="H566">
        <v>7.8920686812881641E-2</v>
      </c>
      <c r="I566">
        <v>2.773805117428006E-3</v>
      </c>
      <c r="J566">
        <v>-0.12113422852943981</v>
      </c>
      <c r="K566">
        <v>-3.3334771635045335E-2</v>
      </c>
      <c r="L566">
        <v>2.4951069531344676E-2</v>
      </c>
      <c r="M566">
        <v>-6.6277608338463176E-2</v>
      </c>
      <c r="N566">
        <v>-0.13654322507396255</v>
      </c>
    </row>
    <row r="567" spans="3:14" x14ac:dyDescent="0.2">
      <c r="C567" t="s">
        <v>10</v>
      </c>
      <c r="D567">
        <v>-4.8373302930116435E-2</v>
      </c>
      <c r="E567">
        <v>-3.1249920796698576E-2</v>
      </c>
      <c r="F567">
        <v>-1.759665994990442E-2</v>
      </c>
      <c r="G567">
        <v>8.4141646250598121E-4</v>
      </c>
      <c r="H567">
        <v>0.12521179365467439</v>
      </c>
      <c r="I567">
        <v>-9.7259580380877605E-2</v>
      </c>
      <c r="J567">
        <v>7.1168708957782281E-2</v>
      </c>
      <c r="K567">
        <v>-4.034908373543579E-2</v>
      </c>
      <c r="L567">
        <v>-4.5647258007182598E-2</v>
      </c>
      <c r="M567">
        <v>-4.780594423915311E-2</v>
      </c>
      <c r="N567">
        <v>-0.31428830933754009</v>
      </c>
    </row>
    <row r="568" spans="3:14" x14ac:dyDescent="0.2">
      <c r="C568" t="s">
        <v>11</v>
      </c>
      <c r="D568">
        <v>-0.26511377485129278</v>
      </c>
      <c r="E568">
        <v>-8.8474483454438174E-2</v>
      </c>
      <c r="F568">
        <v>7.061775509854859E-2</v>
      </c>
      <c r="G568">
        <v>-0.10163615648823063</v>
      </c>
      <c r="H568">
        <v>6.9211850039752318E-2</v>
      </c>
      <c r="I568">
        <v>9.8474267988788056E-2</v>
      </c>
      <c r="J568">
        <v>0.13624301163629735</v>
      </c>
      <c r="K568">
        <v>7.1267761453222056E-2</v>
      </c>
      <c r="L568">
        <v>0.10619745419146547</v>
      </c>
      <c r="M568">
        <v>7.1462583215743836E-2</v>
      </c>
      <c r="N568">
        <v>0.11238498236126956</v>
      </c>
    </row>
    <row r="569" spans="3:14" x14ac:dyDescent="0.2">
      <c r="C569" t="s">
        <v>12</v>
      </c>
      <c r="D569">
        <v>-0.21290209622773232</v>
      </c>
      <c r="E569">
        <v>-5.8688530417221905E-2</v>
      </c>
      <c r="F569">
        <v>4.6576275139787779E-2</v>
      </c>
      <c r="G569">
        <v>9.7912175497224418E-2</v>
      </c>
      <c r="H569">
        <v>6.0499347007233022E-2</v>
      </c>
      <c r="I569">
        <v>-1.8416377407796742E-2</v>
      </c>
      <c r="J569">
        <v>-6.5923904248324186E-2</v>
      </c>
      <c r="K569">
        <v>5.6363437104073176E-2</v>
      </c>
      <c r="L569">
        <v>0.19106397036077238</v>
      </c>
      <c r="M569">
        <v>0.14633399254723617</v>
      </c>
      <c r="N569">
        <v>1.4017862222689151E-2</v>
      </c>
    </row>
    <row r="570" spans="3:14" x14ac:dyDescent="0.2">
      <c r="C570" t="s">
        <v>13</v>
      </c>
      <c r="D570">
        <v>-0.20298754106394604</v>
      </c>
      <c r="E570">
        <v>-4.8306607059353662E-2</v>
      </c>
      <c r="F570">
        <v>1.9446240225335178E-2</v>
      </c>
      <c r="G570">
        <v>-6.3845599644404725E-3</v>
      </c>
      <c r="H570">
        <v>-2.7935662937779705E-2</v>
      </c>
      <c r="I570">
        <v>7.2170590037812052E-2</v>
      </c>
      <c r="J570">
        <v>3.3034949031455992E-2</v>
      </c>
      <c r="K570">
        <v>0.10681538864300583</v>
      </c>
      <c r="L570">
        <v>0.12872777475224698</v>
      </c>
      <c r="M570">
        <v>3.5611752640834868E-2</v>
      </c>
      <c r="N570">
        <v>0.21127227026986181</v>
      </c>
    </row>
    <row r="571" spans="3:14" x14ac:dyDescent="0.2">
      <c r="C571" t="s">
        <v>14</v>
      </c>
      <c r="D571">
        <v>-1.1140240348570682E-2</v>
      </c>
      <c r="E571">
        <v>-3.0180646877096113E-2</v>
      </c>
      <c r="F571">
        <v>-8.3190489848618862E-2</v>
      </c>
      <c r="G571">
        <v>2.4034277748649975E-2</v>
      </c>
      <c r="H571">
        <v>-0.11461666387882237</v>
      </c>
      <c r="I571">
        <v>4.8035480439193097E-2</v>
      </c>
      <c r="J571">
        <v>0.22239815391930759</v>
      </c>
      <c r="K571">
        <v>0.27418675522875857</v>
      </c>
      <c r="L571">
        <v>9.5364446008488306E-3</v>
      </c>
      <c r="M571">
        <v>5.7013548279980904E-2</v>
      </c>
      <c r="N571">
        <v>7.1488091405222984E-2</v>
      </c>
    </row>
    <row r="572" spans="3:14" x14ac:dyDescent="0.2">
      <c r="C572" t="s">
        <v>15</v>
      </c>
      <c r="D572">
        <v>-2.6109778834725833E-3</v>
      </c>
      <c r="E572">
        <v>2.5853702978180532E-2</v>
      </c>
      <c r="F572">
        <v>5.6504475294856575E-2</v>
      </c>
      <c r="G572">
        <v>-3.1327422905384643E-2</v>
      </c>
      <c r="H572">
        <v>2.9198754542501707E-2</v>
      </c>
      <c r="I572">
        <v>0.11402664474274374</v>
      </c>
      <c r="J572">
        <v>0.45621354998090352</v>
      </c>
      <c r="K572">
        <v>3.029614878458705E-2</v>
      </c>
      <c r="L572">
        <v>-2.5473984117715398E-2</v>
      </c>
      <c r="M572">
        <v>-0.10163961863215737</v>
      </c>
      <c r="N572">
        <v>-7.164072341202285E-2</v>
      </c>
    </row>
    <row r="573" spans="3:14" x14ac:dyDescent="0.2">
      <c r="C573" t="s">
        <v>16</v>
      </c>
      <c r="D573">
        <v>-6.7970485105878942E-2</v>
      </c>
      <c r="E573">
        <v>2.479730875593493E-2</v>
      </c>
      <c r="F573">
        <v>0.15299548341457606</v>
      </c>
      <c r="G573">
        <v>-5.6875591011655832E-2</v>
      </c>
      <c r="H573">
        <v>-6.5249143265116771E-2</v>
      </c>
      <c r="I573">
        <v>-6.591014346556566E-2</v>
      </c>
      <c r="J573">
        <v>0.16578744624830186</v>
      </c>
      <c r="K573">
        <v>0.10402845239514402</v>
      </c>
      <c r="L573">
        <v>0.16605745220532092</v>
      </c>
      <c r="M573">
        <v>0.16344492467473398</v>
      </c>
      <c r="N573">
        <v>-3.0226345588861312E-2</v>
      </c>
    </row>
    <row r="574" spans="3:14" x14ac:dyDescent="0.2">
      <c r="C574" t="s">
        <v>17</v>
      </c>
      <c r="D574">
        <v>3.6411959210102235E-2</v>
      </c>
      <c r="E574">
        <v>-0.10145808474542409</v>
      </c>
      <c r="F574">
        <v>8.278936765453164E-2</v>
      </c>
      <c r="G574">
        <v>-4.7201441439555333E-2</v>
      </c>
      <c r="H574">
        <v>0.12962212489095318</v>
      </c>
      <c r="I574">
        <v>-8.831360451240676E-2</v>
      </c>
      <c r="J574">
        <v>0.32548955424802156</v>
      </c>
      <c r="K574">
        <v>-0.15201219837454594</v>
      </c>
      <c r="L574">
        <v>-4.4728434275435359E-2</v>
      </c>
      <c r="M574">
        <v>-5.4112801337121652E-2</v>
      </c>
      <c r="N574">
        <v>4.6224610949373184E-2</v>
      </c>
    </row>
    <row r="575" spans="3:14" x14ac:dyDescent="0.2">
      <c r="C575" t="s">
        <v>18</v>
      </c>
      <c r="D575">
        <v>-1.3807237767188889E-2</v>
      </c>
      <c r="E575">
        <v>-8.5069258101089062E-2</v>
      </c>
      <c r="F575">
        <v>4.9482441165094808E-2</v>
      </c>
      <c r="G575">
        <v>-4.889512708556875E-3</v>
      </c>
      <c r="H575">
        <v>2.7720440526306171E-2</v>
      </c>
      <c r="I575">
        <v>-0.36721848862247936</v>
      </c>
      <c r="J575">
        <v>1.4179702546775353E-3</v>
      </c>
      <c r="K575">
        <v>0.18433279104026917</v>
      </c>
      <c r="L575">
        <v>-9.171120088025303E-4</v>
      </c>
      <c r="M575">
        <v>7.7212911905308573E-2</v>
      </c>
      <c r="N575">
        <v>3.3313822960837555E-2</v>
      </c>
    </row>
    <row r="576" spans="3:14" x14ac:dyDescent="0.2">
      <c r="C576" t="s">
        <v>19</v>
      </c>
      <c r="D576">
        <v>-4.7915065055616733E-2</v>
      </c>
      <c r="E576">
        <v>0.29702963745385758</v>
      </c>
      <c r="F576">
        <v>4.902211761319409E-2</v>
      </c>
      <c r="G576">
        <v>5.1870423150775571E-2</v>
      </c>
      <c r="H576">
        <v>-8.0649339347201462E-2</v>
      </c>
      <c r="I576">
        <v>0.20324173983827204</v>
      </c>
      <c r="J576">
        <v>-6.6450097388159005E-2</v>
      </c>
      <c r="K576">
        <v>0.17989494656192012</v>
      </c>
      <c r="L576">
        <v>-6.1704475987397686E-3</v>
      </c>
      <c r="M576">
        <v>-4.8265515037762108E-2</v>
      </c>
      <c r="N576">
        <v>3.1401342094319634E-2</v>
      </c>
    </row>
    <row r="577" spans="3:14" x14ac:dyDescent="0.2">
      <c r="C577" t="s">
        <v>20</v>
      </c>
      <c r="D577">
        <v>2.9752531420269832E-2</v>
      </c>
      <c r="E577">
        <v>0.33945290531705663</v>
      </c>
      <c r="F577">
        <v>-9.9607680884639584E-3</v>
      </c>
      <c r="G577">
        <v>-6.5632881524055928E-2</v>
      </c>
      <c r="H577">
        <v>-1.0731024610878544E-2</v>
      </c>
      <c r="I577">
        <v>0.11048957135501167</v>
      </c>
      <c r="J577">
        <v>-5.1065665417168532E-2</v>
      </c>
      <c r="K577">
        <v>7.6731404372581968E-2</v>
      </c>
      <c r="L577">
        <v>-1.5651433084190085E-2</v>
      </c>
      <c r="M577">
        <v>-4.2037971519837555E-2</v>
      </c>
      <c r="N577">
        <v>-6.4944065606546489E-2</v>
      </c>
    </row>
    <row r="578" spans="3:14" x14ac:dyDescent="0.2">
      <c r="C578" t="s">
        <v>21</v>
      </c>
      <c r="D578">
        <v>2.8834008473288691E-2</v>
      </c>
      <c r="E578">
        <v>0.23717521979636533</v>
      </c>
      <c r="F578">
        <v>4.6009490022115476E-2</v>
      </c>
      <c r="G578">
        <v>0.12131839822282532</v>
      </c>
      <c r="H578">
        <v>0.15719296792113857</v>
      </c>
      <c r="I578">
        <v>6.4573518383081341E-2</v>
      </c>
      <c r="J578">
        <v>4.0173182971657E-2</v>
      </c>
      <c r="K578">
        <v>8.1682649346530301E-2</v>
      </c>
      <c r="L578">
        <v>1.501708108988184E-3</v>
      </c>
      <c r="M578">
        <v>-1.8296269982979056E-2</v>
      </c>
      <c r="N578">
        <v>-1.7692116783817782E-2</v>
      </c>
    </row>
    <row r="579" spans="3:14" x14ac:dyDescent="0.2">
      <c r="C579" t="s">
        <v>22</v>
      </c>
      <c r="D579">
        <v>6.1963410654312989E-2</v>
      </c>
      <c r="E579">
        <v>8.7104399175441632E-2</v>
      </c>
      <c r="F579">
        <v>-6.0377846194088085E-2</v>
      </c>
      <c r="G579">
        <v>5.7884912517332972E-2</v>
      </c>
      <c r="H579">
        <v>1.8363080880290938E-2</v>
      </c>
      <c r="I579">
        <v>-8.8755094005898885E-2</v>
      </c>
      <c r="J579">
        <v>-5.0552739484591214E-2</v>
      </c>
      <c r="K579">
        <v>2.0989532963756373E-3</v>
      </c>
      <c r="L579">
        <v>-8.0195519931791845E-3</v>
      </c>
      <c r="M579">
        <v>-3.4905512909337764E-2</v>
      </c>
      <c r="N579">
        <v>-5.3217270732949046E-2</v>
      </c>
    </row>
    <row r="580" spans="3:14" x14ac:dyDescent="0.2">
      <c r="C580" t="s">
        <v>23</v>
      </c>
      <c r="D580">
        <v>7.6395136506487923E-2</v>
      </c>
      <c r="E580">
        <v>0.13855031641198168</v>
      </c>
      <c r="F580">
        <v>2.0049067962656191E-2</v>
      </c>
      <c r="G580">
        <v>-2.1598524901151783E-2</v>
      </c>
      <c r="H580">
        <v>0.20685720156876508</v>
      </c>
      <c r="I580">
        <v>-0.12850911766270889</v>
      </c>
      <c r="J580">
        <v>-3.2364694309793114E-2</v>
      </c>
      <c r="K580">
        <v>-0.13714083603781632</v>
      </c>
      <c r="L580">
        <v>-1.643008444761589E-2</v>
      </c>
      <c r="M580">
        <v>-2.889582482961256E-4</v>
      </c>
      <c r="N580">
        <v>9.2960587821166091E-2</v>
      </c>
    </row>
    <row r="581" spans="3:14" x14ac:dyDescent="0.2">
      <c r="C581" t="s">
        <v>24</v>
      </c>
      <c r="D581">
        <v>9.994771956902071E-3</v>
      </c>
      <c r="E581">
        <v>-2.1593514344869953E-2</v>
      </c>
      <c r="F581">
        <v>-4.9761742693285455E-2</v>
      </c>
      <c r="G581">
        <v>-6.0167239392631888E-3</v>
      </c>
      <c r="H581">
        <v>-7.3495834839068831E-3</v>
      </c>
      <c r="I581">
        <v>-3.0377237984004213E-4</v>
      </c>
      <c r="J581">
        <v>-1.0529955680258843E-2</v>
      </c>
      <c r="K581">
        <v>-1.3153619867853874E-2</v>
      </c>
      <c r="L581">
        <v>2.2105495001340514E-3</v>
      </c>
      <c r="M581">
        <v>2.0508776851161009E-2</v>
      </c>
      <c r="N581">
        <v>0.44226174905234639</v>
      </c>
    </row>
    <row r="582" spans="3:14" x14ac:dyDescent="0.2">
      <c r="C582" t="s">
        <v>25</v>
      </c>
      <c r="D582">
        <v>-4.307843694007633E-3</v>
      </c>
      <c r="E582">
        <v>0.14568865607960707</v>
      </c>
      <c r="F582">
        <v>-0.17300564085973116</v>
      </c>
      <c r="G582">
        <v>-0.12982178703732347</v>
      </c>
      <c r="H582">
        <v>-0.11281980941436716</v>
      </c>
      <c r="I582">
        <v>2.2303077319600254E-2</v>
      </c>
      <c r="J582">
        <v>-5.9787816361841786E-2</v>
      </c>
      <c r="K582">
        <v>5.3142107215423645E-2</v>
      </c>
      <c r="L582">
        <v>1.1955051875245565E-2</v>
      </c>
      <c r="M582">
        <v>-6.8625082136652624E-2</v>
      </c>
      <c r="N582">
        <v>9.5897446951759932E-2</v>
      </c>
    </row>
    <row r="583" spans="3:14" x14ac:dyDescent="0.2">
      <c r="C583" t="s">
        <v>26</v>
      </c>
      <c r="D583">
        <v>3.0615808719551101E-2</v>
      </c>
      <c r="E583">
        <v>1.4123519660454551E-2</v>
      </c>
      <c r="F583">
        <v>2.8772589299646413E-2</v>
      </c>
      <c r="G583">
        <v>-2.3116953699606077E-2</v>
      </c>
      <c r="H583">
        <v>-5.8012155390578706E-3</v>
      </c>
      <c r="I583">
        <v>-0.29862891694424093</v>
      </c>
      <c r="J583">
        <v>-1.8909760660741706E-2</v>
      </c>
      <c r="K583">
        <v>-9.432315389440013E-2</v>
      </c>
      <c r="L583">
        <v>3.694173449747401E-4</v>
      </c>
      <c r="M583">
        <v>-0.11762591749210949</v>
      </c>
      <c r="N583">
        <v>5.3153203206786279E-2</v>
      </c>
    </row>
    <row r="584" spans="3:14" x14ac:dyDescent="0.2">
      <c r="C584" t="s">
        <v>27</v>
      </c>
      <c r="D584">
        <v>2.0076107736136474E-2</v>
      </c>
      <c r="E584">
        <v>7.3877441722533757E-2</v>
      </c>
      <c r="F584">
        <v>-0.11822821783625231</v>
      </c>
      <c r="G584">
        <v>-1.4304639255836223E-2</v>
      </c>
      <c r="H584">
        <v>4.9775510227992911E-2</v>
      </c>
      <c r="I584">
        <v>1.266407355054414E-3</v>
      </c>
      <c r="J584">
        <v>-2.229551298208603E-3</v>
      </c>
      <c r="K584">
        <v>-0.19706947808706321</v>
      </c>
      <c r="L584">
        <v>-4.9176597463609355E-2</v>
      </c>
      <c r="M584">
        <v>-0.16627340255442635</v>
      </c>
      <c r="N584">
        <v>7.4483014444021098E-3</v>
      </c>
    </row>
    <row r="585" spans="3:14" x14ac:dyDescent="0.2">
      <c r="C585" t="s">
        <v>28</v>
      </c>
      <c r="D585">
        <v>-1.8739736484296519E-2</v>
      </c>
      <c r="E585">
        <v>-1.6524440424603767E-2</v>
      </c>
      <c r="F585">
        <v>-0.14198808685192665</v>
      </c>
      <c r="G585">
        <v>-2.3497157912982583E-2</v>
      </c>
      <c r="H585">
        <v>0.15799798103546442</v>
      </c>
      <c r="I585">
        <v>-0.16285915015517299</v>
      </c>
      <c r="J585">
        <v>2.3788643693038108E-2</v>
      </c>
      <c r="K585">
        <v>-3.247236565615709E-2</v>
      </c>
      <c r="L585">
        <v>1.1140808472127374E-3</v>
      </c>
      <c r="M585">
        <v>-4.9955091685147529E-2</v>
      </c>
      <c r="N585">
        <v>-0.14679168668475692</v>
      </c>
    </row>
    <row r="586" spans="3:14" x14ac:dyDescent="0.2">
      <c r="C586" t="s">
        <v>29</v>
      </c>
      <c r="D586">
        <v>-4.8933395136011817E-2</v>
      </c>
      <c r="E586">
        <v>-6.3248792248871899E-3</v>
      </c>
      <c r="F586">
        <v>-0.37536475386322227</v>
      </c>
      <c r="G586">
        <v>-2.2510054977143697E-2</v>
      </c>
      <c r="H586">
        <v>0.17320082971745715</v>
      </c>
      <c r="I586">
        <v>-2.88209745989512E-2</v>
      </c>
      <c r="J586">
        <v>-6.9093820593075755E-2</v>
      </c>
      <c r="K586">
        <v>5.716762537300973E-3</v>
      </c>
      <c r="L586">
        <v>4.9527908571741268E-2</v>
      </c>
      <c r="M586">
        <v>-9.38217295708451E-2</v>
      </c>
      <c r="N586">
        <v>-1.5950252621527741E-2</v>
      </c>
    </row>
    <row r="587" spans="3:14" x14ac:dyDescent="0.2">
      <c r="C587" t="s">
        <v>30</v>
      </c>
      <c r="D587">
        <v>-9.6072958143925951E-3</v>
      </c>
      <c r="E587">
        <v>-4.4606315105599509E-2</v>
      </c>
      <c r="F587">
        <v>-0.21963329234906143</v>
      </c>
      <c r="G587">
        <v>-2.2485312684558177E-3</v>
      </c>
      <c r="H587">
        <v>-0.10965087266805941</v>
      </c>
      <c r="I587">
        <v>2.5989368267260209E-2</v>
      </c>
      <c r="J587">
        <v>-1.4474374422661831E-2</v>
      </c>
      <c r="K587">
        <v>7.2996398548695718E-2</v>
      </c>
      <c r="L587">
        <v>7.1404446968855173E-2</v>
      </c>
      <c r="M587">
        <v>3.2217299064286803E-2</v>
      </c>
      <c r="N587">
        <v>0.21854967020073576</v>
      </c>
    </row>
    <row r="588" spans="3:14" x14ac:dyDescent="0.2">
      <c r="C588" t="s">
        <v>31</v>
      </c>
      <c r="D588">
        <v>5.2475677078543656E-2</v>
      </c>
      <c r="E588">
        <v>2.8721438338314728E-3</v>
      </c>
      <c r="F588">
        <v>2.601912150524415E-3</v>
      </c>
      <c r="G588">
        <v>-2.0442655137697791E-2</v>
      </c>
      <c r="H588">
        <v>-0.17467520169473855</v>
      </c>
      <c r="I588">
        <v>-0.21130677491712113</v>
      </c>
      <c r="J588">
        <v>-2.313282827550165E-2</v>
      </c>
      <c r="K588">
        <v>2.4321997391883156E-2</v>
      </c>
      <c r="L588">
        <v>3.5782511710371681E-2</v>
      </c>
      <c r="M588">
        <v>1.8885924701705605E-2</v>
      </c>
      <c r="N588">
        <v>1.8560125750237678E-2</v>
      </c>
    </row>
    <row r="589" spans="3:14" x14ac:dyDescent="0.2">
      <c r="C589" t="s">
        <v>32</v>
      </c>
      <c r="D589">
        <v>6.71098275762438E-2</v>
      </c>
      <c r="E589">
        <v>0.12601808655691543</v>
      </c>
      <c r="F589">
        <v>4.6346102505955111E-2</v>
      </c>
      <c r="G589">
        <v>-4.6902827114682473E-2</v>
      </c>
      <c r="H589">
        <v>-9.2594704777535078E-2</v>
      </c>
      <c r="I589">
        <v>-6.350949616675293E-2</v>
      </c>
      <c r="J589">
        <v>-4.9400270317480614E-2</v>
      </c>
      <c r="K589">
        <v>-1.7185637633671355E-2</v>
      </c>
      <c r="L589">
        <v>-9.2107926006889496E-2</v>
      </c>
      <c r="M589">
        <v>3.1543850922715428E-3</v>
      </c>
      <c r="N589">
        <v>-0.10919378887657984</v>
      </c>
    </row>
    <row r="590" spans="3:14" x14ac:dyDescent="0.2">
      <c r="C590" t="s">
        <v>33</v>
      </c>
      <c r="D590">
        <v>6.8563259518572298E-2</v>
      </c>
      <c r="E590">
        <v>-9.4833431081000896E-3</v>
      </c>
      <c r="F590">
        <v>1.4642163308738106E-2</v>
      </c>
      <c r="G590">
        <v>2.0592912539258601E-2</v>
      </c>
      <c r="H590">
        <v>-0.44935137474228326</v>
      </c>
      <c r="I590">
        <v>-3.3375090892473966E-2</v>
      </c>
      <c r="J590">
        <v>-6.4957124136903369E-2</v>
      </c>
      <c r="K590">
        <v>3.0349685611813212E-2</v>
      </c>
      <c r="L590">
        <v>-0.16092023765985511</v>
      </c>
      <c r="M590">
        <v>-0.11022296209235143</v>
      </c>
      <c r="N590">
        <v>6.2997749157067601E-2</v>
      </c>
    </row>
    <row r="591" spans="3:14" x14ac:dyDescent="0.2">
      <c r="C591" t="s">
        <v>34</v>
      </c>
      <c r="D591">
        <v>-2.7477574607556596E-2</v>
      </c>
      <c r="E591">
        <v>-3.3978683652765254E-2</v>
      </c>
      <c r="F591">
        <v>0.1054883817957436</v>
      </c>
      <c r="G591">
        <v>-2.2122494213471216E-2</v>
      </c>
      <c r="H591">
        <v>-0.41008371530927634</v>
      </c>
      <c r="I591">
        <v>7.7319305835560001E-3</v>
      </c>
      <c r="J591">
        <v>7.5031711203701335E-2</v>
      </c>
      <c r="K591">
        <v>-0.16099578211162544</v>
      </c>
      <c r="L591">
        <v>0.15254296966144748</v>
      </c>
      <c r="M591">
        <v>4.6773281766566546E-2</v>
      </c>
      <c r="N591">
        <v>-8.0161048643445365E-2</v>
      </c>
    </row>
    <row r="592" spans="3:14" x14ac:dyDescent="0.2">
      <c r="C592" t="s">
        <v>35</v>
      </c>
      <c r="D592">
        <v>-8.6127698993176717E-3</v>
      </c>
      <c r="E592">
        <v>-3.7732987799242022E-2</v>
      </c>
      <c r="F592">
        <v>-1.0661115472728886E-2</v>
      </c>
      <c r="G592">
        <v>-2.2745929510701993E-2</v>
      </c>
      <c r="H592">
        <v>-0.27764693929836692</v>
      </c>
      <c r="I592">
        <v>5.616396302967043E-2</v>
      </c>
      <c r="J592">
        <v>-1.9990867660365647E-3</v>
      </c>
      <c r="K592">
        <v>-0.32988413438891911</v>
      </c>
      <c r="L592">
        <v>0.1160830381412682</v>
      </c>
      <c r="M592">
        <v>-2.7571985320523486E-2</v>
      </c>
      <c r="N592">
        <v>-4.2154260054703373E-2</v>
      </c>
    </row>
    <row r="593" spans="3:14" x14ac:dyDescent="0.2">
      <c r="C593" t="s">
        <v>36</v>
      </c>
      <c r="D593">
        <v>3.2978259040885513E-2</v>
      </c>
      <c r="E593">
        <v>-6.2978597527047805E-2</v>
      </c>
      <c r="F593">
        <v>-4.9452184081838844E-2</v>
      </c>
      <c r="G593">
        <v>4.0542052662593663E-2</v>
      </c>
      <c r="H593">
        <v>4.80375815411015E-2</v>
      </c>
      <c r="I593">
        <v>0.1159639095175245</v>
      </c>
      <c r="J593">
        <v>-6.2393084866508235E-2</v>
      </c>
      <c r="K593">
        <v>-0.31392346587196629</v>
      </c>
      <c r="L593">
        <v>-9.2767877225728865E-2</v>
      </c>
      <c r="M593">
        <v>3.0653794177815982E-2</v>
      </c>
      <c r="N593">
        <v>0.10450939932542844</v>
      </c>
    </row>
    <row r="594" spans="3:14" x14ac:dyDescent="0.2">
      <c r="C594" t="s">
        <v>37</v>
      </c>
      <c r="D594">
        <v>8.8831416821021567E-2</v>
      </c>
      <c r="E594">
        <v>-4.5449274099802012E-2</v>
      </c>
      <c r="F594">
        <v>-6.3915905583608448E-2</v>
      </c>
      <c r="G594">
        <v>0.10593418081695806</v>
      </c>
      <c r="H594">
        <v>6.3344882755533058E-2</v>
      </c>
      <c r="I594">
        <v>7.2614466991802518E-2</v>
      </c>
      <c r="J594">
        <v>2.2409703963415722E-2</v>
      </c>
      <c r="K594">
        <v>-0.11485580234744276</v>
      </c>
      <c r="L594">
        <v>-0.12774959501285865</v>
      </c>
      <c r="M594">
        <v>6.0847295164705745E-2</v>
      </c>
      <c r="N594">
        <v>5.418401786902842E-2</v>
      </c>
    </row>
    <row r="595" spans="3:14" x14ac:dyDescent="0.2">
      <c r="C595" t="s">
        <v>38</v>
      </c>
      <c r="D595">
        <v>6.2031179020660958E-2</v>
      </c>
      <c r="E595">
        <v>-4.375890511382198E-2</v>
      </c>
      <c r="F595">
        <v>2.4526395347020679E-2</v>
      </c>
      <c r="G595">
        <v>0.30889318006231575</v>
      </c>
      <c r="H595">
        <v>3.5066896581135024E-3</v>
      </c>
      <c r="I595">
        <v>-4.0024071849862973E-2</v>
      </c>
      <c r="J595">
        <v>-5.0661451366871862E-2</v>
      </c>
      <c r="K595">
        <v>-6.5255869183373547E-2</v>
      </c>
      <c r="L595">
        <v>-2.0351006208549235E-2</v>
      </c>
      <c r="M595">
        <v>2.0370604005393152E-2</v>
      </c>
      <c r="N595">
        <v>6.2339626508329894E-2</v>
      </c>
    </row>
    <row r="596" spans="3:14" x14ac:dyDescent="0.2">
      <c r="C596" t="s">
        <v>39</v>
      </c>
      <c r="D596">
        <v>7.3852189806622275E-3</v>
      </c>
      <c r="E596">
        <v>-7.0117632474112734E-2</v>
      </c>
      <c r="F596">
        <v>1.5607467316851125E-2</v>
      </c>
      <c r="G596">
        <v>0.38145855634237213</v>
      </c>
      <c r="H596">
        <v>3.6093948750906081E-2</v>
      </c>
      <c r="I596">
        <v>5.307891643549971E-2</v>
      </c>
      <c r="J596">
        <v>-9.2487469560814054E-3</v>
      </c>
      <c r="K596">
        <v>-3.6753504471090668E-3</v>
      </c>
      <c r="L596">
        <v>-5.0387432232168537E-2</v>
      </c>
      <c r="M596">
        <v>-2.0200168817315938E-2</v>
      </c>
      <c r="N596">
        <v>0.12461913170770514</v>
      </c>
    </row>
    <row r="597" spans="3:14" x14ac:dyDescent="0.2">
      <c r="C597" t="s">
        <v>40</v>
      </c>
      <c r="D597">
        <v>4.3511022454217521E-2</v>
      </c>
      <c r="E597">
        <v>1.9914199581272166E-2</v>
      </c>
      <c r="F597">
        <v>-5.227503244825531E-3</v>
      </c>
      <c r="G597">
        <v>0.3466241325924011</v>
      </c>
      <c r="H597">
        <v>6.616249526578917E-2</v>
      </c>
      <c r="I597">
        <v>0.11051610372237204</v>
      </c>
      <c r="J597">
        <v>-2.8665812420721845E-2</v>
      </c>
      <c r="K597">
        <v>-5.0804930374579858E-2</v>
      </c>
      <c r="L597">
        <v>2.6810671985126149E-2</v>
      </c>
      <c r="M597">
        <v>6.5563122349245648E-2</v>
      </c>
      <c r="N597">
        <v>-0.19431514029967814</v>
      </c>
    </row>
    <row r="598" spans="3:14" x14ac:dyDescent="0.2">
      <c r="C598" t="s">
        <v>41</v>
      </c>
      <c r="D598">
        <v>-2.7196397457558807E-2</v>
      </c>
      <c r="E598">
        <v>-6.673669290445236E-2</v>
      </c>
      <c r="F598">
        <v>0.20230923515975405</v>
      </c>
      <c r="G598">
        <v>9.5743166775589542E-2</v>
      </c>
      <c r="H598">
        <v>7.8649821491545549E-2</v>
      </c>
      <c r="I598">
        <v>7.6564179062159718E-2</v>
      </c>
      <c r="J598">
        <v>0.12111795079293299</v>
      </c>
      <c r="K598">
        <v>-0.2514540229973265</v>
      </c>
      <c r="L598">
        <v>7.4189833109535377E-3</v>
      </c>
      <c r="M598">
        <v>3.6191229303307794E-2</v>
      </c>
      <c r="N598">
        <v>2.6541226758387104E-2</v>
      </c>
    </row>
    <row r="599" spans="3:14" x14ac:dyDescent="0.2">
      <c r="C599" t="s">
        <v>42</v>
      </c>
      <c r="D599">
        <v>8.5553799136899755E-2</v>
      </c>
      <c r="E599">
        <v>2.0788560335771929E-2</v>
      </c>
      <c r="F599">
        <v>-9.8729143191319382E-2</v>
      </c>
      <c r="G599">
        <v>-5.4558202376457629E-2</v>
      </c>
      <c r="H599">
        <v>9.2391217604051806E-2</v>
      </c>
      <c r="I599">
        <v>-9.509016344632297E-2</v>
      </c>
      <c r="J599">
        <v>-7.0111124277156933E-2</v>
      </c>
      <c r="K599">
        <v>-5.2934913071007866E-2</v>
      </c>
      <c r="L599">
        <v>1.5465966015208287E-2</v>
      </c>
      <c r="M599">
        <v>0.48066748061570891</v>
      </c>
      <c r="N599">
        <v>-7.6827179364463649E-2</v>
      </c>
    </row>
    <row r="600" spans="3:14" x14ac:dyDescent="0.2">
      <c r="C600" t="s">
        <v>43</v>
      </c>
      <c r="D600">
        <v>2.3785324401902969E-2</v>
      </c>
      <c r="E600">
        <v>-6.5916031775987094E-2</v>
      </c>
      <c r="F600">
        <v>1.9018514055936249E-2</v>
      </c>
      <c r="G600">
        <v>5.6595846861238704E-2</v>
      </c>
      <c r="H600">
        <v>7.1033346060398114E-2</v>
      </c>
      <c r="I600">
        <v>3.4478552588950578E-2</v>
      </c>
      <c r="J600">
        <v>-3.8877942768554795E-2</v>
      </c>
      <c r="K600">
        <v>6.4319736921874468E-2</v>
      </c>
      <c r="L600">
        <v>-4.025791861236383E-2</v>
      </c>
      <c r="M600">
        <v>0.47800424567892164</v>
      </c>
      <c r="N600">
        <v>0.12550210850567028</v>
      </c>
    </row>
    <row r="601" spans="3:14" x14ac:dyDescent="0.2">
      <c r="C601" t="s">
        <v>44</v>
      </c>
      <c r="D601">
        <v>6.6697516864157633E-2</v>
      </c>
      <c r="E601">
        <v>-4.0062858935548243E-2</v>
      </c>
      <c r="F601">
        <v>-0.27207287129443269</v>
      </c>
      <c r="G601">
        <v>4.2911580739952E-2</v>
      </c>
      <c r="H601">
        <v>1.0648305550894207E-2</v>
      </c>
      <c r="I601">
        <v>9.4606833081613551E-2</v>
      </c>
      <c r="J601">
        <v>-2.8219255112521088E-2</v>
      </c>
      <c r="K601">
        <v>6.4281314132866273E-3</v>
      </c>
      <c r="L601">
        <v>-7.3260605503439241E-2</v>
      </c>
      <c r="M601">
        <v>0.14184683864190895</v>
      </c>
      <c r="N601">
        <v>-1.1678688025650048E-2</v>
      </c>
    </row>
    <row r="603" spans="3:14" x14ac:dyDescent="0.2">
      <c r="C603" t="s">
        <v>212</v>
      </c>
    </row>
    <row r="605" spans="3:14" x14ac:dyDescent="0.2">
      <c r="D605">
        <v>1589.7303923966786</v>
      </c>
      <c r="E605">
        <v>-824.39257551024718</v>
      </c>
      <c r="F605">
        <v>460.56725201782331</v>
      </c>
      <c r="G605">
        <v>-448.62042100429113</v>
      </c>
      <c r="H605">
        <v>317.95843351994938</v>
      </c>
      <c r="I605">
        <v>507.48353953155987</v>
      </c>
      <c r="J605">
        <v>-465.8291660008851</v>
      </c>
      <c r="K605">
        <v>512.34726252796611</v>
      </c>
      <c r="L605">
        <v>660.4516032750405</v>
      </c>
      <c r="M605">
        <v>-485.94529957141083</v>
      </c>
      <c r="N605">
        <v>-29.853319650788528</v>
      </c>
    </row>
    <row r="606" spans="3:14" x14ac:dyDescent="0.2">
      <c r="D606">
        <v>-824.39257551024684</v>
      </c>
      <c r="E606">
        <v>657.24174245032395</v>
      </c>
      <c r="F606">
        <v>-291.74985023987529</v>
      </c>
      <c r="G606">
        <v>286.67333244851221</v>
      </c>
      <c r="H606">
        <v>-192.55431480876385</v>
      </c>
      <c r="I606">
        <v>-337.04832073800782</v>
      </c>
      <c r="J606">
        <v>375.53313889666401</v>
      </c>
      <c r="K606">
        <v>-328.17402457475225</v>
      </c>
      <c r="L606">
        <v>-320.11413280741658</v>
      </c>
      <c r="M606">
        <v>310.97924428643228</v>
      </c>
      <c r="N606">
        <v>53.245776101947072</v>
      </c>
    </row>
    <row r="607" spans="3:14" x14ac:dyDescent="0.2">
      <c r="D607">
        <v>460.56725201782325</v>
      </c>
      <c r="E607">
        <v>-291.74985023987523</v>
      </c>
      <c r="F607">
        <v>237.71907040918364</v>
      </c>
      <c r="G607">
        <v>-167.78900692049368</v>
      </c>
      <c r="H607">
        <v>115.79712052507944</v>
      </c>
      <c r="I607">
        <v>188.76717833425965</v>
      </c>
      <c r="J607">
        <v>-235.61388558219957</v>
      </c>
      <c r="K607">
        <v>163.40221328767501</v>
      </c>
      <c r="L607">
        <v>196.08973206273942</v>
      </c>
      <c r="M607">
        <v>-155.93987689571776</v>
      </c>
      <c r="N607">
        <v>-13.789640613082801</v>
      </c>
    </row>
    <row r="608" spans="3:14" x14ac:dyDescent="0.2">
      <c r="D608">
        <v>-448.62042100429107</v>
      </c>
      <c r="E608">
        <v>286.67333244851216</v>
      </c>
      <c r="F608">
        <v>-167.78900692049362</v>
      </c>
      <c r="G608">
        <v>246.99184057589602</v>
      </c>
      <c r="H608">
        <v>-114.27240109428899</v>
      </c>
      <c r="I608">
        <v>-187.74585517581681</v>
      </c>
      <c r="J608">
        <v>198.01314191820521</v>
      </c>
      <c r="K608">
        <v>-139.77777261777786</v>
      </c>
      <c r="L608">
        <v>-168.14932128765511</v>
      </c>
      <c r="M608">
        <v>125.4572969942564</v>
      </c>
      <c r="N608">
        <v>13.413845482377727</v>
      </c>
    </row>
    <row r="609" spans="3:14" x14ac:dyDescent="0.2">
      <c r="D609">
        <v>317.95843351994932</v>
      </c>
      <c r="E609">
        <v>-192.55431480876382</v>
      </c>
      <c r="F609">
        <v>115.79712052507941</v>
      </c>
      <c r="G609">
        <v>-114.27240109428898</v>
      </c>
      <c r="H609">
        <v>104.91114117004007</v>
      </c>
      <c r="I609">
        <v>119.76964895859497</v>
      </c>
      <c r="J609">
        <v>-133.62991451596423</v>
      </c>
      <c r="K609">
        <v>111.40933301215152</v>
      </c>
      <c r="L609">
        <v>143.35519356950866</v>
      </c>
      <c r="M609">
        <v>-112.61363668612486</v>
      </c>
      <c r="N609">
        <v>-4.8812859433125535</v>
      </c>
    </row>
    <row r="610" spans="3:14" x14ac:dyDescent="0.2">
      <c r="D610">
        <v>507.48353953155976</v>
      </c>
      <c r="E610">
        <v>-337.04832073800793</v>
      </c>
      <c r="F610">
        <v>188.76717833425971</v>
      </c>
      <c r="G610">
        <v>-187.74585517581681</v>
      </c>
      <c r="H610">
        <v>119.76964895859498</v>
      </c>
      <c r="I610">
        <v>235.16186180372233</v>
      </c>
      <c r="J610">
        <v>-214.97358080032271</v>
      </c>
      <c r="K610">
        <v>189.58196884025242</v>
      </c>
      <c r="L610">
        <v>199.95678423348465</v>
      </c>
      <c r="M610">
        <v>-176.26673016077891</v>
      </c>
      <c r="N610">
        <v>-16.654363220974147</v>
      </c>
    </row>
    <row r="611" spans="3:14" x14ac:dyDescent="0.2">
      <c r="D611">
        <v>-465.82916600088515</v>
      </c>
      <c r="E611">
        <v>375.53313889666413</v>
      </c>
      <c r="F611">
        <v>-235.61388558219957</v>
      </c>
      <c r="G611">
        <v>198.01314191820532</v>
      </c>
      <c r="H611">
        <v>-133.62991451596415</v>
      </c>
      <c r="I611">
        <v>-214.97358080032268</v>
      </c>
      <c r="J611">
        <v>360.39135625238544</v>
      </c>
      <c r="K611">
        <v>-183.13785159404773</v>
      </c>
      <c r="L611">
        <v>-202.21068040045739</v>
      </c>
      <c r="M611">
        <v>179.86387118529174</v>
      </c>
      <c r="N611">
        <v>25.916522362949358</v>
      </c>
    </row>
    <row r="612" spans="3:14" x14ac:dyDescent="0.2">
      <c r="D612">
        <v>512.34726252796622</v>
      </c>
      <c r="E612">
        <v>-328.17402457475225</v>
      </c>
      <c r="F612">
        <v>163.40221328767495</v>
      </c>
      <c r="G612">
        <v>-139.77777261777791</v>
      </c>
      <c r="H612">
        <v>111.40933301215148</v>
      </c>
      <c r="I612">
        <v>189.58196884025242</v>
      </c>
      <c r="J612">
        <v>-183.13785159404767</v>
      </c>
      <c r="K612">
        <v>225.54638359344756</v>
      </c>
      <c r="L612">
        <v>201.48767185854641</v>
      </c>
      <c r="M612">
        <v>-183.76132542020409</v>
      </c>
      <c r="N612">
        <v>-23.510985421887547</v>
      </c>
    </row>
    <row r="613" spans="3:14" x14ac:dyDescent="0.2">
      <c r="D613">
        <v>660.45160327504084</v>
      </c>
      <c r="E613">
        <v>-320.11413280741658</v>
      </c>
      <c r="F613">
        <v>196.08973206273936</v>
      </c>
      <c r="G613">
        <v>-168.14932128765511</v>
      </c>
      <c r="H613">
        <v>143.35519356950869</v>
      </c>
      <c r="I613">
        <v>199.95678423348457</v>
      </c>
      <c r="J613">
        <v>-202.21068040045731</v>
      </c>
      <c r="K613">
        <v>201.48767185854638</v>
      </c>
      <c r="L613">
        <v>354.40659398876295</v>
      </c>
      <c r="M613">
        <v>-223.06669473513205</v>
      </c>
      <c r="N613">
        <v>-2.7852029166214356</v>
      </c>
    </row>
    <row r="614" spans="3:14" x14ac:dyDescent="0.2">
      <c r="D614">
        <v>-485.94529957141054</v>
      </c>
      <c r="E614">
        <v>310.97924428643222</v>
      </c>
      <c r="F614">
        <v>-155.93987689571782</v>
      </c>
      <c r="G614">
        <v>125.45729699425641</v>
      </c>
      <c r="H614">
        <v>-112.61363668612489</v>
      </c>
      <c r="I614">
        <v>-176.26673016077879</v>
      </c>
      <c r="J614">
        <v>179.86387118529171</v>
      </c>
      <c r="K614">
        <v>-183.76132542020412</v>
      </c>
      <c r="L614">
        <v>-223.06669473513207</v>
      </c>
      <c r="M614">
        <v>227.76431939801509</v>
      </c>
      <c r="N614">
        <v>14.55221004760892</v>
      </c>
    </row>
    <row r="615" spans="3:14" x14ac:dyDescent="0.2">
      <c r="D615">
        <v>-29.853319650788553</v>
      </c>
      <c r="E615">
        <v>53.245776101947051</v>
      </c>
      <c r="F615">
        <v>-13.789640613082803</v>
      </c>
      <c r="G615">
        <v>13.413845482377726</v>
      </c>
      <c r="H615">
        <v>-4.8812859433125526</v>
      </c>
      <c r="I615">
        <v>-16.654363220974144</v>
      </c>
      <c r="J615">
        <v>25.916522362949348</v>
      </c>
      <c r="K615">
        <v>-23.510985421887533</v>
      </c>
      <c r="L615">
        <v>-2.785202916621432</v>
      </c>
      <c r="M615">
        <v>14.552210047608925</v>
      </c>
      <c r="N615">
        <v>33.079494893273377</v>
      </c>
    </row>
    <row r="617" spans="3:14" x14ac:dyDescent="0.2">
      <c r="D617">
        <v>1</v>
      </c>
      <c r="E617">
        <v>2</v>
      </c>
      <c r="F617">
        <v>3</v>
      </c>
      <c r="G617">
        <v>4</v>
      </c>
      <c r="H617">
        <v>5</v>
      </c>
      <c r="I617">
        <v>6</v>
      </c>
      <c r="J617">
        <v>7</v>
      </c>
      <c r="K617">
        <v>8</v>
      </c>
      <c r="L617">
        <v>9</v>
      </c>
      <c r="M617">
        <v>10</v>
      </c>
      <c r="N617">
        <v>11</v>
      </c>
    </row>
    <row r="618" spans="3:14" x14ac:dyDescent="0.2">
      <c r="C618" t="s">
        <v>1</v>
      </c>
      <c r="D618">
        <v>4.7501216806469806E-2</v>
      </c>
      <c r="E618">
        <v>-1.5836579218064629E-2</v>
      </c>
      <c r="F618">
        <v>-3.2794234594957852E-2</v>
      </c>
      <c r="G618">
        <v>2.2939517731364586E-2</v>
      </c>
      <c r="H618">
        <v>-1.8774392208302564E-2</v>
      </c>
      <c r="I618">
        <v>3.4081038995394906E-2</v>
      </c>
      <c r="J618">
        <v>-2.2773913363629723E-2</v>
      </c>
      <c r="K618">
        <v>-4.9704716713139446E-2</v>
      </c>
      <c r="L618">
        <v>-0.21865292690607702</v>
      </c>
      <c r="M618">
        <v>-6.0790397980152872E-3</v>
      </c>
      <c r="N618">
        <v>-0.11606182026984928</v>
      </c>
    </row>
    <row r="619" spans="3:14" x14ac:dyDescent="0.2">
      <c r="C619" t="s">
        <v>2</v>
      </c>
      <c r="D619">
        <v>4.6873858285268286E-2</v>
      </c>
      <c r="E619">
        <v>7.8652230504824172E-2</v>
      </c>
      <c r="F619">
        <v>3.1442558451544846E-2</v>
      </c>
      <c r="G619">
        <v>-1.8084301191623759E-2</v>
      </c>
      <c r="H619">
        <v>0.10116340303225146</v>
      </c>
      <c r="I619">
        <v>0.14664291539514829</v>
      </c>
      <c r="J619">
        <v>3.0963544151032592E-2</v>
      </c>
      <c r="K619">
        <v>3.1031408647556193E-2</v>
      </c>
      <c r="L619">
        <v>-0.3220847016461228</v>
      </c>
      <c r="M619">
        <v>2.6035202902261717E-2</v>
      </c>
      <c r="N619">
        <v>-9.5097689705635396E-2</v>
      </c>
    </row>
    <row r="620" spans="3:14" x14ac:dyDescent="0.2">
      <c r="C620" t="s">
        <v>3</v>
      </c>
      <c r="D620">
        <v>-4.525812311536944E-2</v>
      </c>
      <c r="E620">
        <v>-3.3530916893466767E-2</v>
      </c>
      <c r="F620">
        <v>0.1691869431224835</v>
      </c>
      <c r="G620">
        <v>-1.7143516603983902E-2</v>
      </c>
      <c r="H620">
        <v>0.11475223598271818</v>
      </c>
      <c r="I620">
        <v>-0.21334031293744166</v>
      </c>
      <c r="J620">
        <v>8.1056832796251067E-3</v>
      </c>
      <c r="K620">
        <v>8.7291472953519939E-2</v>
      </c>
      <c r="L620">
        <v>-0.18796240417876064</v>
      </c>
      <c r="M620">
        <v>-0.11609433714236356</v>
      </c>
      <c r="N620">
        <v>0.27276083604829743</v>
      </c>
    </row>
    <row r="621" spans="3:14" x14ac:dyDescent="0.2">
      <c r="C621" t="s">
        <v>4</v>
      </c>
      <c r="D621">
        <v>1.3769079214303917E-2</v>
      </c>
      <c r="E621">
        <v>-3.4399486454109347E-2</v>
      </c>
      <c r="F621">
        <v>7.7717773311352822E-2</v>
      </c>
      <c r="G621">
        <v>-6.7265808129436819E-2</v>
      </c>
      <c r="H621">
        <v>-5.5794575989897816E-2</v>
      </c>
      <c r="I621">
        <v>-0.1442776145291739</v>
      </c>
      <c r="J621">
        <v>3.8553172864281716E-3</v>
      </c>
      <c r="K621">
        <v>2.007530182558543E-2</v>
      </c>
      <c r="L621">
        <v>-0.28113114469724587</v>
      </c>
      <c r="M621">
        <v>-8.7339451757287384E-2</v>
      </c>
      <c r="N621">
        <v>0.11280962071620516</v>
      </c>
    </row>
    <row r="622" spans="3:14" x14ac:dyDescent="0.2">
      <c r="C622" t="s">
        <v>5</v>
      </c>
      <c r="D622">
        <v>3.3067727909522025E-3</v>
      </c>
      <c r="E622">
        <v>7.8591056373250048E-2</v>
      </c>
      <c r="F622">
        <v>4.4320742495064833E-2</v>
      </c>
      <c r="G622">
        <v>-5.7661191091316804E-3</v>
      </c>
      <c r="H622">
        <v>-1.4017434522954224E-2</v>
      </c>
      <c r="I622">
        <v>-8.0944960615710354E-2</v>
      </c>
      <c r="J622">
        <v>-4.3020546359671827E-2</v>
      </c>
      <c r="K622">
        <v>7.0928422598636104E-2</v>
      </c>
      <c r="L622">
        <v>-9.6719017974840477E-2</v>
      </c>
      <c r="M622">
        <v>-2.0347934182797817E-2</v>
      </c>
      <c r="N622">
        <v>3.6561050138035858E-2</v>
      </c>
    </row>
    <row r="623" spans="3:14" x14ac:dyDescent="0.2">
      <c r="C623" t="s">
        <v>6</v>
      </c>
      <c r="D623">
        <v>-0.16719384066928805</v>
      </c>
      <c r="E623">
        <v>-4.8644794855951037E-3</v>
      </c>
      <c r="F623">
        <v>-3.3632631636192664E-2</v>
      </c>
      <c r="G623">
        <v>-3.5895643304229126E-2</v>
      </c>
      <c r="H623">
        <v>2.0069069501550463E-2</v>
      </c>
      <c r="I623">
        <v>7.9556407684004474E-2</v>
      </c>
      <c r="J623">
        <v>-2.0699634987892675E-2</v>
      </c>
      <c r="K623">
        <v>8.0956469514739324E-4</v>
      </c>
      <c r="L623">
        <v>2.3013566255349043E-2</v>
      </c>
      <c r="M623">
        <v>-8.6201923733442681E-2</v>
      </c>
      <c r="N623">
        <v>-7.9798971280862052E-2</v>
      </c>
    </row>
    <row r="624" spans="3:14" x14ac:dyDescent="0.2">
      <c r="C624" t="s">
        <v>7</v>
      </c>
      <c r="D624">
        <v>-0.1266823296059349</v>
      </c>
      <c r="E624">
        <v>-1.6850758970827582E-2</v>
      </c>
      <c r="F624">
        <v>-2.8120551023608636E-2</v>
      </c>
      <c r="G624">
        <v>-2.0502961064505814E-2</v>
      </c>
      <c r="H624">
        <v>-5.8718460099246285E-2</v>
      </c>
      <c r="I624">
        <v>7.9045831232682343E-2</v>
      </c>
      <c r="J624">
        <v>-5.3817316151094077E-3</v>
      </c>
      <c r="K624">
        <v>-3.8120158344706813E-2</v>
      </c>
      <c r="L624">
        <v>-6.5662695210820451E-2</v>
      </c>
      <c r="M624">
        <v>-0.13550144848389975</v>
      </c>
      <c r="N624">
        <v>5.7766439449421281E-2</v>
      </c>
    </row>
    <row r="625" spans="3:14" x14ac:dyDescent="0.2">
      <c r="C625" t="s">
        <v>8</v>
      </c>
      <c r="D625">
        <v>-0.13154900983304543</v>
      </c>
      <c r="E625">
        <v>-2.4230261167663313E-2</v>
      </c>
      <c r="F625">
        <v>-2.6009991009021759E-2</v>
      </c>
      <c r="G625">
        <v>-5.4102865059389174E-2</v>
      </c>
      <c r="H625">
        <v>-9.5887445172441202E-2</v>
      </c>
      <c r="I625">
        <v>-5.8141929163948392E-2</v>
      </c>
      <c r="J625">
        <v>-8.8333876196217617E-3</v>
      </c>
      <c r="K625">
        <v>0.16925480333802265</v>
      </c>
      <c r="L625">
        <v>3.2503412108392457E-2</v>
      </c>
      <c r="M625">
        <v>1.8231913003372395E-2</v>
      </c>
      <c r="N625">
        <v>-0.15002102377103343</v>
      </c>
    </row>
    <row r="626" spans="3:14" x14ac:dyDescent="0.2">
      <c r="C626" t="s">
        <v>9</v>
      </c>
      <c r="D626">
        <v>-0.13365966407701213</v>
      </c>
      <c r="E626">
        <v>7.6132049640793564E-2</v>
      </c>
      <c r="F626">
        <v>-1.5121758550133563E-2</v>
      </c>
      <c r="G626">
        <v>-7.764799614449671E-3</v>
      </c>
      <c r="H626">
        <v>7.905170732448133E-2</v>
      </c>
      <c r="I626">
        <v>2.8726315966827094E-3</v>
      </c>
      <c r="J626">
        <v>-0.12085752957606841</v>
      </c>
      <c r="K626">
        <v>-3.3930841109691773E-2</v>
      </c>
      <c r="L626">
        <v>2.4547512281993422E-2</v>
      </c>
      <c r="M626">
        <v>-6.5642757624397932E-2</v>
      </c>
      <c r="N626">
        <v>-0.13576397338827167</v>
      </c>
    </row>
    <row r="627" spans="3:14" x14ac:dyDescent="0.2">
      <c r="C627" t="s">
        <v>10</v>
      </c>
      <c r="D627">
        <v>-4.845208571128827E-2</v>
      </c>
      <c r="E627">
        <v>-3.1478473294556435E-2</v>
      </c>
      <c r="F627">
        <v>-1.7610540202507352E-2</v>
      </c>
      <c r="G627">
        <v>7.8583094914756063E-4</v>
      </c>
      <c r="H627">
        <v>0.12474519524653047</v>
      </c>
      <c r="I627">
        <v>-9.7095843936674309E-2</v>
      </c>
      <c r="J627">
        <v>7.1063162558933815E-2</v>
      </c>
      <c r="K627">
        <v>-4.0340533031688226E-2</v>
      </c>
      <c r="L627">
        <v>-4.5599400822379829E-2</v>
      </c>
      <c r="M627">
        <v>-4.7783172851672266E-2</v>
      </c>
      <c r="N627">
        <v>-0.31296861903595602</v>
      </c>
    </row>
    <row r="628" spans="3:14" x14ac:dyDescent="0.2">
      <c r="C628" t="s">
        <v>11</v>
      </c>
      <c r="D628">
        <v>-0.26404528080553408</v>
      </c>
      <c r="E628">
        <v>-8.8053892845301657E-2</v>
      </c>
      <c r="F628">
        <v>7.0267574539113975E-2</v>
      </c>
      <c r="G628">
        <v>-0.1010782045247155</v>
      </c>
      <c r="H628">
        <v>6.9190086793114919E-2</v>
      </c>
      <c r="I628">
        <v>9.8251234740494922E-2</v>
      </c>
      <c r="J628">
        <v>0.13565960122700063</v>
      </c>
      <c r="K628">
        <v>7.0391951539370348E-2</v>
      </c>
      <c r="L628">
        <v>0.1053694761822246</v>
      </c>
      <c r="M628">
        <v>7.1602920528349531E-2</v>
      </c>
      <c r="N628">
        <v>0.11158512300783886</v>
      </c>
    </row>
    <row r="629" spans="3:14" x14ac:dyDescent="0.2">
      <c r="C629" t="s">
        <v>12</v>
      </c>
      <c r="D629">
        <v>-0.21223022815346471</v>
      </c>
      <c r="E629">
        <v>-5.8509958711591238E-2</v>
      </c>
      <c r="F629">
        <v>4.6351105616898203E-2</v>
      </c>
      <c r="G629">
        <v>9.8172759360978426E-2</v>
      </c>
      <c r="H629">
        <v>6.0454731701931282E-2</v>
      </c>
      <c r="I629">
        <v>-1.8156906519280848E-2</v>
      </c>
      <c r="J629">
        <v>-6.5954888318136978E-2</v>
      </c>
      <c r="K629">
        <v>5.57386260078616E-2</v>
      </c>
      <c r="L629">
        <v>0.19028690665016881</v>
      </c>
      <c r="M629">
        <v>0.14619588252465726</v>
      </c>
      <c r="N629">
        <v>1.3839163772459919E-2</v>
      </c>
    </row>
    <row r="630" spans="3:14" x14ac:dyDescent="0.2">
      <c r="C630" t="s">
        <v>13</v>
      </c>
      <c r="D630">
        <v>-0.20201289700158809</v>
      </c>
      <c r="E630">
        <v>-4.8062059412335753E-2</v>
      </c>
      <c r="F630">
        <v>1.9233295927731722E-2</v>
      </c>
      <c r="G630">
        <v>-5.8850496696574925E-3</v>
      </c>
      <c r="H630">
        <v>-2.7626764127681287E-2</v>
      </c>
      <c r="I630">
        <v>7.2010413890493341E-2</v>
      </c>
      <c r="J630">
        <v>3.2749303186596454E-2</v>
      </c>
      <c r="K630">
        <v>0.10589020991260492</v>
      </c>
      <c r="L630">
        <v>0.12790108398158384</v>
      </c>
      <c r="M630">
        <v>3.5969991758225538E-2</v>
      </c>
      <c r="N630">
        <v>0.21023493572884169</v>
      </c>
    </row>
    <row r="631" spans="3:14" x14ac:dyDescent="0.2">
      <c r="C631" t="s">
        <v>14</v>
      </c>
      <c r="D631">
        <v>-1.0806718424418838E-2</v>
      </c>
      <c r="E631">
        <v>-3.0000200231243081E-2</v>
      </c>
      <c r="F631">
        <v>-8.3108863114554635E-2</v>
      </c>
      <c r="G631">
        <v>2.418052048355341E-2</v>
      </c>
      <c r="H631">
        <v>-0.11454354757522574</v>
      </c>
      <c r="I631">
        <v>4.7827258197055633E-2</v>
      </c>
      <c r="J631">
        <v>0.22185382295125661</v>
      </c>
      <c r="K631">
        <v>0.27359355725102324</v>
      </c>
      <c r="L631">
        <v>9.2705832916181695E-3</v>
      </c>
      <c r="M631">
        <v>5.7115291190499601E-2</v>
      </c>
      <c r="N631">
        <v>7.1090382187334655E-2</v>
      </c>
    </row>
    <row r="632" spans="3:14" x14ac:dyDescent="0.2">
      <c r="C632" t="s">
        <v>15</v>
      </c>
      <c r="D632">
        <v>-2.4037002796617845E-3</v>
      </c>
      <c r="E632">
        <v>2.5935634497967538E-2</v>
      </c>
      <c r="F632">
        <v>5.6400640861806323E-2</v>
      </c>
      <c r="G632">
        <v>-3.1287042281091658E-2</v>
      </c>
      <c r="H632">
        <v>2.8985601673892528E-2</v>
      </c>
      <c r="I632">
        <v>0.11346061915406123</v>
      </c>
      <c r="J632">
        <v>0.45524388775514174</v>
      </c>
      <c r="K632">
        <v>3.0142817948198942E-2</v>
      </c>
      <c r="L632">
        <v>-2.5499502005740186E-2</v>
      </c>
      <c r="M632">
        <v>-0.10130946758115289</v>
      </c>
      <c r="N632">
        <v>-7.1376492388866342E-2</v>
      </c>
    </row>
    <row r="633" spans="3:14" x14ac:dyDescent="0.2">
      <c r="C633" t="s">
        <v>16</v>
      </c>
      <c r="D633">
        <v>-6.7503576732032874E-2</v>
      </c>
      <c r="E633">
        <v>2.4792513514648361E-2</v>
      </c>
      <c r="F633">
        <v>0.15257152895171383</v>
      </c>
      <c r="G633">
        <v>-5.6327743894363805E-2</v>
      </c>
      <c r="H633">
        <v>-6.4669044287118532E-2</v>
      </c>
      <c r="I633">
        <v>-6.5599443605607641E-2</v>
      </c>
      <c r="J633">
        <v>0.16545668310229286</v>
      </c>
      <c r="K633">
        <v>0.10350801276486928</v>
      </c>
      <c r="L633">
        <v>0.16523652644514633</v>
      </c>
      <c r="M633">
        <v>0.16323200503868121</v>
      </c>
      <c r="N633">
        <v>-2.986338086726141E-2</v>
      </c>
    </row>
    <row r="634" spans="3:14" x14ac:dyDescent="0.2">
      <c r="C634" t="s">
        <v>17</v>
      </c>
      <c r="D634">
        <v>3.6040571489815397E-2</v>
      </c>
      <c r="E634">
        <v>-0.10068157867779258</v>
      </c>
      <c r="F634">
        <v>8.2790499387839209E-2</v>
      </c>
      <c r="G634">
        <v>-4.7695487676418555E-2</v>
      </c>
      <c r="H634">
        <v>0.12884304605310123</v>
      </c>
      <c r="I634">
        <v>-8.8523330961962798E-2</v>
      </c>
      <c r="J634">
        <v>0.32476990992943078</v>
      </c>
      <c r="K634">
        <v>-0.1512229114325499</v>
      </c>
      <c r="L634">
        <v>-4.4252875144505939E-2</v>
      </c>
      <c r="M634">
        <v>-5.4800286473730857E-2</v>
      </c>
      <c r="N634">
        <v>4.5762229704790311E-2</v>
      </c>
    </row>
    <row r="635" spans="3:14" x14ac:dyDescent="0.2">
      <c r="C635" t="s">
        <v>18</v>
      </c>
      <c r="D635">
        <v>-1.3731323219482793E-2</v>
      </c>
      <c r="E635">
        <v>-8.4888687402600277E-2</v>
      </c>
      <c r="F635">
        <v>4.9397420567311105E-2</v>
      </c>
      <c r="G635">
        <v>-4.8360643021393718E-3</v>
      </c>
      <c r="H635">
        <v>2.7487566671412209E-2</v>
      </c>
      <c r="I635">
        <v>-0.36653218452548347</v>
      </c>
      <c r="J635">
        <v>1.4764502918432512E-3</v>
      </c>
      <c r="K635">
        <v>0.18394289970402394</v>
      </c>
      <c r="L635">
        <v>-1.1357857290942826E-3</v>
      </c>
      <c r="M635">
        <v>7.6730724218264476E-2</v>
      </c>
      <c r="N635">
        <v>3.3309174271487774E-2</v>
      </c>
    </row>
    <row r="636" spans="3:14" x14ac:dyDescent="0.2">
      <c r="C636" t="s">
        <v>19</v>
      </c>
      <c r="D636">
        <v>-4.7327000683648562E-2</v>
      </c>
      <c r="E636">
        <v>0.29590608936222801</v>
      </c>
      <c r="F636">
        <v>4.8836773457491628E-2</v>
      </c>
      <c r="G636">
        <v>5.2458425046083078E-2</v>
      </c>
      <c r="H636">
        <v>-7.99416801447069E-2</v>
      </c>
      <c r="I636">
        <v>0.20299598765653445</v>
      </c>
      <c r="J636">
        <v>-6.6176623477242028E-2</v>
      </c>
      <c r="K636">
        <v>0.1787502795053722</v>
      </c>
      <c r="L636">
        <v>-6.5891561999063741E-3</v>
      </c>
      <c r="M636">
        <v>-4.7001784290694265E-2</v>
      </c>
      <c r="N636">
        <v>3.1850514477345063E-2</v>
      </c>
    </row>
    <row r="637" spans="3:14" x14ac:dyDescent="0.2">
      <c r="C637" t="s">
        <v>20</v>
      </c>
      <c r="D637">
        <v>2.9910129611225824E-2</v>
      </c>
      <c r="E637">
        <v>0.33827156203928976</v>
      </c>
      <c r="F637">
        <v>-1.0037212151270132E-2</v>
      </c>
      <c r="G637">
        <v>-6.514272476288599E-2</v>
      </c>
      <c r="H637">
        <v>-1.0160697950766445E-2</v>
      </c>
      <c r="I637">
        <v>0.11044166775559294</v>
      </c>
      <c r="J637">
        <v>-5.0706102361374739E-2</v>
      </c>
      <c r="K637">
        <v>7.6041893943503497E-2</v>
      </c>
      <c r="L637">
        <v>-1.5835366463019938E-2</v>
      </c>
      <c r="M637">
        <v>-4.1139691299826434E-2</v>
      </c>
      <c r="N637">
        <v>-6.3939885664411694E-2</v>
      </c>
    </row>
    <row r="638" spans="3:14" x14ac:dyDescent="0.2">
      <c r="C638" t="s">
        <v>21</v>
      </c>
      <c r="D638">
        <v>2.8799760294734713E-2</v>
      </c>
      <c r="E638">
        <v>0.23656712931059715</v>
      </c>
      <c r="F638">
        <v>4.6045858204296151E-2</v>
      </c>
      <c r="G638">
        <v>0.1211511782816201</v>
      </c>
      <c r="H638">
        <v>0.15666928653412562</v>
      </c>
      <c r="I638">
        <v>6.4470033118891074E-2</v>
      </c>
      <c r="J638">
        <v>4.0237618297052406E-2</v>
      </c>
      <c r="K638">
        <v>8.1311371439909394E-2</v>
      </c>
      <c r="L638">
        <v>1.701005111092261E-3</v>
      </c>
      <c r="M638">
        <v>-1.7909371833600838E-2</v>
      </c>
      <c r="N638">
        <v>-1.7224024793595277E-2</v>
      </c>
    </row>
    <row r="639" spans="3:14" x14ac:dyDescent="0.2">
      <c r="C639" t="s">
        <v>22</v>
      </c>
      <c r="D639">
        <v>6.1680980919169327E-2</v>
      </c>
      <c r="E639">
        <v>8.6761346949554632E-2</v>
      </c>
      <c r="F639">
        <v>-6.022398958774481E-2</v>
      </c>
      <c r="G639">
        <v>5.7739222124146145E-2</v>
      </c>
      <c r="H639">
        <v>1.8299320683233398E-2</v>
      </c>
      <c r="I639">
        <v>-8.8568203446030114E-2</v>
      </c>
      <c r="J639">
        <v>-5.0290934583076631E-2</v>
      </c>
      <c r="K639">
        <v>2.1579076045929865E-3</v>
      </c>
      <c r="L639">
        <v>-7.860912953039579E-3</v>
      </c>
      <c r="M639">
        <v>-3.4834385315913846E-2</v>
      </c>
      <c r="N639">
        <v>-5.2710817826320977E-2</v>
      </c>
    </row>
    <row r="640" spans="3:14" x14ac:dyDescent="0.2">
      <c r="C640" t="s">
        <v>23</v>
      </c>
      <c r="D640">
        <v>7.5827441949321922E-2</v>
      </c>
      <c r="E640">
        <v>0.13855391793670824</v>
      </c>
      <c r="F640">
        <v>2.0184317669463738E-2</v>
      </c>
      <c r="G640">
        <v>-2.2053678437740074E-2</v>
      </c>
      <c r="H640">
        <v>0.20614759490033405</v>
      </c>
      <c r="I640">
        <v>-0.12831228205689096</v>
      </c>
      <c r="J640">
        <v>-3.2136353332439124E-2</v>
      </c>
      <c r="K640">
        <v>-0.13658085789912222</v>
      </c>
      <c r="L640">
        <v>-1.5869010064115639E-2</v>
      </c>
      <c r="M640">
        <v>-8.0629660524366917E-4</v>
      </c>
      <c r="N640">
        <v>9.2836534483109731E-2</v>
      </c>
    </row>
    <row r="641" spans="3:14" x14ac:dyDescent="0.2">
      <c r="C641" t="s">
        <v>24</v>
      </c>
      <c r="D641">
        <v>9.9085956197215181E-3</v>
      </c>
      <c r="E641">
        <v>-2.0873130362138788E-2</v>
      </c>
      <c r="F641">
        <v>-4.9562172826166088E-2</v>
      </c>
      <c r="G641">
        <v>-6.3401679912975196E-3</v>
      </c>
      <c r="H641">
        <v>-7.5947200640786791E-3</v>
      </c>
      <c r="I641">
        <v>-5.0850550320171231E-4</v>
      </c>
      <c r="J641">
        <v>-1.0609297204522271E-2</v>
      </c>
      <c r="K641">
        <v>-1.2863292934329338E-2</v>
      </c>
      <c r="L641">
        <v>2.4935740203809661E-3</v>
      </c>
      <c r="M641">
        <v>2.0055485911011982E-2</v>
      </c>
      <c r="N641">
        <v>0.44021409299120601</v>
      </c>
    </row>
    <row r="642" spans="3:14" x14ac:dyDescent="0.2">
      <c r="C642" t="s">
        <v>25</v>
      </c>
      <c r="D642">
        <v>-4.0453440898784981E-3</v>
      </c>
      <c r="E642">
        <v>0.14516688069903111</v>
      </c>
      <c r="F642">
        <v>-0.17287896263619448</v>
      </c>
      <c r="G642">
        <v>-0.12932566824873126</v>
      </c>
      <c r="H642">
        <v>-0.11204508377424918</v>
      </c>
      <c r="I642">
        <v>2.2256690521845045E-2</v>
      </c>
      <c r="J642">
        <v>-5.9556307154388428E-2</v>
      </c>
      <c r="K642">
        <v>5.260167893907499E-2</v>
      </c>
      <c r="L642">
        <v>1.160516221585697E-2</v>
      </c>
      <c r="M642">
        <v>-6.7990989524330553E-2</v>
      </c>
      <c r="N642">
        <v>9.5884667009087668E-2</v>
      </c>
    </row>
    <row r="643" spans="3:14" x14ac:dyDescent="0.2">
      <c r="C643" t="s">
        <v>26</v>
      </c>
      <c r="D643">
        <v>3.0471927888115473E-2</v>
      </c>
      <c r="E643">
        <v>1.4005904518709329E-2</v>
      </c>
      <c r="F643">
        <v>2.8738001439783913E-2</v>
      </c>
      <c r="G643">
        <v>-2.3088786760234872E-2</v>
      </c>
      <c r="H643">
        <v>-5.5578882507237321E-3</v>
      </c>
      <c r="I643">
        <v>-0.29821301556086921</v>
      </c>
      <c r="J643">
        <v>-1.8679306539809024E-2</v>
      </c>
      <c r="K643">
        <v>-9.4226600603716917E-2</v>
      </c>
      <c r="L643">
        <v>2.9638573971920443E-4</v>
      </c>
      <c r="M643">
        <v>-0.11761967700438059</v>
      </c>
      <c r="N643">
        <v>5.3306854315280087E-2</v>
      </c>
    </row>
    <row r="644" spans="3:14" x14ac:dyDescent="0.2">
      <c r="C644" t="s">
        <v>27</v>
      </c>
      <c r="D644">
        <v>1.9769100985835397E-2</v>
      </c>
      <c r="E644">
        <v>7.3722791692952136E-2</v>
      </c>
      <c r="F644">
        <v>-0.11799362666156915</v>
      </c>
      <c r="G644">
        <v>-1.4531646961346232E-2</v>
      </c>
      <c r="H644">
        <v>4.9666728644563458E-2</v>
      </c>
      <c r="I644">
        <v>1.0646797371813865E-3</v>
      </c>
      <c r="J644">
        <v>-2.1276659552886554E-3</v>
      </c>
      <c r="K644">
        <v>-0.19663913171273684</v>
      </c>
      <c r="L644">
        <v>-4.8831550174823768E-2</v>
      </c>
      <c r="M644">
        <v>-0.16603566180915258</v>
      </c>
      <c r="N644">
        <v>7.5451449412769697E-3</v>
      </c>
    </row>
    <row r="645" spans="3:14" x14ac:dyDescent="0.2">
      <c r="C645" t="s">
        <v>28</v>
      </c>
      <c r="D645">
        <v>-1.8881838712103423E-2</v>
      </c>
      <c r="E645">
        <v>-1.6583396061585157E-2</v>
      </c>
      <c r="F645">
        <v>-0.1417656470320425</v>
      </c>
      <c r="G645">
        <v>-2.3661173048387083E-2</v>
      </c>
      <c r="H645">
        <v>0.15740212157793165</v>
      </c>
      <c r="I645">
        <v>-0.16263044638427976</v>
      </c>
      <c r="J645">
        <v>2.3790059598380979E-2</v>
      </c>
      <c r="K645">
        <v>-3.2451358345256337E-2</v>
      </c>
      <c r="L645">
        <v>1.1949765445490026E-3</v>
      </c>
      <c r="M645">
        <v>-5.0087082794075678E-2</v>
      </c>
      <c r="N645">
        <v>-0.14613422483605998</v>
      </c>
    </row>
    <row r="646" spans="3:14" x14ac:dyDescent="0.2">
      <c r="C646" t="s">
        <v>29</v>
      </c>
      <c r="D646">
        <v>-4.883292260900593E-2</v>
      </c>
      <c r="E646">
        <v>-6.3670301021448491E-3</v>
      </c>
      <c r="F646">
        <v>-0.37479381464540945</v>
      </c>
      <c r="G646">
        <v>-2.2660992363938225E-2</v>
      </c>
      <c r="H646">
        <v>0.17253783558125349</v>
      </c>
      <c r="I646">
        <v>-2.8888800214186838E-2</v>
      </c>
      <c r="J646">
        <v>-6.9009713706732062E-2</v>
      </c>
      <c r="K646">
        <v>5.4301340398739215E-3</v>
      </c>
      <c r="L646">
        <v>4.9522420817216979E-2</v>
      </c>
      <c r="M646">
        <v>-9.358274610433831E-2</v>
      </c>
      <c r="N646">
        <v>-1.5988641856621466E-2</v>
      </c>
    </row>
    <row r="647" spans="3:14" x14ac:dyDescent="0.2">
      <c r="C647" t="s">
        <v>30</v>
      </c>
      <c r="D647">
        <v>-9.5005147918750983E-3</v>
      </c>
      <c r="E647">
        <v>-4.4237243572043949E-2</v>
      </c>
      <c r="F647">
        <v>-0.21931813633779984</v>
      </c>
      <c r="G647">
        <v>-2.2530327125264726E-3</v>
      </c>
      <c r="H647">
        <v>-0.10942722602778859</v>
      </c>
      <c r="I647">
        <v>2.5876728910900128E-2</v>
      </c>
      <c r="J647">
        <v>-1.453689311555559E-2</v>
      </c>
      <c r="K647">
        <v>7.2900172406460878E-2</v>
      </c>
      <c r="L647">
        <v>7.1231572611535149E-2</v>
      </c>
      <c r="M647">
        <v>3.2107863615403825E-2</v>
      </c>
      <c r="N647">
        <v>0.21749383029888614</v>
      </c>
    </row>
    <row r="648" spans="3:14" x14ac:dyDescent="0.2">
      <c r="C648" t="s">
        <v>31</v>
      </c>
      <c r="D648">
        <v>5.2344981041641023E-2</v>
      </c>
      <c r="E648">
        <v>2.7537021479080636E-3</v>
      </c>
      <c r="F648">
        <v>2.5363924050351796E-3</v>
      </c>
      <c r="G648">
        <v>-2.0224659873784939E-2</v>
      </c>
      <c r="H648">
        <v>-0.17390962656567188</v>
      </c>
      <c r="I648">
        <v>-0.21085219807829694</v>
      </c>
      <c r="J648">
        <v>-2.2920308397424718E-2</v>
      </c>
      <c r="K648">
        <v>2.434173187254866E-2</v>
      </c>
      <c r="L648">
        <v>3.5498267060754839E-2</v>
      </c>
      <c r="M648">
        <v>1.8740776021764521E-2</v>
      </c>
      <c r="N648">
        <v>1.882645208685137E-2</v>
      </c>
    </row>
    <row r="649" spans="3:14" x14ac:dyDescent="0.2">
      <c r="C649" t="s">
        <v>32</v>
      </c>
      <c r="D649">
        <v>6.6746006370175984E-2</v>
      </c>
      <c r="E649">
        <v>0.125503575078035</v>
      </c>
      <c r="F649">
        <v>4.6254431421756767E-2</v>
      </c>
      <c r="G649">
        <v>-4.6789000184562168E-2</v>
      </c>
      <c r="H649">
        <v>-9.2140311795894395E-2</v>
      </c>
      <c r="I649">
        <v>-6.3279578952993173E-2</v>
      </c>
      <c r="J649">
        <v>-4.9081804714585092E-2</v>
      </c>
      <c r="K649">
        <v>-1.700109449297638E-2</v>
      </c>
      <c r="L649">
        <v>-9.193113949765859E-2</v>
      </c>
      <c r="M649">
        <v>3.1871279888508138E-3</v>
      </c>
      <c r="N649">
        <v>-0.10833502697043418</v>
      </c>
    </row>
    <row r="650" spans="3:14" x14ac:dyDescent="0.2">
      <c r="C650" t="s">
        <v>33</v>
      </c>
      <c r="D650">
        <v>6.8386099013483609E-2</v>
      </c>
      <c r="E650">
        <v>-9.7903580823782421E-3</v>
      </c>
      <c r="F650">
        <v>1.4554630860457302E-2</v>
      </c>
      <c r="G650">
        <v>2.088863652826253E-2</v>
      </c>
      <c r="H650">
        <v>-0.44783514631226684</v>
      </c>
      <c r="I650">
        <v>-3.3392327465179006E-2</v>
      </c>
      <c r="J650">
        <v>-6.4665942746622615E-2</v>
      </c>
      <c r="K650">
        <v>3.0485192260587029E-2</v>
      </c>
      <c r="L650">
        <v>-0.16092246221712508</v>
      </c>
      <c r="M650">
        <v>-0.10972078420722101</v>
      </c>
      <c r="N650">
        <v>6.298063098626358E-2</v>
      </c>
    </row>
    <row r="651" spans="3:14" x14ac:dyDescent="0.2">
      <c r="C651" t="s">
        <v>34</v>
      </c>
      <c r="D651">
        <v>-2.7366295017054759E-2</v>
      </c>
      <c r="E651">
        <v>-3.404254891312837E-2</v>
      </c>
      <c r="F651">
        <v>0.10506665723379686</v>
      </c>
      <c r="G651">
        <v>-2.149146215940536E-2</v>
      </c>
      <c r="H651">
        <v>-0.40814135620604225</v>
      </c>
      <c r="I651">
        <v>7.9056707640926295E-3</v>
      </c>
      <c r="J651">
        <v>7.496640166504287E-2</v>
      </c>
      <c r="K651">
        <v>-0.16069203757203529</v>
      </c>
      <c r="L651">
        <v>0.15169284547132619</v>
      </c>
      <c r="M651">
        <v>4.6798009004845778E-2</v>
      </c>
      <c r="N651">
        <v>-7.955792028875304E-2</v>
      </c>
    </row>
    <row r="652" spans="3:14" x14ac:dyDescent="0.2">
      <c r="C652" t="s">
        <v>35</v>
      </c>
      <c r="D652">
        <v>-8.8486777779143572E-3</v>
      </c>
      <c r="E652">
        <v>-3.7609865789610217E-2</v>
      </c>
      <c r="F652">
        <v>-1.0789439055837395E-2</v>
      </c>
      <c r="G652">
        <v>-2.2543767553383842E-2</v>
      </c>
      <c r="H652">
        <v>-0.27629167155475687</v>
      </c>
      <c r="I652">
        <v>5.6139155990988558E-2</v>
      </c>
      <c r="J652">
        <v>-1.9386793145403181E-3</v>
      </c>
      <c r="K652">
        <v>-0.32902366660682736</v>
      </c>
      <c r="L652">
        <v>0.11573825043819566</v>
      </c>
      <c r="M652">
        <v>-2.7691892733381889E-2</v>
      </c>
      <c r="N652">
        <v>-4.1894865762294037E-2</v>
      </c>
    </row>
    <row r="653" spans="3:14" x14ac:dyDescent="0.2">
      <c r="C653" t="s">
        <v>36</v>
      </c>
      <c r="D653">
        <v>3.2069629833536874E-2</v>
      </c>
      <c r="E653">
        <v>-6.2203508414191491E-2</v>
      </c>
      <c r="F653">
        <v>-4.9176722147989731E-2</v>
      </c>
      <c r="G653">
        <v>3.967566864294006E-2</v>
      </c>
      <c r="H653">
        <v>4.7376691169220657E-2</v>
      </c>
      <c r="I653">
        <v>0.11566261710948367</v>
      </c>
      <c r="J653">
        <v>-6.2353814999626236E-2</v>
      </c>
      <c r="K653">
        <v>-0.31235197125441855</v>
      </c>
      <c r="L653">
        <v>-9.1762239273520202E-2</v>
      </c>
      <c r="M653">
        <v>2.9675623389202224E-2</v>
      </c>
      <c r="N653">
        <v>0.1036061927832013</v>
      </c>
    </row>
    <row r="654" spans="3:14" x14ac:dyDescent="0.2">
      <c r="C654" t="s">
        <v>37</v>
      </c>
      <c r="D654">
        <v>8.7886291158121549E-2</v>
      </c>
      <c r="E654">
        <v>-4.4796879415830576E-2</v>
      </c>
      <c r="F654">
        <v>-6.3553167201523E-2</v>
      </c>
      <c r="G654">
        <v>0.10496516016281421</v>
      </c>
      <c r="H654">
        <v>6.2356430165571415E-2</v>
      </c>
      <c r="I654">
        <v>7.2370923686345012E-2</v>
      </c>
      <c r="J654">
        <v>2.2314785365597761E-2</v>
      </c>
      <c r="K654">
        <v>-0.11360324165603942</v>
      </c>
      <c r="L654">
        <v>-0.12664492109406075</v>
      </c>
      <c r="M654">
        <v>5.9893162033408373E-2</v>
      </c>
      <c r="N654">
        <v>5.3550420975981179E-2</v>
      </c>
    </row>
    <row r="655" spans="3:14" x14ac:dyDescent="0.2">
      <c r="C655" t="s">
        <v>38</v>
      </c>
      <c r="D655">
        <v>6.1364026673926535E-2</v>
      </c>
      <c r="E655">
        <v>-4.3384306432582051E-2</v>
      </c>
      <c r="F655">
        <v>2.4753566648819982E-2</v>
      </c>
      <c r="G655">
        <v>0.30801753337009014</v>
      </c>
      <c r="H655">
        <v>2.8747988948674241E-3</v>
      </c>
      <c r="I655">
        <v>-3.9997427128971551E-2</v>
      </c>
      <c r="J655">
        <v>-5.0530346685902894E-2</v>
      </c>
      <c r="K655">
        <v>-6.444385002950781E-2</v>
      </c>
      <c r="L655">
        <v>-1.9693459116608702E-2</v>
      </c>
      <c r="M655">
        <v>1.9811292203635374E-2</v>
      </c>
      <c r="N655">
        <v>6.1918347506733917E-2</v>
      </c>
    </row>
    <row r="656" spans="3:14" x14ac:dyDescent="0.2">
      <c r="C656" t="s">
        <v>39</v>
      </c>
      <c r="D656">
        <v>6.9557781638506129E-3</v>
      </c>
      <c r="E656">
        <v>-6.9631222232288709E-2</v>
      </c>
      <c r="F656">
        <v>1.5879854643463222E-2</v>
      </c>
      <c r="G656">
        <v>0.38048712141174251</v>
      </c>
      <c r="H656">
        <v>3.5143990884983697E-2</v>
      </c>
      <c r="I656">
        <v>5.2807334214360541E-2</v>
      </c>
      <c r="J656">
        <v>-9.3138011122279284E-3</v>
      </c>
      <c r="K656">
        <v>-3.1155926384946048E-3</v>
      </c>
      <c r="L656">
        <v>-4.9679150658443416E-2</v>
      </c>
      <c r="M656">
        <v>-2.0502627966428186E-2</v>
      </c>
      <c r="N656">
        <v>0.12373596422871697</v>
      </c>
    </row>
    <row r="657" spans="3:14" x14ac:dyDescent="0.2">
      <c r="C657" t="s">
        <v>40</v>
      </c>
      <c r="D657">
        <v>4.2895319283600866E-2</v>
      </c>
      <c r="E657">
        <v>1.9888923556800994E-2</v>
      </c>
      <c r="F657">
        <v>-5.0060236497608971E-3</v>
      </c>
      <c r="G657">
        <v>0.34582136567937127</v>
      </c>
      <c r="H657">
        <v>6.5405619892178218E-2</v>
      </c>
      <c r="I657">
        <v>0.11044912024376365</v>
      </c>
      <c r="J657">
        <v>-2.858211145301813E-2</v>
      </c>
      <c r="K657">
        <v>-5.0147941449740004E-2</v>
      </c>
      <c r="L657">
        <v>2.7361061814561372E-2</v>
      </c>
      <c r="M657">
        <v>6.5222620972282347E-2</v>
      </c>
      <c r="N657">
        <v>-0.1936395311818542</v>
      </c>
    </row>
    <row r="658" spans="3:14" x14ac:dyDescent="0.2">
      <c r="C658" t="s">
        <v>41</v>
      </c>
      <c r="D658">
        <v>-2.7571567746062221E-2</v>
      </c>
      <c r="E658">
        <v>-6.6088183102059717E-2</v>
      </c>
      <c r="F658">
        <v>0.2021200969846674</v>
      </c>
      <c r="G658">
        <v>9.5209997734446994E-2</v>
      </c>
      <c r="H658">
        <v>7.815114696978806E-2</v>
      </c>
      <c r="I658">
        <v>7.6341181805537839E-2</v>
      </c>
      <c r="J658">
        <v>0.1207763682173808</v>
      </c>
      <c r="K658">
        <v>-0.25045454163672853</v>
      </c>
      <c r="L658">
        <v>7.8444426363628028E-3</v>
      </c>
      <c r="M658">
        <v>3.5491823140650504E-2</v>
      </c>
      <c r="N658">
        <v>2.611031768962771E-2</v>
      </c>
    </row>
    <row r="659" spans="3:14" x14ac:dyDescent="0.2">
      <c r="C659" t="s">
        <v>42</v>
      </c>
      <c r="D659">
        <v>8.4205045650057084E-2</v>
      </c>
      <c r="E659">
        <v>2.1560205291860778E-2</v>
      </c>
      <c r="F659">
        <v>-9.8451851058262457E-2</v>
      </c>
      <c r="G659">
        <v>-5.5362842838837974E-2</v>
      </c>
      <c r="H659">
        <v>9.1449604454628783E-2</v>
      </c>
      <c r="I659">
        <v>-9.4434209420242332E-2</v>
      </c>
      <c r="J659">
        <v>-6.9928488971705116E-2</v>
      </c>
      <c r="K659">
        <v>-5.1390694008821784E-2</v>
      </c>
      <c r="L659">
        <v>1.6302997759585117E-2</v>
      </c>
      <c r="M659">
        <v>0.47823029336769241</v>
      </c>
      <c r="N659">
        <v>-7.6685066142771152E-2</v>
      </c>
    </row>
    <row r="660" spans="3:14" x14ac:dyDescent="0.2">
      <c r="C660" t="s">
        <v>43</v>
      </c>
      <c r="D660">
        <v>2.2800984600449509E-2</v>
      </c>
      <c r="E660">
        <v>-6.474352807496396E-2</v>
      </c>
      <c r="F660">
        <v>1.9186498089274202E-2</v>
      </c>
      <c r="G660">
        <v>5.5671557881026609E-2</v>
      </c>
      <c r="H660">
        <v>6.9819770546650728E-2</v>
      </c>
      <c r="I660">
        <v>3.4749924664973821E-2</v>
      </c>
      <c r="J660">
        <v>-3.8960131219365222E-2</v>
      </c>
      <c r="K660">
        <v>6.5578615093065576E-2</v>
      </c>
      <c r="L660">
        <v>-3.9341182994167188E-2</v>
      </c>
      <c r="M660">
        <v>0.47572928263622499</v>
      </c>
      <c r="N660">
        <v>0.12441968901535985</v>
      </c>
    </row>
    <row r="661" spans="3:14" x14ac:dyDescent="0.2">
      <c r="C661" t="s">
        <v>44</v>
      </c>
      <c r="D661">
        <v>6.5894700277805668E-2</v>
      </c>
      <c r="E661">
        <v>-3.9549749148446799E-2</v>
      </c>
      <c r="F661">
        <v>-0.27150753705929043</v>
      </c>
      <c r="G661">
        <v>4.2190160617862092E-2</v>
      </c>
      <c r="H661">
        <v>9.8781057143259889E-3</v>
      </c>
      <c r="I661">
        <v>9.4474898412794828E-2</v>
      </c>
      <c r="J661">
        <v>-2.8236654409306807E-2</v>
      </c>
      <c r="K661">
        <v>7.3196340344490116E-3</v>
      </c>
      <c r="L661">
        <v>-7.2461998357739268E-2</v>
      </c>
      <c r="M661">
        <v>0.14091393274634029</v>
      </c>
      <c r="N661">
        <v>-1.2026775684658573E-2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P1000"/>
  <sheetViews>
    <sheetView topLeftCell="A112" zoomScale="50" zoomScaleNormal="50" workbookViewId="0">
      <selection activeCell="CQ4" sqref="CQ4"/>
    </sheetView>
  </sheetViews>
  <sheetFormatPr defaultColWidth="12.5703125" defaultRowHeight="15.75" customHeight="1" x14ac:dyDescent="0.2"/>
  <cols>
    <col min="1" max="44" width="4.7109375" customWidth="1"/>
    <col min="45" max="45" width="4.42578125" customWidth="1"/>
    <col min="46" max="46" width="23" customWidth="1"/>
    <col min="47" max="51" width="4.7109375" customWidth="1"/>
  </cols>
  <sheetData>
    <row r="1" spans="1:9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/>
      <c r="AV1" s="1"/>
      <c r="AW1" s="1"/>
      <c r="AX1" s="1"/>
      <c r="AY1" s="1"/>
    </row>
    <row r="2" spans="1:92" x14ac:dyDescent="0.2">
      <c r="A2" s="2" t="s">
        <v>45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3</v>
      </c>
      <c r="U2" s="2">
        <v>3</v>
      </c>
      <c r="V2" s="2">
        <v>3</v>
      </c>
      <c r="W2" s="2">
        <v>4</v>
      </c>
      <c r="X2" s="2">
        <v>4</v>
      </c>
      <c r="Y2" s="2">
        <v>3</v>
      </c>
      <c r="Z2" s="2">
        <v>3</v>
      </c>
      <c r="AA2" s="2">
        <v>2</v>
      </c>
      <c r="AB2" s="2">
        <v>1</v>
      </c>
      <c r="AC2" s="2">
        <v>2</v>
      </c>
      <c r="AD2" s="2">
        <v>4</v>
      </c>
      <c r="AE2" s="2">
        <v>4</v>
      </c>
      <c r="AF2" s="2">
        <v>1</v>
      </c>
      <c r="AG2" s="2">
        <v>1</v>
      </c>
      <c r="AH2" s="2">
        <v>2</v>
      </c>
      <c r="AI2" s="2">
        <v>2</v>
      </c>
      <c r="AJ2" s="2">
        <v>2</v>
      </c>
      <c r="AK2" s="2">
        <v>2</v>
      </c>
      <c r="AL2" s="2">
        <v>2</v>
      </c>
      <c r="AM2" s="2">
        <v>3</v>
      </c>
      <c r="AN2" s="2">
        <v>3</v>
      </c>
      <c r="AO2" s="2">
        <v>3</v>
      </c>
      <c r="AP2" s="2">
        <v>1</v>
      </c>
      <c r="AQ2" s="2">
        <v>2</v>
      </c>
      <c r="AR2" s="2">
        <v>2</v>
      </c>
      <c r="AS2" s="2">
        <v>3</v>
      </c>
      <c r="AT2" s="2"/>
      <c r="AU2" s="2"/>
      <c r="AV2" s="2"/>
      <c r="AW2" s="2"/>
      <c r="AX2" s="2"/>
      <c r="AY2" s="2"/>
    </row>
    <row r="3" spans="1:92" x14ac:dyDescent="0.2">
      <c r="A3" s="2" t="s">
        <v>46</v>
      </c>
      <c r="B3" s="2">
        <v>2</v>
      </c>
      <c r="C3" s="2">
        <v>5</v>
      </c>
      <c r="D3" s="2">
        <v>3</v>
      </c>
      <c r="E3" s="2">
        <v>2</v>
      </c>
      <c r="F3" s="2">
        <v>3</v>
      </c>
      <c r="G3" s="2">
        <v>2</v>
      </c>
      <c r="H3" s="2">
        <v>2</v>
      </c>
      <c r="I3" s="2">
        <v>2</v>
      </c>
      <c r="J3" s="2">
        <v>3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1</v>
      </c>
      <c r="R3" s="2">
        <v>4</v>
      </c>
      <c r="S3" s="2">
        <v>1</v>
      </c>
      <c r="T3" s="2">
        <v>5</v>
      </c>
      <c r="U3" s="2">
        <v>5</v>
      </c>
      <c r="V3" s="2">
        <v>4</v>
      </c>
      <c r="W3" s="2">
        <v>4</v>
      </c>
      <c r="X3" s="2">
        <v>4</v>
      </c>
      <c r="Y3" s="2">
        <v>5</v>
      </c>
      <c r="Z3" s="2">
        <v>3</v>
      </c>
      <c r="AA3" s="2">
        <v>3</v>
      </c>
      <c r="AB3" s="2">
        <v>3</v>
      </c>
      <c r="AC3" s="2">
        <v>4</v>
      </c>
      <c r="AD3" s="2">
        <v>4</v>
      </c>
      <c r="AE3" s="2">
        <v>3</v>
      </c>
      <c r="AF3" s="2">
        <v>4</v>
      </c>
      <c r="AG3" s="2">
        <v>4</v>
      </c>
      <c r="AH3" s="2">
        <v>5</v>
      </c>
      <c r="AI3" s="2">
        <v>3</v>
      </c>
      <c r="AJ3" s="2">
        <v>4</v>
      </c>
      <c r="AK3" s="2">
        <v>4</v>
      </c>
      <c r="AL3" s="2">
        <v>4</v>
      </c>
      <c r="AM3" s="2">
        <v>3</v>
      </c>
      <c r="AN3" s="2">
        <v>3</v>
      </c>
      <c r="AO3" s="2">
        <v>4</v>
      </c>
      <c r="AP3" s="2">
        <v>3</v>
      </c>
      <c r="AQ3" s="2">
        <v>1</v>
      </c>
      <c r="AR3" s="2">
        <v>1</v>
      </c>
      <c r="AS3" s="2">
        <v>4</v>
      </c>
      <c r="AT3" s="2"/>
      <c r="AU3" s="2"/>
      <c r="AV3" s="2"/>
      <c r="AW3" s="2"/>
      <c r="AX3" s="2"/>
      <c r="AY3" s="2"/>
    </row>
    <row r="4" spans="1:92" x14ac:dyDescent="0.2">
      <c r="A4" s="2" t="s">
        <v>47</v>
      </c>
      <c r="B4" s="2">
        <v>1</v>
      </c>
      <c r="C4" s="2">
        <v>2</v>
      </c>
      <c r="D4" s="2">
        <v>1</v>
      </c>
      <c r="E4" s="2">
        <v>1</v>
      </c>
      <c r="F4" s="2">
        <v>2</v>
      </c>
      <c r="G4" s="2">
        <v>2</v>
      </c>
      <c r="H4" s="2">
        <v>1</v>
      </c>
      <c r="I4" s="2">
        <v>2</v>
      </c>
      <c r="J4" s="2">
        <v>1</v>
      </c>
      <c r="K4" s="2">
        <v>1</v>
      </c>
      <c r="L4" s="2">
        <v>2</v>
      </c>
      <c r="M4" s="2">
        <v>1</v>
      </c>
      <c r="N4" s="2">
        <v>3</v>
      </c>
      <c r="O4" s="2">
        <v>3</v>
      </c>
      <c r="P4" s="2">
        <v>3</v>
      </c>
      <c r="Q4" s="2">
        <v>2</v>
      </c>
      <c r="R4" s="2">
        <v>2</v>
      </c>
      <c r="S4" s="2">
        <v>1</v>
      </c>
      <c r="T4" s="2">
        <v>2</v>
      </c>
      <c r="U4" s="2">
        <v>2</v>
      </c>
      <c r="V4" s="2">
        <v>2</v>
      </c>
      <c r="W4" s="2">
        <v>2</v>
      </c>
      <c r="X4" s="2">
        <v>3</v>
      </c>
      <c r="Y4" s="2">
        <v>2</v>
      </c>
      <c r="Z4" s="2">
        <v>3</v>
      </c>
      <c r="AA4" s="2">
        <v>1</v>
      </c>
      <c r="AB4" s="2">
        <v>2</v>
      </c>
      <c r="AC4" s="2">
        <v>1</v>
      </c>
      <c r="AD4" s="2">
        <v>3</v>
      </c>
      <c r="AE4" s="2">
        <v>4</v>
      </c>
      <c r="AF4" s="2">
        <v>3</v>
      </c>
      <c r="AG4" s="2">
        <v>1</v>
      </c>
      <c r="AH4" s="2">
        <v>2</v>
      </c>
      <c r="AI4" s="2">
        <v>2</v>
      </c>
      <c r="AJ4" s="2">
        <v>2</v>
      </c>
      <c r="AK4" s="2">
        <v>2</v>
      </c>
      <c r="AL4" s="2">
        <v>4</v>
      </c>
      <c r="AM4" s="2">
        <v>2</v>
      </c>
      <c r="AN4" s="2">
        <v>2</v>
      </c>
      <c r="AO4" s="2">
        <v>2</v>
      </c>
      <c r="AP4" s="2">
        <v>2</v>
      </c>
      <c r="AQ4" s="2">
        <v>1</v>
      </c>
      <c r="AR4" s="2">
        <v>1</v>
      </c>
      <c r="AS4" s="2">
        <v>4</v>
      </c>
      <c r="AT4" s="2"/>
      <c r="AU4" s="2"/>
      <c r="AV4" s="2"/>
      <c r="AW4" s="2"/>
      <c r="AX4" s="2"/>
      <c r="AY4" s="2"/>
    </row>
    <row r="5" spans="1:92" x14ac:dyDescent="0.2">
      <c r="A5" s="2" t="s">
        <v>48</v>
      </c>
      <c r="B5" s="2">
        <v>2</v>
      </c>
      <c r="C5" s="2">
        <v>2</v>
      </c>
      <c r="D5" s="2">
        <v>3</v>
      </c>
      <c r="E5" s="2">
        <v>3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2</v>
      </c>
      <c r="M5" s="2">
        <v>5</v>
      </c>
      <c r="N5" s="2">
        <v>2</v>
      </c>
      <c r="O5" s="2">
        <v>2</v>
      </c>
      <c r="P5" s="2">
        <v>1</v>
      </c>
      <c r="Q5" s="2">
        <v>1</v>
      </c>
      <c r="R5" s="2">
        <v>1</v>
      </c>
      <c r="S5" s="2">
        <v>1</v>
      </c>
      <c r="T5" s="2">
        <v>4</v>
      </c>
      <c r="U5" s="2">
        <v>4</v>
      </c>
      <c r="V5" s="2">
        <v>4</v>
      </c>
      <c r="W5" s="2">
        <v>4</v>
      </c>
      <c r="X5" s="2">
        <v>4</v>
      </c>
      <c r="Y5" s="2">
        <v>3</v>
      </c>
      <c r="Z5" s="2">
        <v>2</v>
      </c>
      <c r="AA5" s="2">
        <v>2</v>
      </c>
      <c r="AB5" s="2">
        <v>2</v>
      </c>
      <c r="AC5" s="2">
        <v>2</v>
      </c>
      <c r="AD5" s="2">
        <v>3</v>
      </c>
      <c r="AE5" s="2">
        <v>3</v>
      </c>
      <c r="AF5" s="2">
        <v>2</v>
      </c>
      <c r="AG5" s="2">
        <v>2</v>
      </c>
      <c r="AH5" s="2">
        <v>2</v>
      </c>
      <c r="AI5" s="2">
        <v>3</v>
      </c>
      <c r="AJ5" s="2">
        <v>2</v>
      </c>
      <c r="AK5" s="2">
        <v>4</v>
      </c>
      <c r="AL5" s="2">
        <v>4</v>
      </c>
      <c r="AM5" s="2">
        <v>4</v>
      </c>
      <c r="AN5" s="2">
        <v>4</v>
      </c>
      <c r="AO5" s="2">
        <v>4</v>
      </c>
      <c r="AP5" s="2">
        <v>3</v>
      </c>
      <c r="AQ5" s="2">
        <v>4</v>
      </c>
      <c r="AR5" s="2">
        <v>3</v>
      </c>
      <c r="AS5" s="2">
        <v>3</v>
      </c>
      <c r="AT5" s="2"/>
      <c r="AU5" s="2"/>
      <c r="AV5" s="2"/>
      <c r="AW5" s="2"/>
      <c r="AX5" s="2"/>
      <c r="AY5" s="2"/>
    </row>
    <row r="6" spans="1:92" x14ac:dyDescent="0.2">
      <c r="A6" s="2" t="s">
        <v>49</v>
      </c>
      <c r="B6" s="2">
        <v>1</v>
      </c>
      <c r="C6" s="2">
        <v>2</v>
      </c>
      <c r="D6" s="2">
        <v>1</v>
      </c>
      <c r="E6" s="2">
        <v>1</v>
      </c>
      <c r="F6" s="2">
        <v>2</v>
      </c>
      <c r="G6" s="2">
        <v>2</v>
      </c>
      <c r="H6" s="2">
        <v>1</v>
      </c>
      <c r="I6" s="2">
        <v>2</v>
      </c>
      <c r="J6" s="2">
        <v>1</v>
      </c>
      <c r="K6" s="2">
        <v>1</v>
      </c>
      <c r="L6" s="2">
        <v>2</v>
      </c>
      <c r="M6" s="2">
        <v>1</v>
      </c>
      <c r="N6" s="2">
        <v>2</v>
      </c>
      <c r="O6" s="2">
        <v>4</v>
      </c>
      <c r="P6" s="2">
        <v>4</v>
      </c>
      <c r="Q6" s="2">
        <v>2</v>
      </c>
      <c r="R6" s="2">
        <v>2</v>
      </c>
      <c r="S6" s="2">
        <v>1</v>
      </c>
      <c r="T6" s="2">
        <v>2</v>
      </c>
      <c r="U6" s="2">
        <v>2</v>
      </c>
      <c r="V6" s="2">
        <v>2</v>
      </c>
      <c r="W6" s="2">
        <v>2</v>
      </c>
      <c r="X6" s="2">
        <v>3</v>
      </c>
      <c r="Y6" s="2">
        <v>2</v>
      </c>
      <c r="Z6" s="2">
        <v>4</v>
      </c>
      <c r="AA6" s="2">
        <v>3</v>
      </c>
      <c r="AB6" s="2">
        <v>2</v>
      </c>
      <c r="AC6" s="2">
        <v>1</v>
      </c>
      <c r="AD6" s="2">
        <v>3</v>
      </c>
      <c r="AE6" s="2">
        <v>4</v>
      </c>
      <c r="AF6" s="2">
        <v>3</v>
      </c>
      <c r="AG6" s="2">
        <v>1</v>
      </c>
      <c r="AH6" s="2">
        <v>2</v>
      </c>
      <c r="AI6" s="2">
        <v>2</v>
      </c>
      <c r="AJ6" s="2">
        <v>2</v>
      </c>
      <c r="AK6" s="2">
        <v>2</v>
      </c>
      <c r="AL6" s="2">
        <v>4</v>
      </c>
      <c r="AM6" s="2">
        <v>2</v>
      </c>
      <c r="AN6" s="2">
        <v>2</v>
      </c>
      <c r="AO6" s="2">
        <v>2</v>
      </c>
      <c r="AP6" s="2">
        <v>2</v>
      </c>
      <c r="AQ6" s="2">
        <v>1</v>
      </c>
      <c r="AR6" s="2">
        <v>1</v>
      </c>
      <c r="AS6" s="2">
        <v>4</v>
      </c>
      <c r="AT6" s="2"/>
      <c r="AU6" s="2"/>
      <c r="AV6" s="2"/>
      <c r="AW6" s="2"/>
      <c r="AX6" s="2"/>
      <c r="AY6" s="2"/>
    </row>
    <row r="7" spans="1:92" x14ac:dyDescent="0.2">
      <c r="A7" s="2" t="s">
        <v>50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2</v>
      </c>
      <c r="H7" s="2">
        <v>2</v>
      </c>
      <c r="I7" s="2">
        <v>2</v>
      </c>
      <c r="J7" s="2">
        <v>1</v>
      </c>
      <c r="K7" s="2">
        <v>1</v>
      </c>
      <c r="L7" s="2">
        <v>1</v>
      </c>
      <c r="M7" s="2">
        <v>2</v>
      </c>
      <c r="N7" s="2">
        <v>1</v>
      </c>
      <c r="O7" s="2">
        <v>4</v>
      </c>
      <c r="P7" s="2">
        <v>4</v>
      </c>
      <c r="Q7" s="2">
        <v>4</v>
      </c>
      <c r="R7" s="2">
        <v>4</v>
      </c>
      <c r="S7" s="2">
        <v>1</v>
      </c>
      <c r="T7" s="2">
        <v>4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2</v>
      </c>
      <c r="AA7" s="2">
        <v>2</v>
      </c>
      <c r="AB7" s="2">
        <v>2</v>
      </c>
      <c r="AC7" s="2">
        <v>1</v>
      </c>
      <c r="AD7" s="2">
        <v>1</v>
      </c>
      <c r="AE7" s="2">
        <v>3</v>
      </c>
      <c r="AF7" s="2">
        <v>3</v>
      </c>
      <c r="AG7" s="2">
        <v>4</v>
      </c>
      <c r="AH7" s="2">
        <v>2</v>
      </c>
      <c r="AI7" s="2">
        <v>2</v>
      </c>
      <c r="AJ7" s="2">
        <v>2</v>
      </c>
      <c r="AK7" s="2">
        <v>2</v>
      </c>
      <c r="AL7" s="2">
        <v>2</v>
      </c>
      <c r="AM7" s="2">
        <v>3</v>
      </c>
      <c r="AN7" s="2">
        <v>2</v>
      </c>
      <c r="AO7" s="2">
        <v>3</v>
      </c>
      <c r="AP7" s="2">
        <v>3</v>
      </c>
      <c r="AQ7" s="2">
        <v>2</v>
      </c>
      <c r="AR7" s="2">
        <v>2</v>
      </c>
      <c r="AS7" s="2">
        <v>2</v>
      </c>
      <c r="AT7" s="2"/>
      <c r="AU7" s="2"/>
      <c r="AV7" s="2" t="s">
        <v>188</v>
      </c>
      <c r="AW7" s="2"/>
      <c r="AX7" s="2"/>
      <c r="AY7" s="2"/>
    </row>
    <row r="8" spans="1:92" x14ac:dyDescent="0.2">
      <c r="A8" s="2" t="s">
        <v>51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4</v>
      </c>
      <c r="P8" s="2">
        <v>4</v>
      </c>
      <c r="Q8" s="2">
        <v>4</v>
      </c>
      <c r="R8" s="2">
        <v>4</v>
      </c>
      <c r="S8" s="2">
        <v>1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2</v>
      </c>
      <c r="AA8" s="2">
        <v>2</v>
      </c>
      <c r="AB8" s="2">
        <v>2</v>
      </c>
      <c r="AC8" s="2">
        <v>1</v>
      </c>
      <c r="AD8" s="2">
        <v>2</v>
      </c>
      <c r="AE8" s="2">
        <v>4</v>
      </c>
      <c r="AF8" s="2">
        <v>3</v>
      </c>
      <c r="AG8" s="2">
        <v>4</v>
      </c>
      <c r="AH8" s="2">
        <v>2</v>
      </c>
      <c r="AI8" s="2">
        <v>2</v>
      </c>
      <c r="AJ8" s="2">
        <v>2</v>
      </c>
      <c r="AK8" s="2">
        <v>2</v>
      </c>
      <c r="AL8" s="2">
        <v>4</v>
      </c>
      <c r="AM8" s="2">
        <v>4</v>
      </c>
      <c r="AN8" s="2">
        <v>3</v>
      </c>
      <c r="AO8" s="2">
        <v>4</v>
      </c>
      <c r="AP8" s="2">
        <v>4</v>
      </c>
      <c r="AQ8" s="2">
        <v>2</v>
      </c>
      <c r="AR8" s="2">
        <v>2</v>
      </c>
      <c r="AS8" s="2">
        <v>2</v>
      </c>
      <c r="AT8" s="2"/>
      <c r="AU8" s="2"/>
      <c r="AV8" s="2"/>
      <c r="AW8" s="2"/>
      <c r="AX8" s="2"/>
      <c r="AY8" s="2"/>
    </row>
    <row r="9" spans="1:92" x14ac:dyDescent="0.2">
      <c r="A9" s="2" t="s">
        <v>52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3</v>
      </c>
      <c r="P9" s="2">
        <v>3</v>
      </c>
      <c r="Q9" s="2">
        <v>3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2</v>
      </c>
      <c r="AA9" s="2">
        <v>2</v>
      </c>
      <c r="AB9" s="2">
        <v>2</v>
      </c>
      <c r="AC9" s="2">
        <v>1</v>
      </c>
      <c r="AD9" s="2">
        <v>1</v>
      </c>
      <c r="AE9" s="2">
        <v>3</v>
      </c>
      <c r="AF9" s="2">
        <v>3</v>
      </c>
      <c r="AG9" s="2">
        <v>4</v>
      </c>
      <c r="AH9" s="2">
        <v>2</v>
      </c>
      <c r="AI9" s="2">
        <v>2</v>
      </c>
      <c r="AJ9" s="2">
        <v>2</v>
      </c>
      <c r="AK9" s="2">
        <v>2</v>
      </c>
      <c r="AL9" s="2">
        <v>2</v>
      </c>
      <c r="AM9" s="2">
        <v>3</v>
      </c>
      <c r="AN9" s="2">
        <v>2</v>
      </c>
      <c r="AO9" s="2">
        <v>3</v>
      </c>
      <c r="AP9" s="2">
        <v>3</v>
      </c>
      <c r="AQ9" s="2">
        <v>2</v>
      </c>
      <c r="AR9" s="2">
        <v>2</v>
      </c>
      <c r="AS9" s="2">
        <v>2</v>
      </c>
      <c r="AT9" s="2"/>
      <c r="AU9" s="2"/>
      <c r="AV9" s="2"/>
      <c r="AW9" s="2"/>
      <c r="AX9" s="2"/>
      <c r="AY9" s="2"/>
    </row>
    <row r="10" spans="1:92" x14ac:dyDescent="0.2">
      <c r="A10" s="2" t="s">
        <v>53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4</v>
      </c>
      <c r="P10" s="2">
        <v>4</v>
      </c>
      <c r="Q10" s="2">
        <v>4</v>
      </c>
      <c r="R10" s="2">
        <v>4</v>
      </c>
      <c r="S10" s="2">
        <v>3</v>
      </c>
      <c r="T10" s="2">
        <v>4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2</v>
      </c>
      <c r="AA10" s="2">
        <v>2</v>
      </c>
      <c r="AB10" s="2">
        <v>2</v>
      </c>
      <c r="AC10" s="2">
        <v>1</v>
      </c>
      <c r="AD10" s="2">
        <v>2</v>
      </c>
      <c r="AE10" s="2">
        <v>4</v>
      </c>
      <c r="AF10" s="2">
        <v>3</v>
      </c>
      <c r="AG10" s="2">
        <v>4</v>
      </c>
      <c r="AH10" s="2">
        <v>2</v>
      </c>
      <c r="AI10" s="2">
        <v>2</v>
      </c>
      <c r="AJ10" s="2">
        <v>2</v>
      </c>
      <c r="AK10" s="2">
        <v>2</v>
      </c>
      <c r="AL10" s="2">
        <v>2</v>
      </c>
      <c r="AM10" s="2">
        <v>4</v>
      </c>
      <c r="AN10" s="2">
        <v>3</v>
      </c>
      <c r="AO10" s="2">
        <v>4</v>
      </c>
      <c r="AP10" s="2">
        <v>4</v>
      </c>
      <c r="AQ10" s="2">
        <v>2</v>
      </c>
      <c r="AR10" s="2">
        <v>2</v>
      </c>
      <c r="AS10" s="2">
        <v>2</v>
      </c>
      <c r="AT10" s="2"/>
      <c r="AU10" s="2"/>
      <c r="AV10" s="2"/>
      <c r="AW10" s="2"/>
      <c r="AX10" s="2"/>
      <c r="AY10" s="2"/>
    </row>
    <row r="11" spans="1:92" x14ac:dyDescent="0.2">
      <c r="A11" s="2" t="s">
        <v>54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4</v>
      </c>
      <c r="P11" s="2">
        <v>4</v>
      </c>
      <c r="Q11" s="2">
        <v>4</v>
      </c>
      <c r="R11" s="2">
        <v>4</v>
      </c>
      <c r="S11" s="2">
        <v>2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2</v>
      </c>
      <c r="AA11" s="2">
        <v>2</v>
      </c>
      <c r="AB11" s="2">
        <v>2</v>
      </c>
      <c r="AC11" s="2">
        <v>1</v>
      </c>
      <c r="AD11" s="2">
        <v>1</v>
      </c>
      <c r="AE11" s="2">
        <v>3</v>
      </c>
      <c r="AF11" s="2">
        <v>3</v>
      </c>
      <c r="AG11" s="2">
        <v>4</v>
      </c>
      <c r="AH11" s="2">
        <v>2</v>
      </c>
      <c r="AI11" s="2">
        <v>2</v>
      </c>
      <c r="AJ11" s="2">
        <v>2</v>
      </c>
      <c r="AK11" s="2">
        <v>2</v>
      </c>
      <c r="AL11" s="2">
        <v>2</v>
      </c>
      <c r="AM11" s="2">
        <v>3</v>
      </c>
      <c r="AN11" s="2">
        <v>2</v>
      </c>
      <c r="AO11" s="2">
        <v>3</v>
      </c>
      <c r="AP11" s="2">
        <v>3</v>
      </c>
      <c r="AQ11" s="2">
        <v>2</v>
      </c>
      <c r="AR11" s="2">
        <v>2</v>
      </c>
      <c r="AS11" s="2">
        <v>2</v>
      </c>
      <c r="AT11" s="2"/>
      <c r="AU11" s="2"/>
      <c r="AV11" s="2"/>
      <c r="AW11" s="2" t="str">
        <f t="array" ref="AW11:CN11">B1:AS1</f>
        <v>1.Delay in delivering material to construction site</v>
      </c>
      <c r="AX11" s="2" t="str">
        <v>2.Monopoly of material by some suppliers</v>
      </c>
      <c r="AY11" s="2" t="str">
        <v>3.Prices fluctuation</v>
      </c>
      <c r="AZ11" t="str">
        <v>4.Types of material availability at local market</v>
      </c>
      <c r="BA11" t="str">
        <v>5.Lack of consultant’s knowledge of available materials</v>
      </c>
      <c r="BB11" t="str">
        <v>6.Low productivity</v>
      </c>
      <c r="BC11" t="str">
        <v>7.Poor work execution</v>
      </c>
      <c r="BD11" t="str">
        <v>8.Shortage of laborers</v>
      </c>
      <c r="BE11" t="str">
        <v>9.Mistakes happens during construction phase</v>
      </c>
      <c r="BF11" t="str">
        <v>10.Unavailability of equipment</v>
      </c>
      <c r="BG11" t="str">
        <v>11.Lack of engineering experience</v>
      </c>
      <c r="BH11" t="str">
        <v>12.Construction cost underestimation</v>
      </c>
      <c r="BI11" t="str">
        <v>13.Poor site management</v>
      </c>
      <c r="BJ11" t="str">
        <v>14.Delayed payment for completed work</v>
      </c>
      <c r="BK11" t="str">
        <v>15.Cash flow problem during construction</v>
      </c>
      <c r="BL11" t="str">
        <v>16.High rate of interest</v>
      </c>
      <c r="BM11" t="str">
        <v>17.Contractor’s financial difficulties</v>
      </c>
      <c r="BN11" t="str">
        <v>18.Increase in salaries of skilled laborers</v>
      </c>
      <c r="BO11" t="str">
        <v>19.Change design</v>
      </c>
      <c r="BP11" t="str">
        <v>20.Errors and omission in design</v>
      </c>
      <c r="BQ11" t="str">
        <v>21.Incomplete design drawings and specifications at tendering stage</v>
      </c>
      <c r="BR11" t="str">
        <v>22.Delay in preparation and approval of drawing</v>
      </c>
      <c r="BS11" t="str">
        <v>23.Inaccurate quantity take-off</v>
      </c>
      <c r="BT11" t="str">
        <v>24.Long period from planning of project to construction</v>
      </c>
      <c r="BU11" t="str">
        <v>25.Delays in issuing information to the contractor during construction stage</v>
      </c>
      <c r="BV11" t="str">
        <v>26.No practical use of earned value management system</v>
      </c>
      <c r="BW11" t="str">
        <v>27.Lack of cost planning/monitoring during pre and post contract stage</v>
      </c>
      <c r="BX11" t="str">
        <v>28.Poor communication between client, consultant and contractor</v>
      </c>
      <c r="BY11" t="str">
        <v>29.Insufficient coordination between local authority who is responsible about road projects and service authorities</v>
      </c>
      <c r="BZ11" t="str">
        <v>30.Delays in decisions making by the approval authorities</v>
      </c>
      <c r="CA11" t="str">
        <v>31.Change schedule</v>
      </c>
      <c r="CB11" t="str">
        <v>32.Stoppages because of work being rejected by consultant</v>
      </c>
      <c r="CC11" t="str">
        <v>33.Lowest bid price</v>
      </c>
      <c r="CD11" t="str">
        <v>34.Insufficient time for preparation of contract documents</v>
      </c>
      <c r="CE11" t="str">
        <v>35.Discrepancies in contract documents</v>
      </c>
      <c r="CF11" t="str">
        <v>36.Underestimation of time for completion of project</v>
      </c>
      <c r="CG11" t="str">
        <v>37.Extension of time with cost claims</v>
      </c>
      <c r="CH11" t="str">
        <v>38.Scope and specification changes</v>
      </c>
      <c r="CI11" t="str">
        <v>39.Changes in client requirements</v>
      </c>
      <c r="CJ11" t="str">
        <v>40.Frequency of variation orders and additional works</v>
      </c>
      <c r="CK11" t="str">
        <v>41.Rework due to error in execution</v>
      </c>
      <c r="CL11" t="str">
        <v>42.Weather conditions</v>
      </c>
      <c r="CM11" t="str">
        <v>43.Accidents during construction</v>
      </c>
      <c r="CN11" t="str">
        <v>44.Delay in getting NOCs from different government authorities</v>
      </c>
    </row>
    <row r="12" spans="1:92" x14ac:dyDescent="0.2">
      <c r="A12" s="2" t="s">
        <v>55</v>
      </c>
      <c r="B12" s="2">
        <v>2</v>
      </c>
      <c r="C12" s="2">
        <v>4</v>
      </c>
      <c r="D12" s="2">
        <v>4</v>
      </c>
      <c r="E12" s="2">
        <v>1</v>
      </c>
      <c r="F12" s="2">
        <v>1</v>
      </c>
      <c r="G12" s="2">
        <v>5</v>
      </c>
      <c r="H12" s="2">
        <v>1</v>
      </c>
      <c r="I12" s="2">
        <v>4</v>
      </c>
      <c r="J12" s="2">
        <v>5</v>
      </c>
      <c r="K12" s="2">
        <v>3</v>
      </c>
      <c r="L12" s="2">
        <v>2</v>
      </c>
      <c r="M12" s="2">
        <v>5</v>
      </c>
      <c r="N12" s="2">
        <v>2</v>
      </c>
      <c r="O12" s="2">
        <v>1</v>
      </c>
      <c r="P12" s="2">
        <v>1</v>
      </c>
      <c r="Q12" s="2">
        <v>1</v>
      </c>
      <c r="R12" s="2">
        <v>1</v>
      </c>
      <c r="S12" s="2">
        <v>3</v>
      </c>
      <c r="T12" s="2">
        <v>5</v>
      </c>
      <c r="U12" s="2">
        <v>2</v>
      </c>
      <c r="V12" s="2">
        <v>3</v>
      </c>
      <c r="W12" s="2">
        <v>4</v>
      </c>
      <c r="X12" s="2">
        <v>3</v>
      </c>
      <c r="Y12" s="2">
        <v>2</v>
      </c>
      <c r="Z12" s="2">
        <v>2</v>
      </c>
      <c r="AA12" s="2">
        <v>1</v>
      </c>
      <c r="AB12" s="2">
        <v>2</v>
      </c>
      <c r="AC12" s="2">
        <v>1</v>
      </c>
      <c r="AD12" s="2">
        <v>5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3</v>
      </c>
      <c r="AL12" s="2">
        <v>3</v>
      </c>
      <c r="AM12" s="2">
        <v>4</v>
      </c>
      <c r="AN12" s="2">
        <v>4</v>
      </c>
      <c r="AO12" s="2">
        <v>4</v>
      </c>
      <c r="AP12" s="2">
        <v>1</v>
      </c>
      <c r="AQ12" s="2">
        <v>1</v>
      </c>
      <c r="AR12" s="2">
        <v>1</v>
      </c>
      <c r="AS12" s="2">
        <v>1</v>
      </c>
      <c r="AT12" s="2"/>
      <c r="AU12" s="2"/>
      <c r="AV12" s="2" t="s">
        <v>189</v>
      </c>
      <c r="AW12" s="7">
        <f>AVERAGE(B2:B144)</f>
        <v>3.0769230769230771</v>
      </c>
      <c r="AX12" s="8">
        <f>AVERAGE(C2:C144)</f>
        <v>2.9930069930069929</v>
      </c>
      <c r="AY12" s="8">
        <f>AVERAGE(D2:D144)</f>
        <v>2.7412587412587412</v>
      </c>
      <c r="AZ12" s="8">
        <f>AVERAGE(E2:E144)</f>
        <v>2.9160839160839163</v>
      </c>
      <c r="BA12" s="8">
        <f>AVERAGE(F2:F144)</f>
        <v>2.8321678321678321</v>
      </c>
      <c r="BB12" s="8">
        <f>AVERAGE(G2:G144)</f>
        <v>3.4545454545454546</v>
      </c>
      <c r="BC12" s="8">
        <f>AVERAGE(H2:H144)</f>
        <v>3.5314685314685317</v>
      </c>
      <c r="BD12" s="8">
        <f>AVERAGE(I2:I144)</f>
        <v>3.4055944055944054</v>
      </c>
      <c r="BE12" s="8">
        <f>AVERAGE(J2:J144)</f>
        <v>3.3286713286713288</v>
      </c>
      <c r="BF12" s="8">
        <f>AVERAGE(K2:K144)</f>
        <v>3.4195804195804196</v>
      </c>
      <c r="BG12" s="8">
        <f>AVERAGE(L2:L144)</f>
        <v>3.5104895104895104</v>
      </c>
      <c r="BH12" s="8">
        <f>AVERAGE(M2:M144)</f>
        <v>3.7902097902097904</v>
      </c>
      <c r="BI12" s="8">
        <f>AVERAGE(N2:N144)</f>
        <v>3.7692307692307692</v>
      </c>
      <c r="BJ12" s="8">
        <f>AVERAGE(O2:O144)</f>
        <v>3.6083916083916083</v>
      </c>
      <c r="BK12" s="8">
        <f>AVERAGE(P2:P144)</f>
        <v>3.6293706293706292</v>
      </c>
      <c r="BL12" s="8">
        <f>AVERAGE(Q2:Q144)</f>
        <v>3.1678321678321679</v>
      </c>
      <c r="BM12" s="8">
        <f>AVERAGE(R2:R144)</f>
        <v>3.5804195804195804</v>
      </c>
      <c r="BN12" s="8">
        <f>AVERAGE(S2:S144)</f>
        <v>2.7552447552447554</v>
      </c>
      <c r="BO12" s="8">
        <f>AVERAGE(T2:T144)</f>
        <v>3.8057553956834531</v>
      </c>
      <c r="BP12" s="8">
        <f>AVERAGE(U2:U144)</f>
        <v>3.4685314685314683</v>
      </c>
      <c r="BQ12" s="8">
        <f>AVERAGE(V2:V144)</f>
        <v>3.5174825174825175</v>
      </c>
      <c r="BR12" s="8">
        <f>AVERAGE(W2:W144)</f>
        <v>3.6223776223776225</v>
      </c>
      <c r="BS12" s="8">
        <f>AVERAGE(X2:X144)</f>
        <v>3.6363636363636362</v>
      </c>
      <c r="BT12" s="8">
        <f>AVERAGE(Y2:Y144)</f>
        <v>3.4825174825174825</v>
      </c>
      <c r="BU12" s="8">
        <f>AVERAGE(Z2:Z144)</f>
        <v>3.2517482517482517</v>
      </c>
      <c r="BV12" s="8">
        <f>AVERAGE(AA2:AA144)</f>
        <v>3.0559440559440558</v>
      </c>
      <c r="BW12" s="8">
        <f>AVERAGE(AB2:AB144)</f>
        <v>3.4615384615384617</v>
      </c>
      <c r="BX12" s="8">
        <f>AVERAGE(AC2:AC144)</f>
        <v>3.3216783216783217</v>
      </c>
      <c r="BY12" s="8">
        <f>AVERAGE(AD2:AD144)</f>
        <v>3.5454545454545454</v>
      </c>
      <c r="BZ12" s="8">
        <f>AVERAGE(AE2:AE144)</f>
        <v>4.0279720279720284</v>
      </c>
      <c r="CA12" s="8">
        <f>AVERAGE(AF2:AF144)</f>
        <v>3.2797202797202796</v>
      </c>
      <c r="CB12" s="8">
        <f>AVERAGE(AG2:AG144)</f>
        <v>3.104895104895105</v>
      </c>
      <c r="CC12" s="8">
        <f>AVERAGE(AH2:AH144)</f>
        <v>3.2816901408450705</v>
      </c>
      <c r="CD12" s="8">
        <f>AVERAGE(AI2:AI144)</f>
        <v>3.1818181818181817</v>
      </c>
      <c r="CE12" s="8">
        <f>AVERAGE(AJ2:AJ144)</f>
        <v>3.1888111888111887</v>
      </c>
      <c r="CF12" s="8">
        <f>AVERAGE(AK2:AK144)</f>
        <v>3.6643356643356642</v>
      </c>
      <c r="CG12" s="8">
        <f>AVERAGE(AL2:AL144)</f>
        <v>3.6503496503496504</v>
      </c>
      <c r="CH12" s="8">
        <f>AVERAGE(AM2:AM144)</f>
        <v>3.9440559440559442</v>
      </c>
      <c r="CI12" s="8">
        <f>AVERAGE(AN2:AN144)</f>
        <v>4.06993006993007</v>
      </c>
      <c r="CJ12" s="8">
        <f>AVERAGE(AO2:AO144)</f>
        <v>3.9090909090909092</v>
      </c>
      <c r="CK12" s="8">
        <f>AVERAGE(AP2:AP144)</f>
        <v>3.5594405594405596</v>
      </c>
      <c r="CL12" s="8">
        <f>AVERAGE(AQ2:AQ144)</f>
        <v>2.4895104895104896</v>
      </c>
      <c r="CM12" s="8">
        <f>AVERAGE(AR2:AR144)</f>
        <v>2.6993006993006992</v>
      </c>
      <c r="CN12" s="9">
        <f t="shared" ref="CN12" si="0">AVERAGE(AS2:AS144)</f>
        <v>3.6643356643356642</v>
      </c>
    </row>
    <row r="13" spans="1:92" x14ac:dyDescent="0.2">
      <c r="A13" s="2" t="s">
        <v>56</v>
      </c>
      <c r="B13" s="2">
        <v>2</v>
      </c>
      <c r="C13" s="2">
        <v>1</v>
      </c>
      <c r="D13" s="2">
        <v>3</v>
      </c>
      <c r="E13" s="2">
        <v>4</v>
      </c>
      <c r="F13" s="2">
        <v>4</v>
      </c>
      <c r="G13" s="2">
        <v>3</v>
      </c>
      <c r="H13" s="2">
        <v>3</v>
      </c>
      <c r="I13" s="2">
        <v>4</v>
      </c>
      <c r="J13" s="2">
        <v>3</v>
      </c>
      <c r="K13" s="2">
        <v>4</v>
      </c>
      <c r="L13" s="2">
        <v>5</v>
      </c>
      <c r="M13" s="2">
        <v>4</v>
      </c>
      <c r="N13" s="2">
        <v>3</v>
      </c>
      <c r="O13" s="2">
        <v>3</v>
      </c>
      <c r="P13" s="2">
        <v>4</v>
      </c>
      <c r="Q13" s="2">
        <v>2</v>
      </c>
      <c r="R13" s="2">
        <v>4</v>
      </c>
      <c r="S13" s="2">
        <v>2</v>
      </c>
      <c r="T13" s="2">
        <v>4</v>
      </c>
      <c r="U13" s="2">
        <v>4</v>
      </c>
      <c r="V13" s="2">
        <v>5</v>
      </c>
      <c r="W13" s="2">
        <v>3</v>
      </c>
      <c r="X13" s="2">
        <v>4</v>
      </c>
      <c r="Y13" s="2">
        <v>3</v>
      </c>
      <c r="Z13" s="2">
        <v>3</v>
      </c>
      <c r="AA13" s="2">
        <v>3</v>
      </c>
      <c r="AB13" s="2">
        <v>3</v>
      </c>
      <c r="AC13" s="2">
        <v>4</v>
      </c>
      <c r="AD13" s="2">
        <v>4</v>
      </c>
      <c r="AE13" s="2">
        <v>4</v>
      </c>
      <c r="AF13" s="2">
        <v>3</v>
      </c>
      <c r="AG13" s="2">
        <v>4</v>
      </c>
      <c r="AH13" s="2">
        <v>4</v>
      </c>
      <c r="AI13" s="2">
        <v>3</v>
      </c>
      <c r="AJ13" s="2">
        <v>3</v>
      </c>
      <c r="AK13" s="2">
        <v>4</v>
      </c>
      <c r="AL13" s="2">
        <v>4</v>
      </c>
      <c r="AM13" s="2">
        <v>4</v>
      </c>
      <c r="AN13" s="2">
        <v>4</v>
      </c>
      <c r="AO13" s="2">
        <v>4</v>
      </c>
      <c r="AP13" s="2">
        <v>4</v>
      </c>
      <c r="AQ13" s="2">
        <v>2</v>
      </c>
      <c r="AR13" s="2">
        <v>2</v>
      </c>
      <c r="AS13" s="2">
        <v>3</v>
      </c>
      <c r="AT13" s="2"/>
      <c r="AU13" s="2"/>
      <c r="AV13" s="2" t="s">
        <v>190</v>
      </c>
      <c r="AW13" s="10">
        <f>_xlfn.STDEV.S(B2:B144)</f>
        <v>1.2619955306550348</v>
      </c>
      <c r="AX13" s="11">
        <f>_xlfn.STDEV.S(C2:C144)</f>
        <v>1.3347812158990515</v>
      </c>
      <c r="AY13" s="11">
        <f>_xlfn.STDEV.S(D2:D144)</f>
        <v>1.1178027158021859</v>
      </c>
      <c r="AZ13" s="11">
        <f>_xlfn.STDEV.S(E2:E144)</f>
        <v>1.0581441599947687</v>
      </c>
      <c r="BA13" s="11">
        <f>_xlfn.STDEV.S(F2:F144)</f>
        <v>1.2558932289888003</v>
      </c>
      <c r="BB13" s="11">
        <f>_xlfn.STDEV.S(G2:G144)</f>
        <v>1.0924018809019909</v>
      </c>
      <c r="BC13" s="11">
        <f>_xlfn.STDEV.S(H2:H144)</f>
        <v>1.1915441266243139</v>
      </c>
      <c r="BD13" s="11">
        <f>_xlfn.STDEV.S(I2:I144)</f>
        <v>1.1148028451840506</v>
      </c>
      <c r="BE13" s="11">
        <f>_xlfn.STDEV.S(J2:J144)</f>
        <v>1.2089817842278274</v>
      </c>
      <c r="BF13" s="11">
        <f>_xlfn.STDEV.S(K2:K144)</f>
        <v>1.1713275687939408</v>
      </c>
      <c r="BG13" s="11">
        <f>_xlfn.STDEV.S(L2:L144)</f>
        <v>1.1800401811440779</v>
      </c>
      <c r="BH13" s="11">
        <f>_xlfn.STDEV.S(M2:M144)</f>
        <v>1.2035929009308268</v>
      </c>
      <c r="BI13" s="11">
        <f>_xlfn.STDEV.S(N2:N144)</f>
        <v>1.2200918211365628</v>
      </c>
      <c r="BJ13" s="11">
        <f>_xlfn.STDEV.S(O2:O144)</f>
        <v>0.99318072788337153</v>
      </c>
      <c r="BK13" s="11">
        <f>_xlfn.STDEV.S(P2:P144)</f>
        <v>1.1238660744126938</v>
      </c>
      <c r="BL13" s="11">
        <f>_xlfn.STDEV.S(Q2:Q144)</f>
        <v>1.2275362591013952</v>
      </c>
      <c r="BM13" s="11">
        <f>_xlfn.STDEV.S(R2:R144)</f>
        <v>1.1652998611406724</v>
      </c>
      <c r="BN13" s="11">
        <f>_xlfn.STDEV.S(S2:S144)</f>
        <v>1.0955530034347838</v>
      </c>
      <c r="BO13" s="11">
        <f>_xlfn.STDEV.S(T2:T144)</f>
        <v>1.0063400312894986</v>
      </c>
      <c r="BP13" s="11">
        <f>_xlfn.STDEV.S(U2:U144)</f>
        <v>1.1432853315576437</v>
      </c>
      <c r="BQ13" s="11">
        <f>_xlfn.STDEV.S(V2:V144)</f>
        <v>1.0737137529545568</v>
      </c>
      <c r="BR13" s="11">
        <f>_xlfn.STDEV.S(W2:W144)</f>
        <v>0.9915430839772118</v>
      </c>
      <c r="BS13" s="11">
        <f>_xlfn.STDEV.S(X2:X144)</f>
        <v>0.99679383592818716</v>
      </c>
      <c r="BT13" s="11">
        <f>_xlfn.STDEV.S(Y2:Y144)</f>
        <v>0.99896528759460412</v>
      </c>
      <c r="BU13" s="11">
        <f>_xlfn.STDEV.S(Z2:Z144)</f>
        <v>1.0102888407828243</v>
      </c>
      <c r="BV13" s="11">
        <f>_xlfn.STDEV.S(AA2:AA144)</f>
        <v>0.98421502128133975</v>
      </c>
      <c r="BW13" s="11">
        <f>_xlfn.STDEV.S(AB2:AB144)</f>
        <v>0.97698321787906572</v>
      </c>
      <c r="BX13" s="11">
        <f>_xlfn.STDEV.S(AC2:AC144)</f>
        <v>1.2367688399211796</v>
      </c>
      <c r="BY13" s="11">
        <f>_xlfn.STDEV.S(AD2:AD144)</f>
        <v>1.0663038221957162</v>
      </c>
      <c r="BZ13" s="11">
        <f>_xlfn.STDEV.S(AE2:AE144)</f>
        <v>0.93405111860636469</v>
      </c>
      <c r="CA13" s="11">
        <f>_xlfn.STDEV.S(AF2:AF144)</f>
        <v>1.0305584046675413</v>
      </c>
      <c r="CB13" s="11">
        <f>_xlfn.STDEV.S(AG2:AG144)</f>
        <v>1.0987399102280675</v>
      </c>
      <c r="CC13" s="11">
        <f>_xlfn.STDEV.S(AH2:AH144)</f>
        <v>1.2225203427398443</v>
      </c>
      <c r="CD13" s="11">
        <f>_xlfn.STDEV.S(AI2:AI144)</f>
        <v>1.1422510739785372</v>
      </c>
      <c r="CE13" s="11">
        <f>_xlfn.STDEV.S(AJ2:AJ144)</f>
        <v>1.0478082352711771</v>
      </c>
      <c r="CF13" s="11">
        <f>_xlfn.STDEV.S(AK2:AK144)</f>
        <v>0.99253591799381724</v>
      </c>
      <c r="CG13" s="11">
        <f>_xlfn.STDEV.S(AL2:AL144)</f>
        <v>0.9947661715391255</v>
      </c>
      <c r="CH13" s="11">
        <f>_xlfn.STDEV.S(AM2:AM144)</f>
        <v>0.90208072291288832</v>
      </c>
      <c r="CI13" s="11">
        <f>_xlfn.STDEV.S(AN2:AN144)</f>
        <v>0.95423702764800644</v>
      </c>
      <c r="CJ13" s="11">
        <f>_xlfn.STDEV.S(AO2:AO144)</f>
        <v>0.91088171886466407</v>
      </c>
      <c r="CK13" s="11">
        <f>_xlfn.STDEV.S(AP2:AP144)</f>
        <v>1.0388399382082814</v>
      </c>
      <c r="CL13" s="11">
        <f>_xlfn.STDEV.S(AQ2:AQ144)</f>
        <v>1.0268722705869813</v>
      </c>
      <c r="CM13" s="11">
        <f>_xlfn.STDEV.S(AR2:AR144)</f>
        <v>1.1323350238009366</v>
      </c>
      <c r="CN13" s="12">
        <f t="shared" ref="CN13" si="1">_xlfn.STDEV.S(AS2:AS144)</f>
        <v>1.1002180062078086</v>
      </c>
    </row>
    <row r="14" spans="1:92" x14ac:dyDescent="0.2">
      <c r="A14" s="2" t="s">
        <v>57</v>
      </c>
      <c r="B14" s="2">
        <v>5</v>
      </c>
      <c r="C14" s="2">
        <v>5</v>
      </c>
      <c r="D14" s="2">
        <v>5</v>
      </c>
      <c r="E14" s="2">
        <v>5</v>
      </c>
      <c r="F14" s="2">
        <v>3</v>
      </c>
      <c r="G14" s="2">
        <v>3</v>
      </c>
      <c r="H14" s="2">
        <v>4</v>
      </c>
      <c r="I14" s="2">
        <v>5</v>
      </c>
      <c r="J14" s="2">
        <v>2</v>
      </c>
      <c r="K14" s="2">
        <v>4</v>
      </c>
      <c r="L14" s="2">
        <v>5</v>
      </c>
      <c r="M14" s="2">
        <v>3</v>
      </c>
      <c r="N14" s="2">
        <v>5</v>
      </c>
      <c r="O14" s="2">
        <v>5</v>
      </c>
      <c r="P14" s="2">
        <v>5</v>
      </c>
      <c r="Q14" s="2">
        <v>2</v>
      </c>
      <c r="R14" s="2">
        <v>5</v>
      </c>
      <c r="S14" s="2">
        <v>5</v>
      </c>
      <c r="T14" s="2">
        <v>5</v>
      </c>
      <c r="U14" s="2">
        <v>4</v>
      </c>
      <c r="V14" s="2">
        <v>5</v>
      </c>
      <c r="W14" s="2">
        <v>3</v>
      </c>
      <c r="X14" s="2">
        <v>3</v>
      </c>
      <c r="Y14" s="2">
        <v>5</v>
      </c>
      <c r="Z14" s="2">
        <v>3</v>
      </c>
      <c r="AA14" s="2">
        <v>5</v>
      </c>
      <c r="AB14" s="2">
        <v>5</v>
      </c>
      <c r="AC14" s="2">
        <v>5</v>
      </c>
      <c r="AD14" s="2">
        <v>5</v>
      </c>
      <c r="AE14" s="2">
        <v>5</v>
      </c>
      <c r="AF14" s="2">
        <v>3</v>
      </c>
      <c r="AG14" s="2">
        <v>3</v>
      </c>
      <c r="AH14" s="2">
        <v>1</v>
      </c>
      <c r="AI14" s="2">
        <v>1</v>
      </c>
      <c r="AJ14" s="2">
        <v>2</v>
      </c>
      <c r="AK14" s="2">
        <v>3</v>
      </c>
      <c r="AL14" s="2">
        <v>5</v>
      </c>
      <c r="AM14" s="2">
        <v>5</v>
      </c>
      <c r="AN14" s="2">
        <v>5</v>
      </c>
      <c r="AO14" s="2">
        <v>3</v>
      </c>
      <c r="AP14" s="2">
        <v>4</v>
      </c>
      <c r="AQ14" s="2">
        <v>3</v>
      </c>
      <c r="AR14" s="2">
        <v>5</v>
      </c>
      <c r="AS14" s="2">
        <v>5</v>
      </c>
      <c r="AT14" s="2"/>
      <c r="AU14" s="2"/>
      <c r="AV14" s="2" t="s">
        <v>191</v>
      </c>
      <c r="AW14" s="10">
        <f>SKEW(B2:B144)</f>
        <v>-0.35980665912505266</v>
      </c>
      <c r="AX14" s="11">
        <f>SKEW(C2:C144)</f>
        <v>1.2936986819454184E-2</v>
      </c>
      <c r="AY14" s="11">
        <f>SKEW(D2:D144)</f>
        <v>-0.17795708056651771</v>
      </c>
      <c r="AZ14" s="11">
        <f>SKEW(E2:E144)</f>
        <v>-0.19223782827545371</v>
      </c>
      <c r="BA14" s="11">
        <f>SKEW(F2:F144)</f>
        <v>-8.8533492857035129E-2</v>
      </c>
      <c r="BB14" s="11">
        <f>SKEW(G2:G144)</f>
        <v>-0.72047789791445715</v>
      </c>
      <c r="BC14" s="11">
        <f>SKEW(H2:H144)</f>
        <v>-0.77222058855699838</v>
      </c>
      <c r="BD14" s="11">
        <f>SKEW(I2:I144)</f>
        <v>-0.60970971709091459</v>
      </c>
      <c r="BE14" s="11">
        <f>SKEW(J2:J144)</f>
        <v>-0.56069879897411123</v>
      </c>
      <c r="BF14" s="11">
        <f>SKEW(K2:K144)</f>
        <v>-0.55018004135216236</v>
      </c>
      <c r="BG14" s="11">
        <f>SKEW(L2:L144)</f>
        <v>-0.7686653341172901</v>
      </c>
      <c r="BH14" s="11">
        <f>SKEW(M2:M144)</f>
        <v>-0.8406147673726192</v>
      </c>
      <c r="BI14" s="11">
        <f>SKEW(N2:N144)</f>
        <v>-0.96302767687046742</v>
      </c>
      <c r="BJ14" s="11">
        <f>SKEW(O2:O144)</f>
        <v>-0.41448345809981668</v>
      </c>
      <c r="BK14" s="11">
        <f>SKEW(P2:P144)</f>
        <v>-0.7058742234512404</v>
      </c>
      <c r="BL14" s="11">
        <f>SKEW(Q2:Q144)</f>
        <v>-0.23325760014189145</v>
      </c>
      <c r="BM14" s="11">
        <f>SKEW(R2:R144)</f>
        <v>-0.72541374372310297</v>
      </c>
      <c r="BN14" s="11">
        <f>SKEW(S2:S144)</f>
        <v>0.17511615995901811</v>
      </c>
      <c r="BO14" s="11">
        <f>SKEW(T2:T144)</f>
        <v>-0.72531122704223916</v>
      </c>
      <c r="BP14" s="11">
        <f>SKEW(U2:U144)</f>
        <v>-0.56681628521143468</v>
      </c>
      <c r="BQ14" s="11">
        <f>SKEW(V2:V144)</f>
        <v>-0.4613657693066035</v>
      </c>
      <c r="BR14" s="11">
        <f>SKEW(W2:W144)</f>
        <v>-0.45527985807337312</v>
      </c>
      <c r="BS14" s="11">
        <f>SKEW(X2:X144)</f>
        <v>-0.64329413629074694</v>
      </c>
      <c r="BT14" s="11">
        <f>SKEW(Y2:Y144)</f>
        <v>-0.1876495395737782</v>
      </c>
      <c r="BU14" s="11">
        <f>SKEW(Z2:Z144)</f>
        <v>-0.15060591917511743</v>
      </c>
      <c r="BV14" s="11">
        <f>SKEW(AA2:AA144)</f>
        <v>-0.11319963273119814</v>
      </c>
      <c r="BW14" s="11">
        <f>SKEW(AB2:AB144)</f>
        <v>-0.4421324149404281</v>
      </c>
      <c r="BX14" s="11">
        <f>SKEW(AC2:AC144)</f>
        <v>-0.47709063257277823</v>
      </c>
      <c r="BY14" s="11">
        <f>SKEW(AD2:AD144)</f>
        <v>-0.45598910454197994</v>
      </c>
      <c r="BZ14" s="11">
        <f>SKEW(AE2:AE144)</f>
        <v>-0.79228581631647887</v>
      </c>
      <c r="CA14" s="11">
        <f>SKEW(AF2:AF144)</f>
        <v>-0.35031628043364649</v>
      </c>
      <c r="CB14" s="11">
        <f>SKEW(AG2:AG144)</f>
        <v>-0.3075102628143781</v>
      </c>
      <c r="CC14" s="11">
        <f>SKEW(AH2:AH144)</f>
        <v>-0.20180499754319106</v>
      </c>
      <c r="CD14" s="11">
        <f>SKEW(AI2:AI144)</f>
        <v>-4.7526926607162928E-2</v>
      </c>
      <c r="CE14" s="11">
        <f>SKEW(AJ2:AJ144)</f>
        <v>-8.8599059678442074E-2</v>
      </c>
      <c r="CF14" s="11">
        <f>SKEW(AK2:AK144)</f>
        <v>-0.7284436254948522</v>
      </c>
      <c r="CG14" s="11">
        <f>SKEW(AL2:AL144)</f>
        <v>-0.55498012890671766</v>
      </c>
      <c r="CH14" s="11">
        <f>SKEW(AM2:AM144)</f>
        <v>-0.82293964362849181</v>
      </c>
      <c r="CI14" s="11">
        <f>SKEW(AN2:AN144)</f>
        <v>-0.73299756067951194</v>
      </c>
      <c r="CJ14" s="11">
        <f>SKEW(AO2:AO144)</f>
        <v>-0.4985975388851509</v>
      </c>
      <c r="CK14" s="11">
        <f>SKEW(AP2:AP144)</f>
        <v>-0.52386931430733819</v>
      </c>
      <c r="CL14" s="11">
        <f>SKEW(AQ2:AQ144)</f>
        <v>0.28585051032908659</v>
      </c>
      <c r="CM14" s="11">
        <f>SKEW(AR2:AR144)</f>
        <v>0.49750391035489527</v>
      </c>
      <c r="CN14" s="12">
        <f t="shared" ref="CN14" si="2">SKEW(AS2:AS144)</f>
        <v>-0.6837672043884262</v>
      </c>
    </row>
    <row r="15" spans="1:92" x14ac:dyDescent="0.2">
      <c r="A15" s="2" t="s">
        <v>58</v>
      </c>
      <c r="B15" s="2">
        <v>4</v>
      </c>
      <c r="C15" s="2">
        <v>4</v>
      </c>
      <c r="D15" s="2">
        <v>3</v>
      </c>
      <c r="E15" s="2">
        <v>3</v>
      </c>
      <c r="F15" s="2">
        <v>4</v>
      </c>
      <c r="G15" s="2">
        <v>3</v>
      </c>
      <c r="H15" s="2">
        <v>3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5</v>
      </c>
      <c r="P15" s="2">
        <v>5</v>
      </c>
      <c r="Q15" s="2">
        <v>5</v>
      </c>
      <c r="R15" s="2">
        <v>4</v>
      </c>
      <c r="S15" s="2">
        <v>4</v>
      </c>
      <c r="T15" s="2">
        <v>4</v>
      </c>
      <c r="U15" s="2">
        <v>3</v>
      </c>
      <c r="V15" s="2">
        <v>3</v>
      </c>
      <c r="W15" s="2">
        <v>4</v>
      </c>
      <c r="X15" s="2">
        <v>3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5</v>
      </c>
      <c r="AF15" s="2">
        <v>4</v>
      </c>
      <c r="AG15" s="2">
        <v>4</v>
      </c>
      <c r="AH15" s="2">
        <v>4</v>
      </c>
      <c r="AI15" s="2">
        <v>4</v>
      </c>
      <c r="AJ15" s="2">
        <v>4</v>
      </c>
      <c r="AK15" s="2">
        <v>3</v>
      </c>
      <c r="AL15" s="2">
        <v>3</v>
      </c>
      <c r="AM15" s="2">
        <v>4</v>
      </c>
      <c r="AN15" s="2">
        <v>4</v>
      </c>
      <c r="AO15" s="2">
        <v>4</v>
      </c>
      <c r="AP15" s="2">
        <v>4</v>
      </c>
      <c r="AQ15" s="2">
        <v>4</v>
      </c>
      <c r="AR15" s="2">
        <v>4</v>
      </c>
      <c r="AS15" s="2">
        <v>4</v>
      </c>
      <c r="AT15" s="2"/>
      <c r="AU15" s="2"/>
      <c r="AV15" s="2" t="s">
        <v>192</v>
      </c>
      <c r="AW15" s="13">
        <f>KURT(B2:B144)</f>
        <v>-1.0888639865101746</v>
      </c>
      <c r="AX15" s="14">
        <f>KURT(C2:C144)</f>
        <v>-1.1457625152877116</v>
      </c>
      <c r="AY15" s="14">
        <f>KURT(D2:D144)</f>
        <v>-0.71606817296901504</v>
      </c>
      <c r="AZ15" s="14">
        <f>KURT(E2:E144)</f>
        <v>-0.40073636526604783</v>
      </c>
      <c r="BA15" s="14">
        <f>KURT(F2:F144)</f>
        <v>-1.028250651963698</v>
      </c>
      <c r="BB15" s="14">
        <f>KURT(G2:G144)</f>
        <v>-0.1863092609008179</v>
      </c>
      <c r="BC15" s="14">
        <f>KURT(H2:H144)</f>
        <v>-0.21540218228298835</v>
      </c>
      <c r="BD15" s="14">
        <f>KURT(I2:I144)</f>
        <v>-0.10683465533730541</v>
      </c>
      <c r="BE15" s="14">
        <f>KURT(J2:J144)</f>
        <v>-0.57079129272663343</v>
      </c>
      <c r="BF15" s="14">
        <f>KURT(K2:K144)</f>
        <v>-0.34221239570503847</v>
      </c>
      <c r="BG15" s="14">
        <f>KURT(L2:L144)</f>
        <v>-0.19562612107591182</v>
      </c>
      <c r="BH15" s="14">
        <f>KURT(M2:M144)</f>
        <v>-0.13374185420405604</v>
      </c>
      <c r="BI15" s="14">
        <f>KURT(N2:N144)</f>
        <v>2.8492857134163607E-2</v>
      </c>
      <c r="BJ15" s="14">
        <f>KURT(O2:O144)</f>
        <v>-0.15997814964278767</v>
      </c>
      <c r="BK15" s="14">
        <f>KURT(P2:P144)</f>
        <v>-0.2072603589941413</v>
      </c>
      <c r="BL15" s="14">
        <f>KURT(Q2:Q144)</f>
        <v>-0.86994486061303045</v>
      </c>
      <c r="BM15" s="14">
        <f>KURT(R2:R144)</f>
        <v>-0.32289535423589744</v>
      </c>
      <c r="BN15" s="14">
        <f>KURT(S2:S144)</f>
        <v>-0.59223232431275763</v>
      </c>
      <c r="BO15" s="14">
        <f>KURT(T2:T144)</f>
        <v>2.5995042978870231E-2</v>
      </c>
      <c r="BP15" s="14">
        <f>KURT(U2:U144)</f>
        <v>-0.55377981027025891</v>
      </c>
      <c r="BQ15" s="14">
        <f>KURT(V2:V144)</f>
        <v>-0.55380118489242047</v>
      </c>
      <c r="BR15" s="14">
        <f>KURT(W2:W144)</f>
        <v>-0.48209394663077365</v>
      </c>
      <c r="BS15" s="14">
        <f>KURT(X2:X144)</f>
        <v>0.32728566001444515</v>
      </c>
      <c r="BT15" s="14">
        <f>KURT(Y2:Y144)</f>
        <v>-0.52799279211879524</v>
      </c>
      <c r="BU15" s="14">
        <f>KURT(Z2:Z144)</f>
        <v>-0.43981722377506305</v>
      </c>
      <c r="BV15" s="14">
        <f>KURT(AA2:AA144)</f>
        <v>-9.8857829622173377E-2</v>
      </c>
      <c r="BW15" s="14">
        <f>KURT(AB2:AB144)</f>
        <v>-0.28377309647655746</v>
      </c>
      <c r="BX15" s="14">
        <f>KURT(AC2:AC144)</f>
        <v>-0.70887317125769478</v>
      </c>
      <c r="BY15" s="14">
        <f>KURT(AD2:AD144)</f>
        <v>-0.47316807689147522</v>
      </c>
      <c r="BZ15" s="14">
        <f>KURT(AE2:AE144)</f>
        <v>0.30896773698387259</v>
      </c>
      <c r="CA15" s="14">
        <f>KURT(AF2:AF144)</f>
        <v>-0.36555984380438966</v>
      </c>
      <c r="CB15" s="14">
        <f>KURT(AG2:AG144)</f>
        <v>-0.73754965504394088</v>
      </c>
      <c r="CC15" s="14">
        <f>KURT(AH2:AH144)</f>
        <v>-0.92285918154953839</v>
      </c>
      <c r="CD15" s="14">
        <f>KURT(AI2:AI144)</f>
        <v>-0.8709070009733515</v>
      </c>
      <c r="CE15" s="14">
        <f>KURT(AJ2:AJ144)</f>
        <v>-0.75921120615117355</v>
      </c>
      <c r="CF15" s="14">
        <f>KURT(AK2:AK144)</f>
        <v>0.27924527744261018</v>
      </c>
      <c r="CG15" s="14">
        <f>KURT(AL2:AL144)</f>
        <v>-5.0062289279568795E-2</v>
      </c>
      <c r="CH15" s="14">
        <f>KURT(AM2:AM144)</f>
        <v>0.3846486067749213</v>
      </c>
      <c r="CI15" s="14">
        <f>KURT(AN2:AN144)</f>
        <v>-0.44941171811252545</v>
      </c>
      <c r="CJ15" s="14">
        <f>KURT(AO2:AO144)</f>
        <v>-0.26897236085574106</v>
      </c>
      <c r="CK15" s="14">
        <f>KURT(AP2:AP144)</f>
        <v>-0.1361763553428057</v>
      </c>
      <c r="CL15" s="14">
        <f>KURT(AQ2:AQ144)</f>
        <v>-0.47680154686628695</v>
      </c>
      <c r="CM15" s="14">
        <f>KURT(AR2:AR144)</f>
        <v>-0.48745971133021904</v>
      </c>
      <c r="CN15" s="15">
        <f t="shared" ref="CN15" si="3">KURT(AS2:AS144)</f>
        <v>-0.14255660612447763</v>
      </c>
    </row>
    <row r="16" spans="1:92" x14ac:dyDescent="0.2">
      <c r="A16" s="2" t="s">
        <v>59</v>
      </c>
      <c r="B16" s="2">
        <v>2</v>
      </c>
      <c r="C16" s="2">
        <v>5</v>
      </c>
      <c r="D16" s="2">
        <v>2</v>
      </c>
      <c r="E16" s="2">
        <v>3</v>
      </c>
      <c r="F16" s="2">
        <v>4</v>
      </c>
      <c r="G16" s="2">
        <v>5</v>
      </c>
      <c r="H16" s="2">
        <v>4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4</v>
      </c>
      <c r="O16" s="2">
        <v>3</v>
      </c>
      <c r="P16" s="2">
        <v>5</v>
      </c>
      <c r="Q16" s="2">
        <v>5</v>
      </c>
      <c r="R16" s="2">
        <v>5</v>
      </c>
      <c r="S16" s="2">
        <v>2</v>
      </c>
      <c r="T16" s="2">
        <v>5</v>
      </c>
      <c r="U16" s="2">
        <v>5</v>
      </c>
      <c r="V16" s="2">
        <v>5</v>
      </c>
      <c r="W16" s="2">
        <v>3</v>
      </c>
      <c r="X16" s="2">
        <v>5</v>
      </c>
      <c r="Y16" s="2">
        <v>3</v>
      </c>
      <c r="Z16" s="2">
        <v>3</v>
      </c>
      <c r="AA16" s="2">
        <v>3</v>
      </c>
      <c r="AB16" s="2">
        <v>3</v>
      </c>
      <c r="AC16" s="2">
        <v>3</v>
      </c>
      <c r="AD16" s="2">
        <v>4</v>
      </c>
      <c r="AE16" s="2">
        <v>3</v>
      </c>
      <c r="AF16" s="2">
        <v>2</v>
      </c>
      <c r="AG16" s="2">
        <v>2</v>
      </c>
      <c r="AH16" s="2">
        <v>1</v>
      </c>
      <c r="AI16" s="2">
        <v>3</v>
      </c>
      <c r="AJ16" s="2">
        <v>3</v>
      </c>
      <c r="AK16" s="2">
        <v>2</v>
      </c>
      <c r="AL16" s="2">
        <v>3</v>
      </c>
      <c r="AM16" s="2">
        <v>5</v>
      </c>
      <c r="AN16" s="2">
        <v>4</v>
      </c>
      <c r="AO16" s="2">
        <v>4</v>
      </c>
      <c r="AP16" s="2">
        <v>3</v>
      </c>
      <c r="AQ16" s="2">
        <v>3</v>
      </c>
      <c r="AR16" s="2">
        <v>2</v>
      </c>
      <c r="AS16" s="2">
        <v>3</v>
      </c>
      <c r="AT16" s="2"/>
      <c r="AU16" s="2"/>
      <c r="AV16" s="2"/>
      <c r="AW16" s="2"/>
      <c r="AX16" s="2"/>
      <c r="AY16" s="2"/>
    </row>
    <row r="17" spans="1:92" x14ac:dyDescent="0.2">
      <c r="A17" s="2" t="s">
        <v>60</v>
      </c>
      <c r="B17" s="2">
        <v>3</v>
      </c>
      <c r="C17" s="2">
        <v>3</v>
      </c>
      <c r="D17" s="2">
        <v>2</v>
      </c>
      <c r="E17" s="2">
        <v>4</v>
      </c>
      <c r="F17" s="2">
        <v>1</v>
      </c>
      <c r="G17" s="2">
        <v>4</v>
      </c>
      <c r="H17" s="2">
        <v>2</v>
      </c>
      <c r="I17" s="2">
        <v>3</v>
      </c>
      <c r="J17" s="2">
        <v>2</v>
      </c>
      <c r="K17" s="2">
        <v>3</v>
      </c>
      <c r="L17" s="2">
        <v>3</v>
      </c>
      <c r="M17" s="2">
        <v>2</v>
      </c>
      <c r="N17" s="2">
        <v>4</v>
      </c>
      <c r="O17" s="2">
        <v>3</v>
      </c>
      <c r="P17" s="2">
        <v>3</v>
      </c>
      <c r="Q17" s="2">
        <v>1</v>
      </c>
      <c r="R17" s="2">
        <v>4</v>
      </c>
      <c r="S17" s="2">
        <v>1</v>
      </c>
      <c r="T17" s="2">
        <v>2</v>
      </c>
      <c r="U17" s="2">
        <v>3</v>
      </c>
      <c r="V17" s="2">
        <v>2</v>
      </c>
      <c r="W17" s="2">
        <v>2</v>
      </c>
      <c r="X17" s="2">
        <v>2</v>
      </c>
      <c r="Y17" s="2">
        <v>1</v>
      </c>
      <c r="Z17" s="2">
        <v>2</v>
      </c>
      <c r="AA17" s="2">
        <v>1</v>
      </c>
      <c r="AB17" s="2">
        <v>2</v>
      </c>
      <c r="AC17" s="2">
        <v>2</v>
      </c>
      <c r="AD17" s="2">
        <v>2</v>
      </c>
      <c r="AE17" s="2">
        <v>4</v>
      </c>
      <c r="AF17" s="2">
        <v>2</v>
      </c>
      <c r="AG17" s="2">
        <v>1</v>
      </c>
      <c r="AH17" s="2">
        <v>2</v>
      </c>
      <c r="AI17" s="2">
        <v>1</v>
      </c>
      <c r="AJ17" s="2">
        <v>1</v>
      </c>
      <c r="AK17" s="2">
        <v>4</v>
      </c>
      <c r="AL17" s="2">
        <v>3</v>
      </c>
      <c r="AM17" s="2">
        <v>2</v>
      </c>
      <c r="AN17" s="2">
        <v>3</v>
      </c>
      <c r="AO17" s="2">
        <v>4</v>
      </c>
      <c r="AP17" s="2">
        <v>3</v>
      </c>
      <c r="AQ17" s="2">
        <v>1</v>
      </c>
      <c r="AR17" s="2">
        <v>1</v>
      </c>
      <c r="AS17" s="2">
        <v>2</v>
      </c>
      <c r="AT17" s="2"/>
      <c r="AU17" s="2"/>
      <c r="AV17" s="2" t="s">
        <v>193</v>
      </c>
      <c r="AW17" s="2"/>
      <c r="AX17" s="2"/>
      <c r="AY17" s="2"/>
    </row>
    <row r="18" spans="1:92" x14ac:dyDescent="0.2">
      <c r="A18" s="2" t="s">
        <v>61</v>
      </c>
      <c r="B18" s="2">
        <v>5</v>
      </c>
      <c r="C18" s="2">
        <v>3</v>
      </c>
      <c r="D18" s="2">
        <v>2</v>
      </c>
      <c r="E18" s="2">
        <v>4</v>
      </c>
      <c r="F18" s="2">
        <v>4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4</v>
      </c>
      <c r="M18" s="2">
        <v>5</v>
      </c>
      <c r="N18" s="2">
        <v>4</v>
      </c>
      <c r="O18" s="2">
        <v>4</v>
      </c>
      <c r="P18" s="2">
        <v>4</v>
      </c>
      <c r="Q18" s="2">
        <v>5</v>
      </c>
      <c r="R18" s="2">
        <v>3</v>
      </c>
      <c r="S18" s="2">
        <v>4</v>
      </c>
      <c r="T18" s="2">
        <v>4</v>
      </c>
      <c r="U18" s="2">
        <v>4</v>
      </c>
      <c r="V18" s="2">
        <v>4</v>
      </c>
      <c r="W18" s="2">
        <v>5</v>
      </c>
      <c r="X18" s="2">
        <v>5</v>
      </c>
      <c r="Y18" s="2">
        <v>3</v>
      </c>
      <c r="Z18" s="2">
        <v>4</v>
      </c>
      <c r="AA18" s="2">
        <v>4</v>
      </c>
      <c r="AB18" s="2">
        <v>4</v>
      </c>
      <c r="AC18" s="2">
        <v>5</v>
      </c>
      <c r="AD18" s="2">
        <v>5</v>
      </c>
      <c r="AE18" s="2">
        <v>5</v>
      </c>
      <c r="AF18" s="2">
        <v>4</v>
      </c>
      <c r="AG18" s="2">
        <v>4</v>
      </c>
      <c r="AH18" s="2">
        <v>4</v>
      </c>
      <c r="AI18" s="2">
        <v>5</v>
      </c>
      <c r="AJ18" s="2">
        <v>4</v>
      </c>
      <c r="AK18" s="2">
        <v>5</v>
      </c>
      <c r="AL18" s="2">
        <v>5</v>
      </c>
      <c r="AM18" s="2">
        <v>4</v>
      </c>
      <c r="AN18" s="2">
        <v>4</v>
      </c>
      <c r="AO18" s="2">
        <v>5</v>
      </c>
      <c r="AP18" s="2">
        <v>5</v>
      </c>
      <c r="AQ18" s="2">
        <v>5</v>
      </c>
      <c r="AR18" s="2">
        <v>5</v>
      </c>
      <c r="AS18" s="2">
        <v>5</v>
      </c>
      <c r="AT18" s="2"/>
      <c r="AU18" s="2"/>
      <c r="AV18" s="2"/>
      <c r="AW18" s="2"/>
      <c r="AX18" s="2"/>
      <c r="AY18" s="2"/>
    </row>
    <row r="19" spans="1:92" x14ac:dyDescent="0.2">
      <c r="A19" s="2" t="s">
        <v>62</v>
      </c>
      <c r="B19" s="2">
        <v>4</v>
      </c>
      <c r="C19" s="2">
        <v>3</v>
      </c>
      <c r="D19" s="2">
        <v>3</v>
      </c>
      <c r="E19" s="2">
        <v>3</v>
      </c>
      <c r="F19" s="2">
        <v>3</v>
      </c>
      <c r="G19" s="2">
        <v>4</v>
      </c>
      <c r="H19" s="2">
        <v>4</v>
      </c>
      <c r="I19" s="2">
        <v>4</v>
      </c>
      <c r="J19" s="2">
        <v>5</v>
      </c>
      <c r="K19" s="2">
        <v>4</v>
      </c>
      <c r="L19" s="2">
        <v>3</v>
      </c>
      <c r="M19" s="2">
        <v>4</v>
      </c>
      <c r="N19" s="2">
        <v>3</v>
      </c>
      <c r="O19" s="2">
        <v>4</v>
      </c>
      <c r="P19" s="2">
        <v>4</v>
      </c>
      <c r="Q19" s="2">
        <v>3</v>
      </c>
      <c r="R19" s="2">
        <v>3</v>
      </c>
      <c r="S19" s="2">
        <v>3</v>
      </c>
      <c r="T19" s="2">
        <v>5</v>
      </c>
      <c r="U19" s="2">
        <v>4</v>
      </c>
      <c r="V19" s="2">
        <v>3</v>
      </c>
      <c r="W19" s="2">
        <v>3</v>
      </c>
      <c r="X19" s="2">
        <v>3</v>
      </c>
      <c r="Y19" s="2">
        <v>4</v>
      </c>
      <c r="Z19" s="2">
        <v>3</v>
      </c>
      <c r="AA19" s="2">
        <v>3</v>
      </c>
      <c r="AB19" s="2">
        <v>3</v>
      </c>
      <c r="AC19" s="2">
        <v>3</v>
      </c>
      <c r="AD19" s="2">
        <v>3</v>
      </c>
      <c r="AE19" s="2">
        <v>3</v>
      </c>
      <c r="AF19" s="2">
        <v>3</v>
      </c>
      <c r="AG19" s="2">
        <v>3</v>
      </c>
      <c r="AH19" s="2">
        <v>3</v>
      </c>
      <c r="AI19" s="2">
        <v>3</v>
      </c>
      <c r="AJ19" s="2">
        <v>3</v>
      </c>
      <c r="AK19" s="2">
        <v>4</v>
      </c>
      <c r="AL19" s="2">
        <v>4</v>
      </c>
      <c r="AM19" s="2">
        <v>4</v>
      </c>
      <c r="AN19" s="2">
        <v>4</v>
      </c>
      <c r="AO19" s="2">
        <v>4</v>
      </c>
      <c r="AP19" s="2">
        <v>5</v>
      </c>
      <c r="AQ19" s="2">
        <v>2</v>
      </c>
      <c r="AR19" s="2">
        <v>5</v>
      </c>
      <c r="AS19" s="2">
        <v>3</v>
      </c>
      <c r="AT19" s="2"/>
      <c r="AU19" s="2"/>
      <c r="AV19" s="2"/>
      <c r="AW19" s="2" t="str">
        <f t="array" ref="AW19:CN19">B1:AS1</f>
        <v>1.Delay in delivering material to construction site</v>
      </c>
      <c r="AX19" s="2" t="str">
        <v>2.Monopoly of material by some suppliers</v>
      </c>
      <c r="AY19" s="2" t="str">
        <v>3.Prices fluctuation</v>
      </c>
      <c r="AZ19" t="str">
        <v>4.Types of material availability at local market</v>
      </c>
      <c r="BA19" t="str">
        <v>5.Lack of consultant’s knowledge of available materials</v>
      </c>
      <c r="BB19" t="str">
        <v>6.Low productivity</v>
      </c>
      <c r="BC19" t="str">
        <v>7.Poor work execution</v>
      </c>
      <c r="BD19" t="str">
        <v>8.Shortage of laborers</v>
      </c>
      <c r="BE19" t="str">
        <v>9.Mistakes happens during construction phase</v>
      </c>
      <c r="BF19" t="str">
        <v>10.Unavailability of equipment</v>
      </c>
      <c r="BG19" t="str">
        <v>11.Lack of engineering experience</v>
      </c>
      <c r="BH19" t="str">
        <v>12.Construction cost underestimation</v>
      </c>
      <c r="BI19" t="str">
        <v>13.Poor site management</v>
      </c>
      <c r="BJ19" t="str">
        <v>14.Delayed payment for completed work</v>
      </c>
      <c r="BK19" t="str">
        <v>15.Cash flow problem during construction</v>
      </c>
      <c r="BL19" t="str">
        <v>16.High rate of interest</v>
      </c>
      <c r="BM19" t="str">
        <v>17.Contractor’s financial difficulties</v>
      </c>
      <c r="BN19" t="str">
        <v>18.Increase in salaries of skilled laborers</v>
      </c>
      <c r="BO19" t="str">
        <v>19.Change design</v>
      </c>
      <c r="BP19" t="str">
        <v>20.Errors and omission in design</v>
      </c>
      <c r="BQ19" t="str">
        <v>21.Incomplete design drawings and specifications at tendering stage</v>
      </c>
      <c r="BR19" t="str">
        <v>22.Delay in preparation and approval of drawing</v>
      </c>
      <c r="BS19" t="str">
        <v>23.Inaccurate quantity take-off</v>
      </c>
      <c r="BT19" t="str">
        <v>24.Long period from planning of project to construction</v>
      </c>
      <c r="BU19" t="str">
        <v>25.Delays in issuing information to the contractor during construction stage</v>
      </c>
      <c r="BV19" t="str">
        <v>26.No practical use of earned value management system</v>
      </c>
      <c r="BW19" t="str">
        <v>27.Lack of cost planning/monitoring during pre and post contract stage</v>
      </c>
      <c r="BX19" t="str">
        <v>28.Poor communication between client, consultant and contractor</v>
      </c>
      <c r="BY19" t="str">
        <v>29.Insufficient coordination between local authority who is responsible about road projects and service authorities</v>
      </c>
      <c r="BZ19" t="str">
        <v>30.Delays in decisions making by the approval authorities</v>
      </c>
      <c r="CA19" t="str">
        <v>31.Change schedule</v>
      </c>
      <c r="CB19" t="str">
        <v>32.Stoppages because of work being rejected by consultant</v>
      </c>
      <c r="CC19" t="str">
        <v>33.Lowest bid price</v>
      </c>
      <c r="CD19" t="str">
        <v>34.Insufficient time for preparation of contract documents</v>
      </c>
      <c r="CE19" t="str">
        <v>35.Discrepancies in contract documents</v>
      </c>
      <c r="CF19" t="str">
        <v>36.Underestimation of time for completion of project</v>
      </c>
      <c r="CG19" t="str">
        <v>37.Extension of time with cost claims</v>
      </c>
      <c r="CH19" t="str">
        <v>38.Scope and specification changes</v>
      </c>
      <c r="CI19" t="str">
        <v>39.Changes in client requirements</v>
      </c>
      <c r="CJ19" t="str">
        <v>40.Frequency of variation orders and additional works</v>
      </c>
      <c r="CK19" t="str">
        <v>41.Rework due to error in execution</v>
      </c>
      <c r="CL19" t="str">
        <v>42.Weather conditions</v>
      </c>
      <c r="CM19" t="str">
        <v>43.Accidents during construction</v>
      </c>
      <c r="CN19" t="str">
        <v>44.Delay in getting NOCs from different government authorities</v>
      </c>
    </row>
    <row r="20" spans="1:92" x14ac:dyDescent="0.2">
      <c r="A20" s="2" t="s">
        <v>63</v>
      </c>
      <c r="B20" s="2">
        <v>1</v>
      </c>
      <c r="C20" s="2">
        <v>5</v>
      </c>
      <c r="D20" s="2">
        <v>3</v>
      </c>
      <c r="E20" s="2">
        <v>3</v>
      </c>
      <c r="F20" s="2">
        <v>4</v>
      </c>
      <c r="G20" s="2">
        <v>1</v>
      </c>
      <c r="H20" s="2">
        <v>2</v>
      </c>
      <c r="I20" s="2">
        <v>1</v>
      </c>
      <c r="J20" s="2">
        <v>3</v>
      </c>
      <c r="K20" s="2">
        <v>4</v>
      </c>
      <c r="L20" s="2">
        <v>5</v>
      </c>
      <c r="M20" s="2">
        <v>3</v>
      </c>
      <c r="N20" s="2">
        <v>5</v>
      </c>
      <c r="O20" s="2">
        <v>2</v>
      </c>
      <c r="P20" s="2">
        <v>3</v>
      </c>
      <c r="Q20" s="2">
        <v>3</v>
      </c>
      <c r="R20" s="2">
        <v>2</v>
      </c>
      <c r="S20" s="2">
        <v>2</v>
      </c>
      <c r="T20" s="2">
        <v>4</v>
      </c>
      <c r="U20" s="2">
        <v>5</v>
      </c>
      <c r="V20" s="2">
        <v>4</v>
      </c>
      <c r="W20" s="2">
        <v>1</v>
      </c>
      <c r="X20" s="2">
        <v>4</v>
      </c>
      <c r="Y20" s="2">
        <v>4</v>
      </c>
      <c r="Z20" s="2">
        <v>1</v>
      </c>
      <c r="AA20" s="2">
        <v>1</v>
      </c>
      <c r="AB20" s="2">
        <v>2</v>
      </c>
      <c r="AC20" s="2">
        <v>4</v>
      </c>
      <c r="AD20" s="2">
        <v>2</v>
      </c>
      <c r="AE20" s="2">
        <v>2</v>
      </c>
      <c r="AF20" s="2">
        <v>2</v>
      </c>
      <c r="AG20" s="2">
        <v>2</v>
      </c>
      <c r="AH20" s="2">
        <v>4</v>
      </c>
      <c r="AI20" s="2">
        <v>3</v>
      </c>
      <c r="AJ20" s="2">
        <v>3</v>
      </c>
      <c r="AK20" s="2">
        <v>2</v>
      </c>
      <c r="AL20" s="2">
        <v>1</v>
      </c>
      <c r="AM20" s="2">
        <v>1</v>
      </c>
      <c r="AN20" s="2">
        <v>5</v>
      </c>
      <c r="AO20" s="2">
        <v>5</v>
      </c>
      <c r="AP20" s="2">
        <v>3</v>
      </c>
      <c r="AQ20" s="2">
        <v>2</v>
      </c>
      <c r="AR20" s="2">
        <v>4</v>
      </c>
      <c r="AS20" s="2">
        <v>1</v>
      </c>
      <c r="AT20" s="2"/>
      <c r="AU20" s="2"/>
      <c r="AV20" s="2" t="str">
        <f t="array" ref="AV20:AV63">TRANSPOSE(B1:AS1)</f>
        <v>1.Delay in delivering material to construction site</v>
      </c>
      <c r="AW20" s="7">
        <f t="array" ref="AW20:CN63">[1]!CORR(B2:AS144)</f>
        <v>1.0000000000000011</v>
      </c>
      <c r="AX20" s="8">
        <v>0.61744658275545938</v>
      </c>
      <c r="AY20" s="8">
        <v>0.21369529425255823</v>
      </c>
      <c r="AZ20" s="16">
        <v>0.67333159589537128</v>
      </c>
      <c r="BA20" s="16">
        <v>0.37437818589038241</v>
      </c>
      <c r="BB20" s="16">
        <v>0.48459105210931236</v>
      </c>
      <c r="BC20" s="16">
        <v>0.53832865431433186</v>
      </c>
      <c r="BD20" s="16">
        <v>0.54760181924578533</v>
      </c>
      <c r="BE20" s="16">
        <v>0.40234073476324211</v>
      </c>
      <c r="BF20" s="16">
        <v>0.47070098130014359</v>
      </c>
      <c r="BG20" s="16">
        <v>0.43630918289939202</v>
      </c>
      <c r="BH20" s="16">
        <v>0.30801153494756245</v>
      </c>
      <c r="BI20" s="16">
        <v>0.27692648934035602</v>
      </c>
      <c r="BJ20" s="16">
        <v>0.12576228594870653</v>
      </c>
      <c r="BK20" s="16">
        <v>0.18492535099551768</v>
      </c>
      <c r="BL20" s="16">
        <v>5.8698895023142857E-2</v>
      </c>
      <c r="BM20" s="16">
        <v>8.655651736561111E-2</v>
      </c>
      <c r="BN20" s="16">
        <v>0.24363399174815661</v>
      </c>
      <c r="BO20" s="16">
        <v>0.15312010809324861</v>
      </c>
      <c r="BP20" s="16">
        <v>7.4863106763196602E-2</v>
      </c>
      <c r="BQ20" s="16">
        <v>2.9097402389033987E-2</v>
      </c>
      <c r="BR20" s="16">
        <v>8.8645316204014613E-2</v>
      </c>
      <c r="BS20" s="16">
        <v>-0.13842421962883372</v>
      </c>
      <c r="BT20" s="16">
        <v>-7.1165920050872175E-2</v>
      </c>
      <c r="BU20" s="16">
        <v>0.26341374600936401</v>
      </c>
      <c r="BV20" s="16">
        <v>0.15009705411989113</v>
      </c>
      <c r="BW20" s="16">
        <v>0.27381285808775174</v>
      </c>
      <c r="BX20" s="16">
        <v>0.32438764574011802</v>
      </c>
      <c r="BY20" s="16">
        <v>0.18623612070034279</v>
      </c>
      <c r="BZ20" s="16">
        <v>0.10601261696129205</v>
      </c>
      <c r="CA20" s="16">
        <v>2.2707660471473882E-2</v>
      </c>
      <c r="CB20" s="16">
        <v>0.36721848519846134</v>
      </c>
      <c r="CC20" s="16">
        <v>0.40007340471544212</v>
      </c>
      <c r="CD20" s="16">
        <v>0.2406981176359386</v>
      </c>
      <c r="CE20" s="16">
        <v>0.28787408814297522</v>
      </c>
      <c r="CF20" s="16">
        <v>0.31311385082861104</v>
      </c>
      <c r="CG20" s="16">
        <v>0.32317929349626673</v>
      </c>
      <c r="CH20" s="16">
        <v>0.10372329875304917</v>
      </c>
      <c r="CI20" s="16">
        <v>0.18160818340575055</v>
      </c>
      <c r="CJ20" s="16">
        <v>0.15955290230309158</v>
      </c>
      <c r="CK20" s="16">
        <v>0.26149711311924556</v>
      </c>
      <c r="CL20" s="16">
        <v>0.34405767446271618</v>
      </c>
      <c r="CM20" s="16">
        <v>0.42142992592662581</v>
      </c>
      <c r="CN20" s="17">
        <v>0.34047181092546652</v>
      </c>
    </row>
    <row r="21" spans="1:92" x14ac:dyDescent="0.2">
      <c r="A21" s="2" t="s">
        <v>64</v>
      </c>
      <c r="B21" s="2">
        <v>3</v>
      </c>
      <c r="C21" s="2">
        <v>3</v>
      </c>
      <c r="D21" s="2">
        <v>5</v>
      </c>
      <c r="E21" s="2">
        <v>4</v>
      </c>
      <c r="F21" s="2">
        <v>3</v>
      </c>
      <c r="G21" s="2">
        <v>5</v>
      </c>
      <c r="H21" s="2">
        <v>4</v>
      </c>
      <c r="I21" s="2">
        <v>4</v>
      </c>
      <c r="J21" s="2">
        <v>3</v>
      </c>
      <c r="K21" s="2">
        <v>4</v>
      </c>
      <c r="L21" s="2">
        <v>5</v>
      </c>
      <c r="M21" s="2">
        <v>4</v>
      </c>
      <c r="N21" s="2">
        <v>5</v>
      </c>
      <c r="O21" s="2">
        <v>4</v>
      </c>
      <c r="P21" s="2">
        <v>3</v>
      </c>
      <c r="Q21" s="2">
        <v>2</v>
      </c>
      <c r="R21" s="2">
        <v>4</v>
      </c>
      <c r="S21" s="2">
        <v>1</v>
      </c>
      <c r="T21" s="2">
        <v>4</v>
      </c>
      <c r="U21" s="2">
        <v>3</v>
      </c>
      <c r="V21" s="2">
        <v>4</v>
      </c>
      <c r="W21" s="2">
        <v>3</v>
      </c>
      <c r="X21" s="2">
        <v>5</v>
      </c>
      <c r="Y21" s="2">
        <v>5</v>
      </c>
      <c r="Z21" s="2">
        <v>4</v>
      </c>
      <c r="AA21" s="2">
        <v>3</v>
      </c>
      <c r="AB21" s="2">
        <v>5</v>
      </c>
      <c r="AC21" s="2">
        <v>2</v>
      </c>
      <c r="AD21" s="2">
        <v>2</v>
      </c>
      <c r="AE21" s="2">
        <v>3</v>
      </c>
      <c r="AF21" s="2">
        <v>3</v>
      </c>
      <c r="AG21" s="2">
        <v>2</v>
      </c>
      <c r="AH21" s="2">
        <v>1</v>
      </c>
      <c r="AI21" s="2">
        <v>3</v>
      </c>
      <c r="AJ21" s="2">
        <v>3</v>
      </c>
      <c r="AK21" s="2">
        <v>4</v>
      </c>
      <c r="AL21" s="2">
        <v>5</v>
      </c>
      <c r="AM21" s="2">
        <v>4</v>
      </c>
      <c r="AN21" s="2">
        <v>3</v>
      </c>
      <c r="AO21" s="2">
        <v>4</v>
      </c>
      <c r="AP21" s="2">
        <v>5</v>
      </c>
      <c r="AQ21" s="2">
        <v>3</v>
      </c>
      <c r="AR21" s="2">
        <v>2</v>
      </c>
      <c r="AS21" s="2">
        <v>5</v>
      </c>
      <c r="AT21" s="2"/>
      <c r="AU21" s="2"/>
      <c r="AV21" s="2" t="str">
        <v>2.Monopoly of material by some suppliers</v>
      </c>
      <c r="AW21" s="10">
        <v>0.61744658275545938</v>
      </c>
      <c r="AX21" s="11">
        <v>1.0000000000000004</v>
      </c>
      <c r="AY21" s="11">
        <v>0.33433590637049343</v>
      </c>
      <c r="AZ21" s="18">
        <v>0.55866756756993496</v>
      </c>
      <c r="BA21" s="18">
        <v>0.42687294246207491</v>
      </c>
      <c r="BB21" s="18">
        <v>0.34388232611359393</v>
      </c>
      <c r="BC21" s="18">
        <v>0.38493084183894999</v>
      </c>
      <c r="BD21" s="18">
        <v>0.39350563904841812</v>
      </c>
      <c r="BE21" s="18">
        <v>0.31419938532574071</v>
      </c>
      <c r="BF21" s="18">
        <v>0.36290421307657672</v>
      </c>
      <c r="BG21" s="18">
        <v>0.42764110049829585</v>
      </c>
      <c r="BH21" s="18">
        <v>0.19761675202758688</v>
      </c>
      <c r="BI21" s="18">
        <v>0.29786141753675116</v>
      </c>
      <c r="BJ21" s="18">
        <v>0.10142090872348966</v>
      </c>
      <c r="BK21" s="18">
        <v>0.19933239753617352</v>
      </c>
      <c r="BL21" s="18">
        <v>0.14686636683379084</v>
      </c>
      <c r="BM21" s="18">
        <v>0.14756349009805719</v>
      </c>
      <c r="BN21" s="18">
        <v>8.4895220763499243E-2</v>
      </c>
      <c r="BO21" s="18">
        <v>0.30389858546862425</v>
      </c>
      <c r="BP21" s="18">
        <v>0.22194722053336824</v>
      </c>
      <c r="BQ21" s="18">
        <v>4.429562455056258E-2</v>
      </c>
      <c r="BR21" s="18">
        <v>-4.3650104577710701E-2</v>
      </c>
      <c r="BS21" s="18">
        <v>1.5876543202133421E-2</v>
      </c>
      <c r="BT21" s="18">
        <v>-5.1852467562269945E-2</v>
      </c>
      <c r="BU21" s="18">
        <v>0.23103417220807823</v>
      </c>
      <c r="BV21" s="18">
        <v>-4.2295417547679633E-2</v>
      </c>
      <c r="BW21" s="18">
        <v>0.20981695696626154</v>
      </c>
      <c r="BX21" s="18">
        <v>0.18084664151909347</v>
      </c>
      <c r="BY21" s="18">
        <v>7.3655321297763046E-2</v>
      </c>
      <c r="BZ21" s="18">
        <v>-0.10769881332446098</v>
      </c>
      <c r="CA21" s="18">
        <v>-7.3243014210621821E-2</v>
      </c>
      <c r="CB21" s="18">
        <v>0.30720413808727204</v>
      </c>
      <c r="CC21" s="18">
        <v>0.30092321915389159</v>
      </c>
      <c r="CD21" s="18">
        <v>0.17473990823034133</v>
      </c>
      <c r="CE21" s="18">
        <v>0.14853396313703196</v>
      </c>
      <c r="CF21" s="18">
        <v>0.32244451807723767</v>
      </c>
      <c r="CG21" s="18">
        <v>0.31795690178841013</v>
      </c>
      <c r="CH21" s="18">
        <v>-0.13151865224983628</v>
      </c>
      <c r="CI21" s="18">
        <v>0.1081301542876683</v>
      </c>
      <c r="CJ21" s="18">
        <v>3.3642285424736074E-2</v>
      </c>
      <c r="CK21" s="18">
        <v>0.17936558071383524</v>
      </c>
      <c r="CL21" s="18">
        <v>0.33559126101400338</v>
      </c>
      <c r="CM21" s="18">
        <v>0.42181204777999759</v>
      </c>
      <c r="CN21" s="19">
        <v>0.35009133712894897</v>
      </c>
    </row>
    <row r="22" spans="1:92" x14ac:dyDescent="0.2">
      <c r="A22" s="2" t="s">
        <v>65</v>
      </c>
      <c r="B22" s="2">
        <v>4</v>
      </c>
      <c r="C22" s="2">
        <v>3</v>
      </c>
      <c r="D22" s="2">
        <v>3</v>
      </c>
      <c r="E22" s="2">
        <v>4</v>
      </c>
      <c r="F22" s="2">
        <v>4</v>
      </c>
      <c r="G22" s="2">
        <v>4</v>
      </c>
      <c r="H22" s="2">
        <v>3</v>
      </c>
      <c r="I22" s="2">
        <v>4</v>
      </c>
      <c r="J22" s="2">
        <v>4</v>
      </c>
      <c r="K22" s="2">
        <v>3</v>
      </c>
      <c r="L22" s="2">
        <v>4</v>
      </c>
      <c r="M22" s="2">
        <v>4</v>
      </c>
      <c r="N22" s="2">
        <v>4</v>
      </c>
      <c r="O22" s="2">
        <v>4</v>
      </c>
      <c r="P22" s="2">
        <v>5</v>
      </c>
      <c r="Q22" s="2">
        <v>3</v>
      </c>
      <c r="R22" s="2">
        <v>4</v>
      </c>
      <c r="S22" s="2">
        <v>3</v>
      </c>
      <c r="T22" s="2">
        <v>4</v>
      </c>
      <c r="U22" s="2">
        <v>4</v>
      </c>
      <c r="V22" s="2">
        <v>4</v>
      </c>
      <c r="W22" s="2">
        <v>3</v>
      </c>
      <c r="X22" s="2">
        <v>4</v>
      </c>
      <c r="Y22" s="2">
        <v>3</v>
      </c>
      <c r="Z22" s="2">
        <v>4</v>
      </c>
      <c r="AA22" s="2">
        <v>3</v>
      </c>
      <c r="AB22" s="2">
        <v>4</v>
      </c>
      <c r="AC22" s="2">
        <v>4</v>
      </c>
      <c r="AD22" s="2">
        <v>4</v>
      </c>
      <c r="AE22" s="2">
        <v>3</v>
      </c>
      <c r="AF22" s="2">
        <v>3</v>
      </c>
      <c r="AG22" s="2">
        <v>3</v>
      </c>
      <c r="AH22" s="2">
        <v>4</v>
      </c>
      <c r="AI22" s="2">
        <v>3</v>
      </c>
      <c r="AJ22" s="2">
        <v>1</v>
      </c>
      <c r="AK22" s="2">
        <v>4</v>
      </c>
      <c r="AL22" s="2">
        <v>4</v>
      </c>
      <c r="AM22" s="2">
        <v>4</v>
      </c>
      <c r="AN22" s="2">
        <v>4</v>
      </c>
      <c r="AO22" s="2">
        <v>4</v>
      </c>
      <c r="AP22" s="2">
        <v>4</v>
      </c>
      <c r="AQ22" s="2">
        <v>3</v>
      </c>
      <c r="AR22" s="2">
        <v>4</v>
      </c>
      <c r="AS22" s="2">
        <v>3</v>
      </c>
      <c r="AT22" s="2"/>
      <c r="AU22" s="2"/>
      <c r="AV22" s="2" t="str">
        <v>3.Prices fluctuation</v>
      </c>
      <c r="AW22" s="10">
        <v>0.21369529425255823</v>
      </c>
      <c r="AX22" s="11">
        <v>0.33433590637049343</v>
      </c>
      <c r="AY22" s="11">
        <v>1.0000000000000007</v>
      </c>
      <c r="AZ22" s="18">
        <v>0.51160611841286063</v>
      </c>
      <c r="BA22" s="18">
        <v>0.3944796152874066</v>
      </c>
      <c r="BB22" s="18">
        <v>0.34845995479575659</v>
      </c>
      <c r="BC22" s="18">
        <v>0.41395640369804737</v>
      </c>
      <c r="BD22" s="18">
        <v>0.27959186396016572</v>
      </c>
      <c r="BE22" s="18">
        <v>0.40080326903826957</v>
      </c>
      <c r="BF22" s="18">
        <v>0.23099284522024344</v>
      </c>
      <c r="BG22" s="18">
        <v>0.38231594878683695</v>
      </c>
      <c r="BH22" s="18">
        <v>0.35871792776802569</v>
      </c>
      <c r="BI22" s="18">
        <v>0.36283040309747278</v>
      </c>
      <c r="BJ22" s="18">
        <v>-5.949808216049228E-2</v>
      </c>
      <c r="BK22" s="18">
        <v>2.9481016558462279E-3</v>
      </c>
      <c r="BL22" s="18">
        <v>6.1672055820512356E-2</v>
      </c>
      <c r="BM22" s="18">
        <v>4.6527491307395514E-3</v>
      </c>
      <c r="BN22" s="18">
        <v>0.26726904164226561</v>
      </c>
      <c r="BO22" s="18">
        <v>0.26512286615170233</v>
      </c>
      <c r="BP22" s="18">
        <v>8.9193244865738666E-2</v>
      </c>
      <c r="BQ22" s="18">
        <v>0.13105702098372252</v>
      </c>
      <c r="BR22" s="18">
        <v>2.300176492491084E-2</v>
      </c>
      <c r="BS22" s="18">
        <v>4.5399312385831031E-2</v>
      </c>
      <c r="BT22" s="18">
        <v>0.10823926444609752</v>
      </c>
      <c r="BU22" s="18">
        <v>3.9961841240423797E-2</v>
      </c>
      <c r="BV22" s="18">
        <v>0.25723953524354065</v>
      </c>
      <c r="BW22" s="18">
        <v>0.18404975989037972</v>
      </c>
      <c r="BX22" s="18">
        <v>0.18038655243624852</v>
      </c>
      <c r="BY22" s="18">
        <v>7.6736549610638721E-2</v>
      </c>
      <c r="BZ22" s="18">
        <v>-0.11428826491280195</v>
      </c>
      <c r="CA22" s="18">
        <v>5.1891139994401592E-2</v>
      </c>
      <c r="CB22" s="18">
        <v>0.14818022497014588</v>
      </c>
      <c r="CC22" s="18">
        <v>0.17471654809198464</v>
      </c>
      <c r="CD22" s="18">
        <v>0.11039825460120047</v>
      </c>
      <c r="CE22" s="18">
        <v>6.1732053585115569E-2</v>
      </c>
      <c r="CF22" s="18">
        <v>0.25113067613000306</v>
      </c>
      <c r="CG22" s="18">
        <v>8.8152654563341509E-2</v>
      </c>
      <c r="CH22" s="18">
        <v>0.14463386003234241</v>
      </c>
      <c r="CI22" s="18">
        <v>0.20512811805178841</v>
      </c>
      <c r="CJ22" s="18">
        <v>-2.0098679632996885E-2</v>
      </c>
      <c r="CK22" s="18">
        <v>0.22332634475318747</v>
      </c>
      <c r="CL22" s="18">
        <v>0.10957320069724646</v>
      </c>
      <c r="CM22" s="18">
        <v>0.17841237710750937</v>
      </c>
      <c r="CN22" s="19">
        <v>-7.9446603283741645E-4</v>
      </c>
    </row>
    <row r="23" spans="1:92" x14ac:dyDescent="0.2">
      <c r="A23" s="2" t="s">
        <v>66</v>
      </c>
      <c r="B23" s="2">
        <v>4</v>
      </c>
      <c r="C23" s="2">
        <v>3</v>
      </c>
      <c r="D23" s="2">
        <v>4</v>
      </c>
      <c r="E23" s="2">
        <v>3</v>
      </c>
      <c r="F23" s="2">
        <v>5</v>
      </c>
      <c r="G23" s="2">
        <v>4</v>
      </c>
      <c r="H23" s="2">
        <v>5</v>
      </c>
      <c r="I23" s="2">
        <v>4</v>
      </c>
      <c r="J23" s="2">
        <v>4</v>
      </c>
      <c r="K23" s="2">
        <v>5</v>
      </c>
      <c r="L23" s="2">
        <v>3</v>
      </c>
      <c r="M23" s="2">
        <v>4</v>
      </c>
      <c r="N23" s="2">
        <v>4</v>
      </c>
      <c r="O23" s="2">
        <v>3</v>
      </c>
      <c r="P23" s="2">
        <v>4</v>
      </c>
      <c r="Q23" s="2">
        <v>3</v>
      </c>
      <c r="R23" s="2">
        <v>5</v>
      </c>
      <c r="S23" s="2">
        <v>2</v>
      </c>
      <c r="T23" s="2">
        <v>3</v>
      </c>
      <c r="U23" s="2">
        <v>5</v>
      </c>
      <c r="V23" s="2">
        <v>3</v>
      </c>
      <c r="W23" s="2">
        <v>4</v>
      </c>
      <c r="X23" s="2">
        <v>5</v>
      </c>
      <c r="Y23" s="2">
        <v>3</v>
      </c>
      <c r="Z23" s="2">
        <v>3</v>
      </c>
      <c r="AA23" s="2">
        <v>4</v>
      </c>
      <c r="AB23" s="2">
        <v>5</v>
      </c>
      <c r="AC23" s="2">
        <v>3</v>
      </c>
      <c r="AD23" s="2">
        <v>4</v>
      </c>
      <c r="AE23" s="2">
        <v>4</v>
      </c>
      <c r="AF23" s="2">
        <v>2</v>
      </c>
      <c r="AG23" s="2">
        <v>4</v>
      </c>
      <c r="AH23" s="2">
        <v>4</v>
      </c>
      <c r="AI23" s="2">
        <v>3</v>
      </c>
      <c r="AJ23" s="2">
        <v>5</v>
      </c>
      <c r="AK23" s="2">
        <v>4</v>
      </c>
      <c r="AL23" s="2">
        <v>3</v>
      </c>
      <c r="AM23" s="2">
        <v>3</v>
      </c>
      <c r="AN23" s="2">
        <v>4</v>
      </c>
      <c r="AO23" s="2">
        <v>2</v>
      </c>
      <c r="AP23" s="2">
        <v>5</v>
      </c>
      <c r="AQ23" s="2">
        <v>3</v>
      </c>
      <c r="AR23" s="2">
        <v>2</v>
      </c>
      <c r="AS23" s="2">
        <v>4</v>
      </c>
      <c r="AT23" s="2"/>
      <c r="AU23" s="2"/>
      <c r="AV23" s="2" t="str">
        <v>4.Types of material availability at local market</v>
      </c>
      <c r="AW23" s="10">
        <v>0.67333159589537128</v>
      </c>
      <c r="AX23" s="11">
        <v>0.55866756756993496</v>
      </c>
      <c r="AY23" s="11">
        <v>0.51160611841286063</v>
      </c>
      <c r="AZ23" s="18">
        <v>1.0000000000000009</v>
      </c>
      <c r="BA23" s="18">
        <v>0.55854976172169279</v>
      </c>
      <c r="BB23" s="18">
        <v>0.52790872878653672</v>
      </c>
      <c r="BC23" s="18">
        <v>0.62592631735392246</v>
      </c>
      <c r="BD23" s="18">
        <v>0.53112698517622836</v>
      </c>
      <c r="BE23" s="18">
        <v>0.39254306909622788</v>
      </c>
      <c r="BF23" s="18">
        <v>0.46276099114743563</v>
      </c>
      <c r="BG23" s="18">
        <v>0.51567237907501517</v>
      </c>
      <c r="BH23" s="18">
        <v>0.36059941486163594</v>
      </c>
      <c r="BI23" s="18">
        <v>0.44870936545520579</v>
      </c>
      <c r="BJ23" s="18">
        <v>9.9347047402373004E-2</v>
      </c>
      <c r="BK23" s="18">
        <v>0.17308030908393532</v>
      </c>
      <c r="BL23" s="18">
        <v>0.14748664652990004</v>
      </c>
      <c r="BM23" s="18">
        <v>0.13470251914488157</v>
      </c>
      <c r="BN23" s="18">
        <v>0.26314516135692179</v>
      </c>
      <c r="BO23" s="18">
        <v>0.21229897758779132</v>
      </c>
      <c r="BP23" s="18">
        <v>0.15337641271058206</v>
      </c>
      <c r="BQ23" s="18">
        <v>0.11067493430201941</v>
      </c>
      <c r="BR23" s="18">
        <v>3.5864695874838114E-2</v>
      </c>
      <c r="BS23" s="18">
        <v>6.393324216342558E-2</v>
      </c>
      <c r="BT23" s="18">
        <v>-2.1610297514970858E-2</v>
      </c>
      <c r="BU23" s="18">
        <v>0.30702043166478732</v>
      </c>
      <c r="BV23" s="18">
        <v>0.26986624297807932</v>
      </c>
      <c r="BW23" s="18">
        <v>0.39021812643648474</v>
      </c>
      <c r="BX23" s="18">
        <v>0.37499582814317839</v>
      </c>
      <c r="BY23" s="18">
        <v>0.14698902600968736</v>
      </c>
      <c r="BZ23" s="18">
        <v>0.16005560996049517</v>
      </c>
      <c r="CA23" s="18">
        <v>0.15389917734592434</v>
      </c>
      <c r="CB23" s="18">
        <v>0.40425336709765319</v>
      </c>
      <c r="CC23" s="18">
        <v>0.4158512817527153</v>
      </c>
      <c r="CD23" s="18">
        <v>0.30360215935300983</v>
      </c>
      <c r="CE23" s="18">
        <v>0.27886870712220813</v>
      </c>
      <c r="CF23" s="18">
        <v>0.34150607947175482</v>
      </c>
      <c r="CG23" s="18">
        <v>0.24803893689443043</v>
      </c>
      <c r="CH23" s="18">
        <v>0.12021914081716475</v>
      </c>
      <c r="CI23" s="18">
        <v>0.23120603304611814</v>
      </c>
      <c r="CJ23" s="18">
        <v>2.4896171756986898E-2</v>
      </c>
      <c r="CK23" s="18">
        <v>0.31246699732189226</v>
      </c>
      <c r="CL23" s="18">
        <v>0.38934248078903716</v>
      </c>
      <c r="CM23" s="18">
        <v>0.43029332854671809</v>
      </c>
      <c r="CN23" s="19">
        <v>0.22242149850039003</v>
      </c>
    </row>
    <row r="24" spans="1:92" x14ac:dyDescent="0.2">
      <c r="A24" s="2" t="s">
        <v>67</v>
      </c>
      <c r="B24" s="2">
        <v>2</v>
      </c>
      <c r="C24" s="2">
        <v>4</v>
      </c>
      <c r="D24" s="2">
        <v>5</v>
      </c>
      <c r="E24" s="2">
        <v>2</v>
      </c>
      <c r="F24" s="2">
        <v>5</v>
      </c>
      <c r="G24" s="2">
        <v>3</v>
      </c>
      <c r="H24" s="2">
        <v>5</v>
      </c>
      <c r="I24" s="2">
        <v>1</v>
      </c>
      <c r="J24" s="2">
        <v>4</v>
      </c>
      <c r="K24" s="2">
        <v>3</v>
      </c>
      <c r="L24" s="2">
        <v>2</v>
      </c>
      <c r="M24" s="2">
        <v>3</v>
      </c>
      <c r="N24" s="2">
        <v>5</v>
      </c>
      <c r="O24" s="2">
        <v>5</v>
      </c>
      <c r="P24" s="2">
        <v>5</v>
      </c>
      <c r="Q24" s="2">
        <v>1</v>
      </c>
      <c r="R24" s="2">
        <v>5</v>
      </c>
      <c r="S24" s="2">
        <v>1</v>
      </c>
      <c r="T24" s="2">
        <v>5</v>
      </c>
      <c r="U24" s="2">
        <v>5</v>
      </c>
      <c r="V24" s="2">
        <v>5</v>
      </c>
      <c r="W24" s="2">
        <v>5</v>
      </c>
      <c r="X24" s="2">
        <v>5</v>
      </c>
      <c r="Y24" s="2">
        <v>5</v>
      </c>
      <c r="Z24" s="2">
        <v>3</v>
      </c>
      <c r="AA24" s="2">
        <v>2</v>
      </c>
      <c r="AB24" s="2">
        <v>5</v>
      </c>
      <c r="AC24" s="2">
        <v>3</v>
      </c>
      <c r="AD24" s="2">
        <v>5</v>
      </c>
      <c r="AE24" s="2">
        <v>5</v>
      </c>
      <c r="AF24" s="2">
        <v>1</v>
      </c>
      <c r="AG24" s="2">
        <v>4</v>
      </c>
      <c r="AH24" s="2">
        <v>5</v>
      </c>
      <c r="AI24" s="2">
        <v>1</v>
      </c>
      <c r="AJ24" s="2">
        <v>1</v>
      </c>
      <c r="AK24" s="2">
        <v>5</v>
      </c>
      <c r="AL24" s="2">
        <v>5</v>
      </c>
      <c r="AM24" s="2">
        <v>5</v>
      </c>
      <c r="AN24" s="2">
        <v>5</v>
      </c>
      <c r="AO24" s="2">
        <v>4</v>
      </c>
      <c r="AP24" s="2">
        <v>2</v>
      </c>
      <c r="AQ24" s="2">
        <v>1</v>
      </c>
      <c r="AR24" s="2">
        <v>2</v>
      </c>
      <c r="AS24" s="2">
        <v>5</v>
      </c>
      <c r="AT24" s="2"/>
      <c r="AU24" s="2"/>
      <c r="AV24" s="2" t="str">
        <v>5.Lack of consultant’s knowledge of available materials</v>
      </c>
      <c r="AW24" s="10">
        <v>0.37437818589038241</v>
      </c>
      <c r="AX24" s="11">
        <v>0.42687294246207491</v>
      </c>
      <c r="AY24" s="11">
        <v>0.3944796152874066</v>
      </c>
      <c r="AZ24" s="18">
        <v>0.55854976172169279</v>
      </c>
      <c r="BA24" s="18">
        <v>0.99999999999999878</v>
      </c>
      <c r="BB24" s="18">
        <v>0.42682169203646486</v>
      </c>
      <c r="BC24" s="18">
        <v>0.5163281805385932</v>
      </c>
      <c r="BD24" s="18">
        <v>0.42175429320115038</v>
      </c>
      <c r="BE24" s="18">
        <v>0.55036293402016512</v>
      </c>
      <c r="BF24" s="18">
        <v>0.39476211999901684</v>
      </c>
      <c r="BG24" s="18">
        <v>0.49770150004950997</v>
      </c>
      <c r="BH24" s="18">
        <v>0.4906240521935224</v>
      </c>
      <c r="BI24" s="18">
        <v>0.55382191452046448</v>
      </c>
      <c r="BJ24" s="18">
        <v>0.16397119855540598</v>
      </c>
      <c r="BK24" s="18">
        <v>0.17753905795233993</v>
      </c>
      <c r="BL24" s="18">
        <v>0.43390484731940954</v>
      </c>
      <c r="BM24" s="18">
        <v>5.1387059970994527E-2</v>
      </c>
      <c r="BN24" s="18">
        <v>0.3556823660540589</v>
      </c>
      <c r="BO24" s="18">
        <v>0.46703831108150407</v>
      </c>
      <c r="BP24" s="18">
        <v>0.43744610561992908</v>
      </c>
      <c r="BQ24" s="18">
        <v>0.410275396523887</v>
      </c>
      <c r="BR24" s="18">
        <v>0.28514938324516287</v>
      </c>
      <c r="BS24" s="18">
        <v>0.34823484346144595</v>
      </c>
      <c r="BT24" s="18">
        <v>4.2098004440779067E-2</v>
      </c>
      <c r="BU24" s="18">
        <v>0.42633580271035632</v>
      </c>
      <c r="BV24" s="18">
        <v>0.45419741900858818</v>
      </c>
      <c r="BW24" s="18">
        <v>0.45199030219817299</v>
      </c>
      <c r="BX24" s="18">
        <v>0.43422218644574057</v>
      </c>
      <c r="BY24" s="18">
        <v>0.2286678845654484</v>
      </c>
      <c r="BZ24" s="18">
        <v>8.8695214471223402E-2</v>
      </c>
      <c r="CA24" s="18">
        <v>0.23576306540561073</v>
      </c>
      <c r="CB24" s="18">
        <v>0.50068614045054949</v>
      </c>
      <c r="CC24" s="18">
        <v>0.35703644533147066</v>
      </c>
      <c r="CD24" s="18">
        <v>0.41439202860490876</v>
      </c>
      <c r="CE24" s="18">
        <v>0.4026948520803304</v>
      </c>
      <c r="CF24" s="18">
        <v>0.28710048558901879</v>
      </c>
      <c r="CG24" s="18">
        <v>0.27463286951264471</v>
      </c>
      <c r="CH24" s="18">
        <v>0.22796261095298442</v>
      </c>
      <c r="CI24" s="18">
        <v>0.33534352901451314</v>
      </c>
      <c r="CJ24" s="18">
        <v>0.18869394155767369</v>
      </c>
      <c r="CK24" s="18">
        <v>0.31532914242928711</v>
      </c>
      <c r="CL24" s="18">
        <v>0.41088634038416572</v>
      </c>
      <c r="CM24" s="18">
        <v>0.38085780146923276</v>
      </c>
      <c r="CN24" s="19">
        <v>0.23229950381790346</v>
      </c>
    </row>
    <row r="25" spans="1:92" x14ac:dyDescent="0.2">
      <c r="A25" s="2" t="s">
        <v>68</v>
      </c>
      <c r="B25" s="2">
        <v>3</v>
      </c>
      <c r="C25" s="2">
        <v>2</v>
      </c>
      <c r="D25" s="2">
        <v>4</v>
      </c>
      <c r="E25" s="2">
        <v>3</v>
      </c>
      <c r="F25" s="2">
        <v>3</v>
      </c>
      <c r="G25" s="2">
        <v>3</v>
      </c>
      <c r="H25" s="2">
        <v>4</v>
      </c>
      <c r="I25" s="2">
        <v>4</v>
      </c>
      <c r="J25" s="2">
        <v>4</v>
      </c>
      <c r="K25" s="2">
        <v>3</v>
      </c>
      <c r="L25" s="2">
        <v>3</v>
      </c>
      <c r="M25" s="2">
        <v>3</v>
      </c>
      <c r="N25" s="2">
        <v>4</v>
      </c>
      <c r="O25" s="2">
        <v>3</v>
      </c>
      <c r="P25" s="2">
        <v>3</v>
      </c>
      <c r="Q25" s="2">
        <v>3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v>3</v>
      </c>
      <c r="X25" s="2">
        <v>2</v>
      </c>
      <c r="Y25" s="2">
        <v>3</v>
      </c>
      <c r="Z25" s="2">
        <v>3</v>
      </c>
      <c r="AA25" s="2">
        <v>3</v>
      </c>
      <c r="AB25" s="2">
        <v>3</v>
      </c>
      <c r="AC25" s="2">
        <v>4</v>
      </c>
      <c r="AD25" s="2">
        <v>4</v>
      </c>
      <c r="AE25" s="2">
        <v>3</v>
      </c>
      <c r="AF25" s="2">
        <v>3</v>
      </c>
      <c r="AG25" s="2">
        <v>3</v>
      </c>
      <c r="AH25" s="2">
        <v>4</v>
      </c>
      <c r="AI25" s="2">
        <v>3</v>
      </c>
      <c r="AJ25" s="2">
        <v>4</v>
      </c>
      <c r="AK25" s="2">
        <v>3</v>
      </c>
      <c r="AL25" s="2">
        <v>3</v>
      </c>
      <c r="AM25" s="2">
        <v>3</v>
      </c>
      <c r="AN25" s="2">
        <v>2</v>
      </c>
      <c r="AO25" s="2">
        <v>3</v>
      </c>
      <c r="AP25" s="2">
        <v>3</v>
      </c>
      <c r="AQ25" s="2">
        <v>3</v>
      </c>
      <c r="AR25" s="2">
        <v>2</v>
      </c>
      <c r="AS25" s="2">
        <v>4</v>
      </c>
      <c r="AT25" s="2"/>
      <c r="AU25" s="2"/>
      <c r="AV25" s="2" t="str">
        <v>6.Low productivity</v>
      </c>
      <c r="AW25" s="10">
        <v>0.48459105210931236</v>
      </c>
      <c r="AX25" s="11">
        <v>0.34388232611359393</v>
      </c>
      <c r="AY25" s="11">
        <v>0.34845995479575659</v>
      </c>
      <c r="AZ25" s="18">
        <v>0.52790872878653672</v>
      </c>
      <c r="BA25" s="18">
        <v>0.42682169203646486</v>
      </c>
      <c r="BB25" s="18">
        <v>1.0000000000000007</v>
      </c>
      <c r="BC25" s="18">
        <v>0.82121989535371442</v>
      </c>
      <c r="BD25" s="18">
        <v>0.72484586707648846</v>
      </c>
      <c r="BE25" s="18">
        <v>0.70226255276037319</v>
      </c>
      <c r="BF25" s="18">
        <v>0.54624192111411285</v>
      </c>
      <c r="BG25" s="18">
        <v>0.65229037342601892</v>
      </c>
      <c r="BH25" s="18">
        <v>0.66015097593186489</v>
      </c>
      <c r="BI25" s="18">
        <v>0.67534207779076572</v>
      </c>
      <c r="BJ25" s="18">
        <v>8.175026263401558E-2</v>
      </c>
      <c r="BK25" s="18">
        <v>9.8779156071138657E-2</v>
      </c>
      <c r="BL25" s="18">
        <v>0.23349160488180892</v>
      </c>
      <c r="BM25" s="18">
        <v>4.3608941807202997E-2</v>
      </c>
      <c r="BN25" s="18">
        <v>0.21119624640557641</v>
      </c>
      <c r="BO25" s="18">
        <v>0.3734714286496677</v>
      </c>
      <c r="BP25" s="18">
        <v>0.1829700451810142</v>
      </c>
      <c r="BQ25" s="18">
        <v>9.4956688419694582E-2</v>
      </c>
      <c r="BR25" s="18">
        <v>9.9698539947383119E-2</v>
      </c>
      <c r="BS25" s="18">
        <v>7.3539932496376637E-2</v>
      </c>
      <c r="BT25" s="18">
        <v>-5.93209243035423E-2</v>
      </c>
      <c r="BU25" s="18">
        <v>0.40300069659917193</v>
      </c>
      <c r="BV25" s="18">
        <v>0.25822928962288011</v>
      </c>
      <c r="BW25" s="18">
        <v>0.44413440129082021</v>
      </c>
      <c r="BX25" s="18">
        <v>0.37004299707887278</v>
      </c>
      <c r="BY25" s="18">
        <v>0.38294085371572051</v>
      </c>
      <c r="BZ25" s="18">
        <v>0.11180520525669739</v>
      </c>
      <c r="CA25" s="18">
        <v>9.3861126435334744E-2</v>
      </c>
      <c r="CB25" s="18">
        <v>0.32758169949253968</v>
      </c>
      <c r="CC25" s="18">
        <v>0.16180120271473281</v>
      </c>
      <c r="CD25" s="18">
        <v>0.35997925147323212</v>
      </c>
      <c r="CE25" s="18">
        <v>0.36620413047914296</v>
      </c>
      <c r="CF25" s="18">
        <v>0.45632571459413601</v>
      </c>
      <c r="CG25" s="18">
        <v>0.16746171130368345</v>
      </c>
      <c r="CH25" s="18">
        <v>0.20302196888720775</v>
      </c>
      <c r="CI25" s="18">
        <v>0.24207814962920607</v>
      </c>
      <c r="CJ25" s="18">
        <v>0.17031248766879142</v>
      </c>
      <c r="CK25" s="18">
        <v>0.37429773810278433</v>
      </c>
      <c r="CL25" s="18">
        <v>0.2817049469812844</v>
      </c>
      <c r="CM25" s="18">
        <v>0.23368540474320915</v>
      </c>
      <c r="CN25" s="19">
        <v>0.21735837310822531</v>
      </c>
    </row>
    <row r="26" spans="1:92" x14ac:dyDescent="0.2">
      <c r="A26" s="2" t="s">
        <v>69</v>
      </c>
      <c r="B26" s="2">
        <v>2</v>
      </c>
      <c r="C26" s="2">
        <v>3</v>
      </c>
      <c r="D26" s="2">
        <v>3</v>
      </c>
      <c r="E26" s="2">
        <v>2</v>
      </c>
      <c r="F26" s="2">
        <v>3</v>
      </c>
      <c r="G26" s="2">
        <v>2</v>
      </c>
      <c r="H26" s="2">
        <v>3</v>
      </c>
      <c r="I26" s="2">
        <v>3</v>
      </c>
      <c r="J26" s="2">
        <v>3</v>
      </c>
      <c r="K26" s="2">
        <v>3</v>
      </c>
      <c r="L26" s="2">
        <v>4</v>
      </c>
      <c r="M26" s="2">
        <v>4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4</v>
      </c>
      <c r="U26" s="2">
        <v>5</v>
      </c>
      <c r="V26" s="2">
        <v>3</v>
      </c>
      <c r="W26" s="2">
        <v>4</v>
      </c>
      <c r="X26" s="2">
        <v>3</v>
      </c>
      <c r="Y26" s="2">
        <v>4</v>
      </c>
      <c r="Z26" s="2">
        <v>4</v>
      </c>
      <c r="AA26" s="2">
        <v>3</v>
      </c>
      <c r="AB26" s="2">
        <v>3</v>
      </c>
      <c r="AC26" s="2">
        <v>4</v>
      </c>
      <c r="AD26" s="2">
        <v>3</v>
      </c>
      <c r="AE26" s="2">
        <v>3</v>
      </c>
      <c r="AF26" s="2">
        <v>3</v>
      </c>
      <c r="AG26" s="2">
        <v>3</v>
      </c>
      <c r="AH26" s="2">
        <v>3</v>
      </c>
      <c r="AI26" s="2">
        <v>3</v>
      </c>
      <c r="AJ26" s="2">
        <v>3</v>
      </c>
      <c r="AK26" s="2">
        <v>3</v>
      </c>
      <c r="AL26" s="2">
        <v>3</v>
      </c>
      <c r="AM26" s="2">
        <v>4</v>
      </c>
      <c r="AN26" s="2">
        <v>4</v>
      </c>
      <c r="AO26" s="2">
        <v>3</v>
      </c>
      <c r="AP26" s="2">
        <v>5</v>
      </c>
      <c r="AQ26" s="2">
        <v>2</v>
      </c>
      <c r="AR26" s="2">
        <v>2</v>
      </c>
      <c r="AS26" s="2">
        <v>4</v>
      </c>
      <c r="AT26" s="2"/>
      <c r="AU26" s="2"/>
      <c r="AV26" s="2" t="str">
        <v>7.Poor work execution</v>
      </c>
      <c r="AW26" s="10">
        <v>0.53832865431433186</v>
      </c>
      <c r="AX26" s="11">
        <v>0.38493084183894999</v>
      </c>
      <c r="AY26" s="11">
        <v>0.41395640369804737</v>
      </c>
      <c r="AZ26" s="18">
        <v>0.62592631735392246</v>
      </c>
      <c r="BA26" s="18">
        <v>0.5163281805385932</v>
      </c>
      <c r="BB26" s="18">
        <v>0.82121989535371442</v>
      </c>
      <c r="BC26" s="18">
        <v>1.0000000000000016</v>
      </c>
      <c r="BD26" s="18">
        <v>0.60688923353037094</v>
      </c>
      <c r="BE26" s="18">
        <v>0.6812907501258223</v>
      </c>
      <c r="BF26" s="18">
        <v>0.54630952192250259</v>
      </c>
      <c r="BG26" s="18">
        <v>0.67464035338061779</v>
      </c>
      <c r="BH26" s="18">
        <v>0.59418374600113177</v>
      </c>
      <c r="BI26" s="18">
        <v>0.6924624454976136</v>
      </c>
      <c r="BJ26" s="18">
        <v>0.19940236276218209</v>
      </c>
      <c r="BK26" s="18">
        <v>0.18836001460869792</v>
      </c>
      <c r="BL26" s="18">
        <v>0.26601296508320343</v>
      </c>
      <c r="BM26" s="18">
        <v>0.13455147589918451</v>
      </c>
      <c r="BN26" s="18">
        <v>0.22124729303101467</v>
      </c>
      <c r="BO26" s="18">
        <v>0.42465379739437353</v>
      </c>
      <c r="BP26" s="18">
        <v>0.23178276817119142</v>
      </c>
      <c r="BQ26" s="18">
        <v>0.15481057250465563</v>
      </c>
      <c r="BR26" s="18">
        <v>0.18700231312717611</v>
      </c>
      <c r="BS26" s="18">
        <v>8.6875195001617972E-2</v>
      </c>
      <c r="BT26" s="18">
        <v>2.9888451862101682E-2</v>
      </c>
      <c r="BU26" s="18">
        <v>0.42442441930730263</v>
      </c>
      <c r="BV26" s="18">
        <v>0.3247083646364371</v>
      </c>
      <c r="BW26" s="18">
        <v>0.53602867372501573</v>
      </c>
      <c r="BX26" s="18">
        <v>0.45846849873026146</v>
      </c>
      <c r="BY26" s="18">
        <v>0.36675002950038998</v>
      </c>
      <c r="BZ26" s="18">
        <v>0.26559912910445843</v>
      </c>
      <c r="CA26" s="18">
        <v>0.11232258758475705</v>
      </c>
      <c r="CB26" s="18">
        <v>0.42829185635104466</v>
      </c>
      <c r="CC26" s="18">
        <v>0.32712501286939338</v>
      </c>
      <c r="CD26" s="18">
        <v>0.38895027766444373</v>
      </c>
      <c r="CE26" s="18">
        <v>0.4632017610721289</v>
      </c>
      <c r="CF26" s="18">
        <v>0.48356720547553161</v>
      </c>
      <c r="CG26" s="18">
        <v>0.19214059105636244</v>
      </c>
      <c r="CH26" s="18">
        <v>0.23124537778204998</v>
      </c>
      <c r="CI26" s="18">
        <v>0.34691463179400411</v>
      </c>
      <c r="CJ26" s="18">
        <v>0.1660106565060108</v>
      </c>
      <c r="CK26" s="18">
        <v>0.48276815080149516</v>
      </c>
      <c r="CL26" s="18">
        <v>0.30628581327643228</v>
      </c>
      <c r="CM26" s="18">
        <v>0.300448049239187</v>
      </c>
      <c r="CN26" s="19">
        <v>0.33262165862796317</v>
      </c>
    </row>
    <row r="27" spans="1:92" x14ac:dyDescent="0.2">
      <c r="A27" s="2" t="s">
        <v>70</v>
      </c>
      <c r="B27" s="2">
        <v>4</v>
      </c>
      <c r="C27" s="2">
        <v>3</v>
      </c>
      <c r="D27" s="2">
        <v>4</v>
      </c>
      <c r="E27" s="2">
        <v>2</v>
      </c>
      <c r="F27" s="2">
        <v>3</v>
      </c>
      <c r="G27" s="2">
        <v>2</v>
      </c>
      <c r="H27" s="2">
        <v>1</v>
      </c>
      <c r="I27" s="2">
        <v>3</v>
      </c>
      <c r="J27" s="2">
        <v>5</v>
      </c>
      <c r="K27" s="2">
        <v>4</v>
      </c>
      <c r="L27" s="2">
        <v>3</v>
      </c>
      <c r="M27" s="2">
        <v>5</v>
      </c>
      <c r="N27" s="2">
        <v>1</v>
      </c>
      <c r="O27" s="2">
        <v>1</v>
      </c>
      <c r="P27" s="2">
        <v>4</v>
      </c>
      <c r="Q27" s="2">
        <v>5</v>
      </c>
      <c r="R27" s="2">
        <v>1</v>
      </c>
      <c r="S27" s="2">
        <v>1</v>
      </c>
      <c r="T27" s="2">
        <v>4</v>
      </c>
      <c r="U27" s="2">
        <v>5</v>
      </c>
      <c r="V27" s="2">
        <v>5</v>
      </c>
      <c r="W27" s="2">
        <v>1</v>
      </c>
      <c r="X27" s="2">
        <v>4</v>
      </c>
      <c r="Y27" s="2">
        <v>2</v>
      </c>
      <c r="Z27" s="2">
        <v>1</v>
      </c>
      <c r="AA27" s="2">
        <v>3</v>
      </c>
      <c r="AB27" s="2">
        <v>3</v>
      </c>
      <c r="AC27" s="2">
        <v>3</v>
      </c>
      <c r="AD27" s="2">
        <v>2</v>
      </c>
      <c r="AE27" s="2">
        <v>2</v>
      </c>
      <c r="AF27" s="2">
        <v>3</v>
      </c>
      <c r="AG27" s="2">
        <v>3</v>
      </c>
      <c r="AH27" s="2">
        <v>3</v>
      </c>
      <c r="AI27" s="2">
        <v>4</v>
      </c>
      <c r="AJ27" s="2">
        <v>4</v>
      </c>
      <c r="AK27" s="2">
        <v>5</v>
      </c>
      <c r="AL27" s="2">
        <v>5</v>
      </c>
      <c r="AM27" s="2">
        <v>5</v>
      </c>
      <c r="AN27" s="2">
        <v>5</v>
      </c>
      <c r="AO27" s="2">
        <v>4</v>
      </c>
      <c r="AP27" s="2">
        <v>4</v>
      </c>
      <c r="AQ27" s="2">
        <v>2</v>
      </c>
      <c r="AR27" s="2">
        <v>4</v>
      </c>
      <c r="AS27" s="2">
        <v>1</v>
      </c>
      <c r="AT27" s="2"/>
      <c r="AU27" s="2"/>
      <c r="AV27" s="2" t="str">
        <v>8.Shortage of laborers</v>
      </c>
      <c r="AW27" s="10">
        <v>0.54760181924578533</v>
      </c>
      <c r="AX27" s="11">
        <v>0.39350563904841812</v>
      </c>
      <c r="AY27" s="11">
        <v>0.27959186396016572</v>
      </c>
      <c r="AZ27" s="18">
        <v>0.53112698517622836</v>
      </c>
      <c r="BA27" s="18">
        <v>0.42175429320115038</v>
      </c>
      <c r="BB27" s="18">
        <v>0.72484586707648846</v>
      </c>
      <c r="BC27" s="18">
        <v>0.60688923353037094</v>
      </c>
      <c r="BD27" s="18">
        <v>0.99999999999999922</v>
      </c>
      <c r="BE27" s="18">
        <v>0.63729524200327592</v>
      </c>
      <c r="BF27" s="18">
        <v>0.69285696439216293</v>
      </c>
      <c r="BG27" s="18">
        <v>0.61007880678483928</v>
      </c>
      <c r="BH27" s="18">
        <v>0.66078692834448605</v>
      </c>
      <c r="BI27" s="18">
        <v>0.54365102471713289</v>
      </c>
      <c r="BJ27" s="18">
        <v>0.2417503285635958</v>
      </c>
      <c r="BK27" s="18">
        <v>0.16067260707972825</v>
      </c>
      <c r="BL27" s="18">
        <v>0.25443235529261227</v>
      </c>
      <c r="BM27" s="18">
        <v>7.4706952486633116E-2</v>
      </c>
      <c r="BN27" s="18">
        <v>0.36616304656585696</v>
      </c>
      <c r="BO27" s="18">
        <v>0.34384082805174038</v>
      </c>
      <c r="BP27" s="18">
        <v>0.20506996582973921</v>
      </c>
      <c r="BQ27" s="18">
        <v>9.2432168772883808E-2</v>
      </c>
      <c r="BR27" s="18">
        <v>0.11991890940109819</v>
      </c>
      <c r="BS27" s="18">
        <v>-5.2283291369030434E-2</v>
      </c>
      <c r="BT27" s="18">
        <v>-8.6296849410826992E-2</v>
      </c>
      <c r="BU27" s="18">
        <v>0.35557468340140314</v>
      </c>
      <c r="BV27" s="18">
        <v>0.33278266851874788</v>
      </c>
      <c r="BW27" s="18">
        <v>0.31824577796933634</v>
      </c>
      <c r="BX27" s="18">
        <v>0.43595144041178552</v>
      </c>
      <c r="BY27" s="18">
        <v>0.3091414383232326</v>
      </c>
      <c r="BZ27" s="18">
        <v>0.15158031798269614</v>
      </c>
      <c r="CA27" s="18">
        <v>0.26440541129009365</v>
      </c>
      <c r="CB27" s="18">
        <v>0.29027237367614556</v>
      </c>
      <c r="CC27" s="18">
        <v>0.31476445648806106</v>
      </c>
      <c r="CD27" s="18">
        <v>0.42888170881371873</v>
      </c>
      <c r="CE27" s="18">
        <v>0.33102551095967703</v>
      </c>
      <c r="CF27" s="18">
        <v>0.24597891444311332</v>
      </c>
      <c r="CG27" s="18">
        <v>0.19847573884561412</v>
      </c>
      <c r="CH27" s="18">
        <v>0.25914885295673329</v>
      </c>
      <c r="CI27" s="18">
        <v>0.27281490392856278</v>
      </c>
      <c r="CJ27" s="18">
        <v>0.19601223186077965</v>
      </c>
      <c r="CK27" s="18">
        <v>0.19771974471846737</v>
      </c>
      <c r="CL27" s="18">
        <v>0.35986634577559395</v>
      </c>
      <c r="CM27" s="18">
        <v>0.31943974065285896</v>
      </c>
      <c r="CN27" s="19">
        <v>0.33181307102967583</v>
      </c>
    </row>
    <row r="28" spans="1:92" x14ac:dyDescent="0.2">
      <c r="A28" s="2" t="s">
        <v>71</v>
      </c>
      <c r="B28" s="2">
        <v>4</v>
      </c>
      <c r="C28" s="2">
        <v>4</v>
      </c>
      <c r="D28" s="2">
        <v>5</v>
      </c>
      <c r="E28" s="2">
        <v>3</v>
      </c>
      <c r="F28" s="2">
        <v>4</v>
      </c>
      <c r="G28" s="2">
        <v>4</v>
      </c>
      <c r="H28" s="2">
        <v>4</v>
      </c>
      <c r="I28" s="2">
        <v>3</v>
      </c>
      <c r="J28" s="2">
        <v>4</v>
      </c>
      <c r="K28" s="2">
        <v>4</v>
      </c>
      <c r="L28" s="2">
        <v>4</v>
      </c>
      <c r="M28" s="2">
        <v>3</v>
      </c>
      <c r="N28" s="2">
        <v>2</v>
      </c>
      <c r="O28" s="2">
        <v>3</v>
      </c>
      <c r="P28" s="2">
        <v>4</v>
      </c>
      <c r="Q28" s="2">
        <v>4</v>
      </c>
      <c r="R28" s="2">
        <v>4</v>
      </c>
      <c r="S28" s="2">
        <v>4</v>
      </c>
      <c r="T28" s="2">
        <v>3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3</v>
      </c>
      <c r="AA28" s="2">
        <v>3</v>
      </c>
      <c r="AB28" s="2">
        <v>3</v>
      </c>
      <c r="AC28" s="2">
        <v>4</v>
      </c>
      <c r="AD28" s="2">
        <v>4</v>
      </c>
      <c r="AE28" s="2">
        <v>3</v>
      </c>
      <c r="AF28" s="2">
        <v>3</v>
      </c>
      <c r="AG28" s="2">
        <v>2</v>
      </c>
      <c r="AH28" s="2">
        <v>3</v>
      </c>
      <c r="AI28" s="2">
        <v>3</v>
      </c>
      <c r="AJ28" s="2">
        <v>2</v>
      </c>
      <c r="AK28" s="2">
        <v>3</v>
      </c>
      <c r="AL28" s="2">
        <v>4</v>
      </c>
      <c r="AM28" s="2">
        <v>3</v>
      </c>
      <c r="AN28" s="2">
        <v>4</v>
      </c>
      <c r="AO28" s="2">
        <v>3</v>
      </c>
      <c r="AP28" s="2">
        <v>2</v>
      </c>
      <c r="AQ28" s="2">
        <v>2</v>
      </c>
      <c r="AR28" s="2">
        <v>3</v>
      </c>
      <c r="AS28" s="2">
        <v>3</v>
      </c>
      <c r="AT28" s="2"/>
      <c r="AU28" s="2"/>
      <c r="AV28" s="2" t="str">
        <v>9.Mistakes happens during construction phase</v>
      </c>
      <c r="AW28" s="10">
        <v>0.40234073476324211</v>
      </c>
      <c r="AX28" s="11">
        <v>0.31419938532574071</v>
      </c>
      <c r="AY28" s="11">
        <v>0.40080326903826957</v>
      </c>
      <c r="AZ28" s="18">
        <v>0.39254306909622788</v>
      </c>
      <c r="BA28" s="18">
        <v>0.55036293402016512</v>
      </c>
      <c r="BB28" s="18">
        <v>0.70226255276037319</v>
      </c>
      <c r="BC28" s="18">
        <v>0.6812907501258223</v>
      </c>
      <c r="BD28" s="18">
        <v>0.63729524200327592</v>
      </c>
      <c r="BE28" s="18">
        <v>0.999999999999998</v>
      </c>
      <c r="BF28" s="18">
        <v>0.60285872968947685</v>
      </c>
      <c r="BG28" s="18">
        <v>0.64048355721039174</v>
      </c>
      <c r="BH28" s="18">
        <v>0.71677462504914735</v>
      </c>
      <c r="BI28" s="18">
        <v>0.57909006872744617</v>
      </c>
      <c r="BJ28" s="18">
        <v>-6.2427704660465953E-2</v>
      </c>
      <c r="BK28" s="18">
        <v>5.6190488096367931E-2</v>
      </c>
      <c r="BL28" s="18">
        <v>0.30667022525721405</v>
      </c>
      <c r="BM28" s="18">
        <v>-0.10842549295575853</v>
      </c>
      <c r="BN28" s="18">
        <v>0.23823283517477084</v>
      </c>
      <c r="BO28" s="18">
        <v>0.46395688785983086</v>
      </c>
      <c r="BP28" s="18">
        <v>0.35478672197691163</v>
      </c>
      <c r="BQ28" s="18">
        <v>0.18294650530195664</v>
      </c>
      <c r="BR28" s="18">
        <v>0.17538188718629474</v>
      </c>
      <c r="BS28" s="18">
        <v>0.26003469101138149</v>
      </c>
      <c r="BT28" s="18">
        <v>4.0270073336204977E-2</v>
      </c>
      <c r="BU28" s="18">
        <v>0.33770803012497091</v>
      </c>
      <c r="BV28" s="18">
        <v>0.38057626030572733</v>
      </c>
      <c r="BW28" s="18">
        <v>0.4759147815892783</v>
      </c>
      <c r="BX28" s="18">
        <v>0.48693074737543895</v>
      </c>
      <c r="BY28" s="18">
        <v>0.3621060978858584</v>
      </c>
      <c r="BZ28" s="18">
        <v>4.1628671730125869E-2</v>
      </c>
      <c r="CA28" s="18">
        <v>0.16673892909333599</v>
      </c>
      <c r="CB28" s="18">
        <v>0.38953135316064513</v>
      </c>
      <c r="CC28" s="18">
        <v>0.21702651479007823</v>
      </c>
      <c r="CD28" s="18">
        <v>0.38808008337732419</v>
      </c>
      <c r="CE28" s="18">
        <v>0.44043336655383247</v>
      </c>
      <c r="CF28" s="18">
        <v>0.51013114482391875</v>
      </c>
      <c r="CG28" s="18">
        <v>0.10164717282485246</v>
      </c>
      <c r="CH28" s="18">
        <v>0.17365298562697651</v>
      </c>
      <c r="CI28" s="18">
        <v>0.27644477820530888</v>
      </c>
      <c r="CJ28" s="18">
        <v>0.24447180524566761</v>
      </c>
      <c r="CK28" s="18">
        <v>0.35839697878849858</v>
      </c>
      <c r="CL28" s="18">
        <v>0.34616171954554403</v>
      </c>
      <c r="CM28" s="18">
        <v>0.3207824793969159</v>
      </c>
      <c r="CN28" s="19">
        <v>0.10728596371788732</v>
      </c>
    </row>
    <row r="29" spans="1:92" x14ac:dyDescent="0.2">
      <c r="A29" s="2" t="s">
        <v>72</v>
      </c>
      <c r="B29" s="2">
        <v>3</v>
      </c>
      <c r="C29" s="2">
        <v>2</v>
      </c>
      <c r="D29" s="2">
        <v>3</v>
      </c>
      <c r="E29" s="2">
        <v>2</v>
      </c>
      <c r="F29" s="2">
        <v>1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4</v>
      </c>
      <c r="M29" s="2">
        <v>3</v>
      </c>
      <c r="N29" s="2">
        <v>4</v>
      </c>
      <c r="O29" s="2">
        <v>3</v>
      </c>
      <c r="P29" s="2">
        <v>3</v>
      </c>
      <c r="Q29" s="2">
        <v>3</v>
      </c>
      <c r="R29" s="2">
        <v>4</v>
      </c>
      <c r="S29" s="2">
        <v>3</v>
      </c>
      <c r="T29" s="2">
        <v>2</v>
      </c>
      <c r="U29" s="2">
        <v>2</v>
      </c>
      <c r="V29" s="2">
        <v>3</v>
      </c>
      <c r="W29" s="2">
        <v>3</v>
      </c>
      <c r="X29" s="2">
        <v>3</v>
      </c>
      <c r="Y29" s="2">
        <v>2</v>
      </c>
      <c r="Z29" s="2">
        <v>2</v>
      </c>
      <c r="AA29" s="2">
        <v>2</v>
      </c>
      <c r="AB29" s="2">
        <v>2</v>
      </c>
      <c r="AC29" s="2">
        <v>3</v>
      </c>
      <c r="AD29" s="2">
        <v>3</v>
      </c>
      <c r="AE29" s="2">
        <v>4</v>
      </c>
      <c r="AF29" s="2">
        <v>3</v>
      </c>
      <c r="AG29" s="2">
        <v>3</v>
      </c>
      <c r="AH29" s="2">
        <v>2</v>
      </c>
      <c r="AI29" s="2">
        <v>2</v>
      </c>
      <c r="AJ29" s="2">
        <v>2</v>
      </c>
      <c r="AK29" s="2">
        <v>3</v>
      </c>
      <c r="AL29" s="2">
        <v>4</v>
      </c>
      <c r="AM29" s="2">
        <v>5</v>
      </c>
      <c r="AN29" s="2">
        <v>5</v>
      </c>
      <c r="AO29" s="2">
        <v>5</v>
      </c>
      <c r="AP29" s="2">
        <v>3</v>
      </c>
      <c r="AQ29" s="2">
        <v>5</v>
      </c>
      <c r="AR29" s="2">
        <v>5</v>
      </c>
      <c r="AS29" s="2">
        <v>5</v>
      </c>
      <c r="AT29" s="2"/>
      <c r="AU29" s="2"/>
      <c r="AV29" s="2" t="str">
        <v>10.Unavailability of equipment</v>
      </c>
      <c r="AW29" s="10">
        <v>0.47070098130014359</v>
      </c>
      <c r="AX29" s="11">
        <v>0.36290421307657672</v>
      </c>
      <c r="AY29" s="11">
        <v>0.23099284522024344</v>
      </c>
      <c r="AZ29" s="18">
        <v>0.46276099114743563</v>
      </c>
      <c r="BA29" s="18">
        <v>0.39476211999901684</v>
      </c>
      <c r="BB29" s="18">
        <v>0.54624192111411285</v>
      </c>
      <c r="BC29" s="18">
        <v>0.54630952192250259</v>
      </c>
      <c r="BD29" s="18">
        <v>0.69285696439216293</v>
      </c>
      <c r="BE29" s="18">
        <v>0.60285872968947685</v>
      </c>
      <c r="BF29" s="18">
        <v>1.0000000000000002</v>
      </c>
      <c r="BG29" s="18">
        <v>0.53469900629232292</v>
      </c>
      <c r="BH29" s="18">
        <v>0.59270181416883494</v>
      </c>
      <c r="BI29" s="18">
        <v>0.39213206322163258</v>
      </c>
      <c r="BJ29" s="18">
        <v>0.24003438972435365</v>
      </c>
      <c r="BK29" s="18">
        <v>0.36228215166181504</v>
      </c>
      <c r="BL29" s="18">
        <v>0.33805836733902006</v>
      </c>
      <c r="BM29" s="18">
        <v>0.33468152774698601</v>
      </c>
      <c r="BN29" s="18">
        <v>0.32940562241263588</v>
      </c>
      <c r="BO29" s="18">
        <v>0.20127357965532544</v>
      </c>
      <c r="BP29" s="18">
        <v>0.2315342428080259</v>
      </c>
      <c r="BQ29" s="18">
        <v>0.19579003120580385</v>
      </c>
      <c r="BR29" s="18">
        <v>0.19695434487176336</v>
      </c>
      <c r="BS29" s="18">
        <v>0.13571753820778548</v>
      </c>
      <c r="BT29" s="18">
        <v>-9.8454663979206949E-2</v>
      </c>
      <c r="BU29" s="18">
        <v>0.27854467433977392</v>
      </c>
      <c r="BV29" s="18">
        <v>0.35503723966590361</v>
      </c>
      <c r="BW29" s="18">
        <v>0.5263969598901761</v>
      </c>
      <c r="BX29" s="18">
        <v>0.64127562156620388</v>
      </c>
      <c r="BY29" s="18">
        <v>0.41826187082394839</v>
      </c>
      <c r="BZ29" s="18">
        <v>6.6972908590744284E-2</v>
      </c>
      <c r="CA29" s="18">
        <v>0.26313664739918591</v>
      </c>
      <c r="CB29" s="18">
        <v>0.3269767685636934</v>
      </c>
      <c r="CC29" s="18">
        <v>0.32963175231351999</v>
      </c>
      <c r="CD29" s="18">
        <v>0.39840686735030995</v>
      </c>
      <c r="CE29" s="18">
        <v>0.35683000045089691</v>
      </c>
      <c r="CF29" s="18">
        <v>0.25584330520638526</v>
      </c>
      <c r="CG29" s="18">
        <v>0.24250761621400535</v>
      </c>
      <c r="CH29" s="18">
        <v>0.24841666485040884</v>
      </c>
      <c r="CI29" s="18">
        <v>0.36384973060832687</v>
      </c>
      <c r="CJ29" s="18">
        <v>0.26365630481629793</v>
      </c>
      <c r="CK29" s="18">
        <v>0.25804161966055567</v>
      </c>
      <c r="CL29" s="18">
        <v>0.39469828438730659</v>
      </c>
      <c r="CM29" s="18">
        <v>0.26402133154875829</v>
      </c>
      <c r="CN29" s="19">
        <v>0.36940061522620621</v>
      </c>
    </row>
    <row r="30" spans="1:92" x14ac:dyDescent="0.2">
      <c r="A30" s="2" t="s">
        <v>73</v>
      </c>
      <c r="B30" s="2">
        <v>2</v>
      </c>
      <c r="C30" s="2">
        <v>2</v>
      </c>
      <c r="D30" s="2">
        <v>3</v>
      </c>
      <c r="E30" s="2">
        <v>2</v>
      </c>
      <c r="F30" s="2">
        <v>1</v>
      </c>
      <c r="G30" s="2">
        <v>2</v>
      </c>
      <c r="H30" s="2">
        <v>2</v>
      </c>
      <c r="I30" s="2">
        <v>3</v>
      </c>
      <c r="J30" s="2">
        <v>2</v>
      </c>
      <c r="K30" s="2">
        <v>3</v>
      </c>
      <c r="L30" s="2">
        <v>2</v>
      </c>
      <c r="M30" s="2">
        <v>3</v>
      </c>
      <c r="N30" s="2">
        <v>2</v>
      </c>
      <c r="O30" s="2">
        <v>4</v>
      </c>
      <c r="P30" s="2">
        <v>4</v>
      </c>
      <c r="Q30" s="2">
        <v>2</v>
      </c>
      <c r="R30" s="2">
        <v>3</v>
      </c>
      <c r="S30" s="2">
        <v>2</v>
      </c>
      <c r="T30" s="2">
        <v>2</v>
      </c>
      <c r="U30" s="2">
        <v>2</v>
      </c>
      <c r="V30" s="2">
        <v>2</v>
      </c>
      <c r="W30" s="2">
        <v>2</v>
      </c>
      <c r="X30" s="2">
        <v>2</v>
      </c>
      <c r="Y30" s="2">
        <v>4</v>
      </c>
      <c r="Z30" s="2">
        <v>2</v>
      </c>
      <c r="AA30" s="2">
        <v>2</v>
      </c>
      <c r="AB30" s="2">
        <v>2</v>
      </c>
      <c r="AC30" s="2">
        <v>2</v>
      </c>
      <c r="AD30" s="2">
        <v>3</v>
      </c>
      <c r="AE30" s="2">
        <v>3</v>
      </c>
      <c r="AF30" s="2">
        <v>3</v>
      </c>
      <c r="AG30" s="2">
        <v>2</v>
      </c>
      <c r="AH30" s="2">
        <v>3</v>
      </c>
      <c r="AI30" s="2">
        <v>4</v>
      </c>
      <c r="AJ30" s="2">
        <v>2</v>
      </c>
      <c r="AK30" s="2">
        <v>4</v>
      </c>
      <c r="AL30" s="2">
        <v>3</v>
      </c>
      <c r="AM30" s="2">
        <v>4</v>
      </c>
      <c r="AN30" s="2">
        <v>4</v>
      </c>
      <c r="AO30" s="2">
        <v>3</v>
      </c>
      <c r="AP30" s="2">
        <v>2</v>
      </c>
      <c r="AQ30" s="2">
        <v>2</v>
      </c>
      <c r="AR30" s="2">
        <v>2</v>
      </c>
      <c r="AS30" s="2">
        <v>4</v>
      </c>
      <c r="AT30" s="2"/>
      <c r="AU30" s="2"/>
      <c r="AV30" s="2" t="str">
        <v>11.Lack of engineering experience</v>
      </c>
      <c r="AW30" s="10">
        <v>0.43630918289939202</v>
      </c>
      <c r="AX30" s="11">
        <v>0.42764110049829585</v>
      </c>
      <c r="AY30" s="11">
        <v>0.38231594878683695</v>
      </c>
      <c r="AZ30" s="18">
        <v>0.51567237907501517</v>
      </c>
      <c r="BA30" s="18">
        <v>0.49770150004950997</v>
      </c>
      <c r="BB30" s="18">
        <v>0.65229037342601892</v>
      </c>
      <c r="BC30" s="18">
        <v>0.67464035338061779</v>
      </c>
      <c r="BD30" s="18">
        <v>0.61007880678483928</v>
      </c>
      <c r="BE30" s="18">
        <v>0.64048355721039174</v>
      </c>
      <c r="BF30" s="18">
        <v>0.53469900629232292</v>
      </c>
      <c r="BG30" s="18">
        <v>0.99999999999999922</v>
      </c>
      <c r="BH30" s="18">
        <v>0.67370087411894752</v>
      </c>
      <c r="BI30" s="18">
        <v>0.74257356585774725</v>
      </c>
      <c r="BJ30" s="18">
        <v>0.15663975686681267</v>
      </c>
      <c r="BK30" s="18">
        <v>0.2316251230678586</v>
      </c>
      <c r="BL30" s="18">
        <v>0.39416955036447271</v>
      </c>
      <c r="BM30" s="18">
        <v>0.17022932477410677</v>
      </c>
      <c r="BN30" s="18">
        <v>0.22481112913165346</v>
      </c>
      <c r="BO30" s="18">
        <v>0.36769275488358444</v>
      </c>
      <c r="BP30" s="18">
        <v>0.29258401834006453</v>
      </c>
      <c r="BQ30" s="18">
        <v>0.27494397728023862</v>
      </c>
      <c r="BR30" s="18">
        <v>-1.7700304727899033E-2</v>
      </c>
      <c r="BS30" s="18">
        <v>0.10907588106723988</v>
      </c>
      <c r="BT30" s="18">
        <v>0.12968513557132905</v>
      </c>
      <c r="BU30" s="18">
        <v>0.36693098134770535</v>
      </c>
      <c r="BV30" s="18">
        <v>0.30922095635643027</v>
      </c>
      <c r="BW30" s="18">
        <v>0.4571207024907063</v>
      </c>
      <c r="BX30" s="18">
        <v>0.50896047001390599</v>
      </c>
      <c r="BY30" s="18">
        <v>0.33460728691005032</v>
      </c>
      <c r="BZ30" s="18">
        <v>0.15970182507424061</v>
      </c>
      <c r="CA30" s="18">
        <v>7.3712612066669472E-2</v>
      </c>
      <c r="CB30" s="18">
        <v>0.26055889887115702</v>
      </c>
      <c r="CC30" s="18">
        <v>0.18755718737707261</v>
      </c>
      <c r="CD30" s="18">
        <v>0.44271355795722678</v>
      </c>
      <c r="CE30" s="18">
        <v>0.48640279675475645</v>
      </c>
      <c r="CF30" s="18">
        <v>0.42679344353557552</v>
      </c>
      <c r="CG30" s="18">
        <v>0.19296092281136212</v>
      </c>
      <c r="CH30" s="18">
        <v>1.7981126195898992E-2</v>
      </c>
      <c r="CI30" s="18">
        <v>0.20914598793916356</v>
      </c>
      <c r="CJ30" s="18">
        <v>0.1241851723503509</v>
      </c>
      <c r="CK30" s="18">
        <v>0.46664089303583239</v>
      </c>
      <c r="CL30" s="18">
        <v>0.38338517049018223</v>
      </c>
      <c r="CM30" s="18">
        <v>0.43571903670551632</v>
      </c>
      <c r="CN30" s="19">
        <v>0.23867993488954478</v>
      </c>
    </row>
    <row r="31" spans="1:92" x14ac:dyDescent="0.2">
      <c r="A31" s="2" t="s">
        <v>74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4</v>
      </c>
      <c r="P31" s="2">
        <v>4</v>
      </c>
      <c r="Q31" s="2">
        <v>4</v>
      </c>
      <c r="R31" s="2">
        <v>4</v>
      </c>
      <c r="S31" s="2">
        <v>1</v>
      </c>
      <c r="T31" s="2">
        <v>4</v>
      </c>
      <c r="U31" s="2">
        <v>4</v>
      </c>
      <c r="V31" s="2">
        <v>4</v>
      </c>
      <c r="W31" s="2">
        <v>4</v>
      </c>
      <c r="X31" s="2">
        <v>4</v>
      </c>
      <c r="Y31" s="2">
        <v>4</v>
      </c>
      <c r="Z31" s="2">
        <v>3</v>
      </c>
      <c r="AA31" s="2">
        <v>3</v>
      </c>
      <c r="AB31" s="2">
        <v>3</v>
      </c>
      <c r="AC31" s="2">
        <v>1</v>
      </c>
      <c r="AD31" s="2">
        <v>1</v>
      </c>
      <c r="AE31" s="2">
        <v>3</v>
      </c>
      <c r="AF31" s="2">
        <v>3</v>
      </c>
      <c r="AG31" s="2">
        <v>4</v>
      </c>
      <c r="AH31" s="2">
        <v>2</v>
      </c>
      <c r="AI31" s="2">
        <v>2</v>
      </c>
      <c r="AJ31" s="2">
        <v>2</v>
      </c>
      <c r="AK31" s="2">
        <v>2</v>
      </c>
      <c r="AL31" s="2">
        <v>2</v>
      </c>
      <c r="AM31" s="2">
        <v>3</v>
      </c>
      <c r="AN31" s="2">
        <v>2</v>
      </c>
      <c r="AO31" s="2">
        <v>3</v>
      </c>
      <c r="AP31" s="2">
        <v>3</v>
      </c>
      <c r="AQ31" s="2">
        <v>2</v>
      </c>
      <c r="AR31" s="2">
        <v>2</v>
      </c>
      <c r="AS31" s="2">
        <v>2</v>
      </c>
      <c r="AT31" s="2"/>
      <c r="AU31" s="2"/>
      <c r="AV31" s="2" t="str">
        <v>12.Construction cost underestimation</v>
      </c>
      <c r="AW31" s="10">
        <v>0.30801153494756245</v>
      </c>
      <c r="AX31" s="11">
        <v>0.19761675202758688</v>
      </c>
      <c r="AY31" s="11">
        <v>0.35871792776802569</v>
      </c>
      <c r="AZ31" s="18">
        <v>0.36059941486163594</v>
      </c>
      <c r="BA31" s="18">
        <v>0.4906240521935224</v>
      </c>
      <c r="BB31" s="18">
        <v>0.66015097593186489</v>
      </c>
      <c r="BC31" s="18">
        <v>0.59418374600113177</v>
      </c>
      <c r="BD31" s="18">
        <v>0.66078692834448605</v>
      </c>
      <c r="BE31" s="18">
        <v>0.71677462504914735</v>
      </c>
      <c r="BF31" s="18">
        <v>0.59270181416883494</v>
      </c>
      <c r="BG31" s="18">
        <v>0.67370087411894752</v>
      </c>
      <c r="BH31" s="18">
        <v>1.0000000000000011</v>
      </c>
      <c r="BI31" s="18">
        <v>0.70886744145886749</v>
      </c>
      <c r="BJ31" s="18">
        <v>7.546246294487283E-3</v>
      </c>
      <c r="BK31" s="18">
        <v>5.1843884905301139E-2</v>
      </c>
      <c r="BL31" s="18">
        <v>0.3719796429420929</v>
      </c>
      <c r="BM31" s="18">
        <v>1.0037240526764352E-2</v>
      </c>
      <c r="BN31" s="18">
        <v>0.30495270106856232</v>
      </c>
      <c r="BO31" s="18">
        <v>0.43986100859452287</v>
      </c>
      <c r="BP31" s="18">
        <v>0.24923862965210078</v>
      </c>
      <c r="BQ31" s="18">
        <v>0.30251342131890596</v>
      </c>
      <c r="BR31" s="18">
        <v>0.22456387133679725</v>
      </c>
      <c r="BS31" s="18">
        <v>0.195930714717995</v>
      </c>
      <c r="BT31" s="18">
        <v>8.9975512973586677E-2</v>
      </c>
      <c r="BU31" s="18">
        <v>0.30156259049229117</v>
      </c>
      <c r="BV31" s="18">
        <v>0.38596100758022456</v>
      </c>
      <c r="BW31" s="18">
        <v>0.43936654026390509</v>
      </c>
      <c r="BX31" s="18">
        <v>0.44651135019829308</v>
      </c>
      <c r="BY31" s="18">
        <v>0.33124112087542273</v>
      </c>
      <c r="BZ31" s="18">
        <v>8.670674822078174E-2</v>
      </c>
      <c r="CA31" s="18">
        <v>0.20826091568808269</v>
      </c>
      <c r="CB31" s="18">
        <v>0.30428830921621536</v>
      </c>
      <c r="CC31" s="18">
        <v>0.22995316482058412</v>
      </c>
      <c r="CD31" s="18">
        <v>0.46119627246907213</v>
      </c>
      <c r="CE31" s="18">
        <v>0.43418606702514911</v>
      </c>
      <c r="CF31" s="18">
        <v>0.411535908165717</v>
      </c>
      <c r="CG31" s="18">
        <v>6.590255358643092E-2</v>
      </c>
      <c r="CH31" s="18">
        <v>0.36935812084475861</v>
      </c>
      <c r="CI31" s="18">
        <v>0.42007585738753633</v>
      </c>
      <c r="CJ31" s="18">
        <v>0.27630834327236936</v>
      </c>
      <c r="CK31" s="18">
        <v>0.39230122000602996</v>
      </c>
      <c r="CL31" s="18">
        <v>0.40416270606574517</v>
      </c>
      <c r="CM31" s="18">
        <v>0.43382099409733432</v>
      </c>
      <c r="CN31" s="19">
        <v>0.18733109275462273</v>
      </c>
    </row>
    <row r="32" spans="1:92" x14ac:dyDescent="0.2">
      <c r="A32" s="2" t="s">
        <v>75</v>
      </c>
      <c r="B32" s="2">
        <v>4</v>
      </c>
      <c r="C32" s="2">
        <v>3</v>
      </c>
      <c r="D32" s="2">
        <v>2</v>
      </c>
      <c r="E32" s="2">
        <v>3</v>
      </c>
      <c r="F32" s="2">
        <v>3</v>
      </c>
      <c r="G32" s="2">
        <v>2</v>
      </c>
      <c r="H32" s="2">
        <v>3</v>
      </c>
      <c r="I32" s="2">
        <v>2</v>
      </c>
      <c r="J32" s="2">
        <v>3</v>
      </c>
      <c r="K32" s="2">
        <v>2</v>
      </c>
      <c r="L32" s="2">
        <v>3</v>
      </c>
      <c r="M32" s="2">
        <v>2</v>
      </c>
      <c r="N32" s="2">
        <v>3</v>
      </c>
      <c r="O32" s="2">
        <v>3</v>
      </c>
      <c r="P32" s="2">
        <v>2</v>
      </c>
      <c r="Q32" s="2">
        <v>3</v>
      </c>
      <c r="R32" s="2">
        <v>2</v>
      </c>
      <c r="S32" s="2">
        <v>3</v>
      </c>
      <c r="T32" s="2">
        <v>3</v>
      </c>
      <c r="U32" s="2">
        <v>2</v>
      </c>
      <c r="V32" s="2">
        <v>3</v>
      </c>
      <c r="W32" s="2">
        <v>2</v>
      </c>
      <c r="X32" s="2">
        <v>3</v>
      </c>
      <c r="Y32" s="2">
        <v>3</v>
      </c>
      <c r="Z32" s="2">
        <v>2</v>
      </c>
      <c r="AA32" s="2">
        <v>2</v>
      </c>
      <c r="AB32" s="2">
        <v>2</v>
      </c>
      <c r="AC32" s="2">
        <v>3</v>
      </c>
      <c r="AD32" s="2">
        <v>2</v>
      </c>
      <c r="AE32" s="2">
        <v>3</v>
      </c>
      <c r="AF32" s="2">
        <v>3</v>
      </c>
      <c r="AG32" s="2">
        <v>3</v>
      </c>
      <c r="AH32" s="2">
        <v>3</v>
      </c>
      <c r="AI32" s="2">
        <v>2</v>
      </c>
      <c r="AJ32" s="2">
        <v>2</v>
      </c>
      <c r="AK32" s="2">
        <v>4</v>
      </c>
      <c r="AL32" s="2">
        <v>3</v>
      </c>
      <c r="AM32" s="2">
        <v>5</v>
      </c>
      <c r="AN32" s="2">
        <v>5</v>
      </c>
      <c r="AO32" s="2">
        <v>5</v>
      </c>
      <c r="AP32" s="2">
        <v>5</v>
      </c>
      <c r="AQ32" s="2">
        <v>1</v>
      </c>
      <c r="AR32" s="2">
        <v>1</v>
      </c>
      <c r="AS32" s="2">
        <v>1</v>
      </c>
      <c r="AT32" s="2"/>
      <c r="AU32" s="2"/>
      <c r="AV32" s="2" t="str">
        <v>13.Poor site management</v>
      </c>
      <c r="AW32" s="10">
        <v>0.27692648934035602</v>
      </c>
      <c r="AX32" s="11">
        <v>0.29786141753675116</v>
      </c>
      <c r="AY32" s="11">
        <v>0.36283040309747278</v>
      </c>
      <c r="AZ32" s="18">
        <v>0.44870936545520579</v>
      </c>
      <c r="BA32" s="18">
        <v>0.55382191452046448</v>
      </c>
      <c r="BB32" s="18">
        <v>0.67534207779076572</v>
      </c>
      <c r="BC32" s="18">
        <v>0.6924624454976136</v>
      </c>
      <c r="BD32" s="18">
        <v>0.54365102471713289</v>
      </c>
      <c r="BE32" s="18">
        <v>0.57909006872744617</v>
      </c>
      <c r="BF32" s="18">
        <v>0.39213206322163258</v>
      </c>
      <c r="BG32" s="18">
        <v>0.74257356585774725</v>
      </c>
      <c r="BH32" s="18">
        <v>0.70886744145886749</v>
      </c>
      <c r="BI32" s="18">
        <v>0.99999999999999878</v>
      </c>
      <c r="BJ32" s="18">
        <v>0.19002079458189383</v>
      </c>
      <c r="BK32" s="18">
        <v>0.1867543132573955</v>
      </c>
      <c r="BL32" s="18">
        <v>0.33100852481677467</v>
      </c>
      <c r="BM32" s="18">
        <v>0.1099853353754779</v>
      </c>
      <c r="BN32" s="18">
        <v>0.21860986526674922</v>
      </c>
      <c r="BO32" s="18">
        <v>0.39971883948347442</v>
      </c>
      <c r="BP32" s="18">
        <v>0.2369580149927103</v>
      </c>
      <c r="BQ32" s="18">
        <v>0.26847130945942832</v>
      </c>
      <c r="BR32" s="18">
        <v>0.15264721916019944</v>
      </c>
      <c r="BS32" s="18">
        <v>0.177981096977398</v>
      </c>
      <c r="BT32" s="18">
        <v>0.14031131894867649</v>
      </c>
      <c r="BU32" s="18">
        <v>0.44929071694250566</v>
      </c>
      <c r="BV32" s="18">
        <v>0.30465960081675192</v>
      </c>
      <c r="BW32" s="18">
        <v>0.49096133995368352</v>
      </c>
      <c r="BX32" s="18">
        <v>0.3927626430326982</v>
      </c>
      <c r="BY32" s="18">
        <v>0.31377669363089378</v>
      </c>
      <c r="BZ32" s="18">
        <v>0.27180819526941963</v>
      </c>
      <c r="CA32" s="18">
        <v>0.1985309934400061</v>
      </c>
      <c r="CB32" s="18">
        <v>0.27585566279578932</v>
      </c>
      <c r="CC32" s="18">
        <v>0.16874991228827943</v>
      </c>
      <c r="CD32" s="18">
        <v>0.39752854841420032</v>
      </c>
      <c r="CE32" s="18">
        <v>0.4344386365083836</v>
      </c>
      <c r="CF32" s="18">
        <v>0.35471114962626199</v>
      </c>
      <c r="CG32" s="18">
        <v>8.4110721047816722E-2</v>
      </c>
      <c r="CH32" s="18">
        <v>0.2177910107830609</v>
      </c>
      <c r="CI32" s="18">
        <v>0.35252238044039413</v>
      </c>
      <c r="CJ32" s="18">
        <v>0.25855699317728315</v>
      </c>
      <c r="CK32" s="18">
        <v>0.46114644722178622</v>
      </c>
      <c r="CL32" s="18">
        <v>0.30916633841849445</v>
      </c>
      <c r="CM32" s="18">
        <v>0.34370169160466518</v>
      </c>
      <c r="CN32" s="19">
        <v>0.24988120343730783</v>
      </c>
    </row>
    <row r="33" spans="1:92" x14ac:dyDescent="0.2">
      <c r="A33" s="2" t="s">
        <v>76</v>
      </c>
      <c r="B33" s="2">
        <v>2</v>
      </c>
      <c r="C33" s="2">
        <v>2</v>
      </c>
      <c r="D33" s="2">
        <v>3</v>
      </c>
      <c r="E33" s="2">
        <v>2</v>
      </c>
      <c r="F33" s="2">
        <v>1</v>
      </c>
      <c r="G33" s="2">
        <v>2</v>
      </c>
      <c r="H33" s="2">
        <v>2</v>
      </c>
      <c r="I33" s="2">
        <v>3</v>
      </c>
      <c r="J33" s="2">
        <v>2</v>
      </c>
      <c r="K33" s="2">
        <v>3</v>
      </c>
      <c r="L33" s="2">
        <v>2</v>
      </c>
      <c r="M33" s="2">
        <v>3</v>
      </c>
      <c r="N33" s="2">
        <v>2</v>
      </c>
      <c r="O33" s="2">
        <v>4</v>
      </c>
      <c r="P33" s="2">
        <v>4</v>
      </c>
      <c r="Q33" s="2">
        <v>2</v>
      </c>
      <c r="R33" s="2">
        <v>3</v>
      </c>
      <c r="S33" s="2">
        <v>2</v>
      </c>
      <c r="T33" s="2">
        <v>2</v>
      </c>
      <c r="U33" s="2">
        <v>2</v>
      </c>
      <c r="V33" s="2">
        <v>2</v>
      </c>
      <c r="W33" s="2">
        <v>2</v>
      </c>
      <c r="X33" s="2">
        <v>2</v>
      </c>
      <c r="Y33" s="2">
        <v>4</v>
      </c>
      <c r="Z33" s="2">
        <v>2</v>
      </c>
      <c r="AA33" s="2">
        <v>2</v>
      </c>
      <c r="AB33" s="2">
        <v>2</v>
      </c>
      <c r="AC33" s="2">
        <v>2</v>
      </c>
      <c r="AD33" s="2">
        <v>3</v>
      </c>
      <c r="AE33" s="2">
        <v>3</v>
      </c>
      <c r="AF33" s="2">
        <v>3</v>
      </c>
      <c r="AG33" s="2">
        <v>2</v>
      </c>
      <c r="AH33" s="2">
        <v>3</v>
      </c>
      <c r="AI33" s="2">
        <v>4</v>
      </c>
      <c r="AJ33" s="2">
        <v>2</v>
      </c>
      <c r="AK33" s="2">
        <v>4</v>
      </c>
      <c r="AL33" s="2">
        <v>3</v>
      </c>
      <c r="AM33" s="2">
        <v>4</v>
      </c>
      <c r="AN33" s="2">
        <v>4</v>
      </c>
      <c r="AO33" s="2">
        <v>3</v>
      </c>
      <c r="AP33" s="2">
        <v>2</v>
      </c>
      <c r="AQ33" s="2">
        <v>2</v>
      </c>
      <c r="AR33" s="2">
        <v>2</v>
      </c>
      <c r="AS33" s="2">
        <v>4</v>
      </c>
      <c r="AT33" s="2"/>
      <c r="AU33" s="2"/>
      <c r="AV33" s="2" t="str">
        <v>14.Delayed payment for completed work</v>
      </c>
      <c r="AW33" s="10">
        <v>0.12576228594870653</v>
      </c>
      <c r="AX33" s="11">
        <v>0.10142090872348966</v>
      </c>
      <c r="AY33" s="11">
        <v>-5.949808216049228E-2</v>
      </c>
      <c r="AZ33" s="18">
        <v>9.9347047402373004E-2</v>
      </c>
      <c r="BA33" s="18">
        <v>0.16397119855540598</v>
      </c>
      <c r="BB33" s="18">
        <v>8.175026263401558E-2</v>
      </c>
      <c r="BC33" s="18">
        <v>0.19940236276218209</v>
      </c>
      <c r="BD33" s="18">
        <v>0.2417503285635958</v>
      </c>
      <c r="BE33" s="18">
        <v>-6.2427704660465953E-2</v>
      </c>
      <c r="BF33" s="18">
        <v>0.24003438972435365</v>
      </c>
      <c r="BG33" s="18">
        <v>0.15663975686681267</v>
      </c>
      <c r="BH33" s="18">
        <v>7.546246294487283E-3</v>
      </c>
      <c r="BI33" s="18">
        <v>0.19002079458189383</v>
      </c>
      <c r="BJ33" s="18">
        <v>0.99999999999999956</v>
      </c>
      <c r="BK33" s="18">
        <v>0.65863200113957754</v>
      </c>
      <c r="BL33" s="18">
        <v>0.36955211127247467</v>
      </c>
      <c r="BM33" s="18">
        <v>0.41819594235737506</v>
      </c>
      <c r="BN33" s="18">
        <v>0.23240281917141511</v>
      </c>
      <c r="BO33" s="18">
        <v>0.19171336858751306</v>
      </c>
      <c r="BP33" s="18">
        <v>0.15994868406506296</v>
      </c>
      <c r="BQ33" s="18">
        <v>0.27354979552555442</v>
      </c>
      <c r="BR33" s="18">
        <v>0.25675742193071011</v>
      </c>
      <c r="BS33" s="18">
        <v>-4.2102894280875887E-2</v>
      </c>
      <c r="BT33" s="18">
        <v>8.2672108403279612E-2</v>
      </c>
      <c r="BU33" s="18">
        <v>0.2519106471608189</v>
      </c>
      <c r="BV33" s="18">
        <v>0.12585312394636758</v>
      </c>
      <c r="BW33" s="18">
        <v>0.20035754327830235</v>
      </c>
      <c r="BX33" s="18">
        <v>0.3187013942823323</v>
      </c>
      <c r="BY33" s="18">
        <v>0.21055811729921986</v>
      </c>
      <c r="BZ33" s="18">
        <v>0.42647320228134056</v>
      </c>
      <c r="CA33" s="18">
        <v>0.33506321440194903</v>
      </c>
      <c r="CB33" s="18">
        <v>0.14225368610346067</v>
      </c>
      <c r="CC33" s="18">
        <v>0.21475333866205201</v>
      </c>
      <c r="CD33" s="18">
        <v>0.19633397219395313</v>
      </c>
      <c r="CE33" s="18">
        <v>1.6682577852375216E-2</v>
      </c>
      <c r="CF33" s="18">
        <v>-8.2570082247054047E-2</v>
      </c>
      <c r="CG33" s="18">
        <v>0.40472252237114997</v>
      </c>
      <c r="CH33" s="18">
        <v>0.20957912602051518</v>
      </c>
      <c r="CI33" s="18">
        <v>0.24704431505816155</v>
      </c>
      <c r="CJ33" s="18">
        <v>0.25479594844586057</v>
      </c>
      <c r="CK33" s="18">
        <v>3.3507604667135961E-2</v>
      </c>
      <c r="CL33" s="18">
        <v>6.2386514076913945E-2</v>
      </c>
      <c r="CM33" s="18">
        <v>5.9228019308075933E-2</v>
      </c>
      <c r="CN33" s="19">
        <v>0.50273883137968223</v>
      </c>
    </row>
    <row r="34" spans="1:92" x14ac:dyDescent="0.2">
      <c r="A34" s="2" t="s">
        <v>77</v>
      </c>
      <c r="B34" s="2">
        <v>4</v>
      </c>
      <c r="C34" s="2">
        <v>3</v>
      </c>
      <c r="D34" s="2">
        <v>2</v>
      </c>
      <c r="E34" s="2">
        <v>3</v>
      </c>
      <c r="F34" s="2">
        <v>4</v>
      </c>
      <c r="G34" s="2">
        <v>3</v>
      </c>
      <c r="H34" s="2">
        <v>3</v>
      </c>
      <c r="I34" s="2">
        <v>2</v>
      </c>
      <c r="J34" s="2">
        <v>2</v>
      </c>
      <c r="K34" s="2">
        <v>2</v>
      </c>
      <c r="L34" s="2">
        <v>2</v>
      </c>
      <c r="M34" s="2">
        <v>3</v>
      </c>
      <c r="N34" s="2">
        <v>4</v>
      </c>
      <c r="O34" s="2">
        <v>2</v>
      </c>
      <c r="P34" s="2">
        <v>2</v>
      </c>
      <c r="Q34" s="2">
        <v>3</v>
      </c>
      <c r="R34" s="2">
        <v>2</v>
      </c>
      <c r="S34" s="2">
        <v>5</v>
      </c>
      <c r="T34" s="2">
        <v>2</v>
      </c>
      <c r="U34" s="2">
        <v>2</v>
      </c>
      <c r="V34" s="2">
        <v>3</v>
      </c>
      <c r="W34" s="2">
        <v>4</v>
      </c>
      <c r="X34" s="2">
        <v>5</v>
      </c>
      <c r="Y34" s="2">
        <v>3</v>
      </c>
      <c r="Z34" s="2">
        <v>3</v>
      </c>
      <c r="AA34" s="2">
        <v>3</v>
      </c>
      <c r="AB34" s="2">
        <v>3</v>
      </c>
      <c r="AC34" s="2">
        <v>2</v>
      </c>
      <c r="AD34" s="2">
        <v>3</v>
      </c>
      <c r="AE34" s="2">
        <v>2</v>
      </c>
      <c r="AF34" s="2">
        <v>2</v>
      </c>
      <c r="AG34" s="2">
        <v>2</v>
      </c>
      <c r="AH34" s="2">
        <v>2</v>
      </c>
      <c r="AI34" s="2">
        <v>2</v>
      </c>
      <c r="AJ34" s="2">
        <v>2</v>
      </c>
      <c r="AK34" s="2">
        <v>3</v>
      </c>
      <c r="AL34" s="2">
        <v>4</v>
      </c>
      <c r="AM34" s="2">
        <v>5</v>
      </c>
      <c r="AN34" s="2">
        <v>5</v>
      </c>
      <c r="AO34" s="2">
        <v>5</v>
      </c>
      <c r="AP34" s="2">
        <v>5</v>
      </c>
      <c r="AQ34" s="2">
        <v>1</v>
      </c>
      <c r="AR34" s="2">
        <v>1</v>
      </c>
      <c r="AS34" s="2">
        <v>1</v>
      </c>
      <c r="AT34" s="2"/>
      <c r="AU34" s="2"/>
      <c r="AV34" s="2" t="str">
        <v>15.Cash flow problem during construction</v>
      </c>
      <c r="AW34" s="10">
        <v>0.18492535099551768</v>
      </c>
      <c r="AX34" s="11">
        <v>0.19933239753617352</v>
      </c>
      <c r="AY34" s="11">
        <v>2.9481016558462279E-3</v>
      </c>
      <c r="AZ34" s="18">
        <v>0.17308030908393532</v>
      </c>
      <c r="BA34" s="18">
        <v>0.17753905795233993</v>
      </c>
      <c r="BB34" s="18">
        <v>9.8779156071138657E-2</v>
      </c>
      <c r="BC34" s="18">
        <v>0.18836001460869792</v>
      </c>
      <c r="BD34" s="18">
        <v>0.16067260707972825</v>
      </c>
      <c r="BE34" s="18">
        <v>5.6190488096367931E-2</v>
      </c>
      <c r="BF34" s="18">
        <v>0.36228215166181504</v>
      </c>
      <c r="BG34" s="18">
        <v>0.2316251230678586</v>
      </c>
      <c r="BH34" s="18">
        <v>5.1843884905301139E-2</v>
      </c>
      <c r="BI34" s="18">
        <v>0.1867543132573955</v>
      </c>
      <c r="BJ34" s="18">
        <v>0.65863200113957754</v>
      </c>
      <c r="BK34" s="18">
        <v>0.99999999999999856</v>
      </c>
      <c r="BL34" s="18">
        <v>0.5063741871877776</v>
      </c>
      <c r="BM34" s="18">
        <v>0.67545062908699716</v>
      </c>
      <c r="BN34" s="18">
        <v>6.8931263005751184E-2</v>
      </c>
      <c r="BO34" s="18">
        <v>0.21126061132995738</v>
      </c>
      <c r="BP34" s="18">
        <v>0.33048989342460783</v>
      </c>
      <c r="BQ34" s="18">
        <v>0.43699911034329597</v>
      </c>
      <c r="BR34" s="18">
        <v>0.27173050716064434</v>
      </c>
      <c r="BS34" s="18">
        <v>0.19887844627389087</v>
      </c>
      <c r="BT34" s="18">
        <v>0.13439679308579547</v>
      </c>
      <c r="BU34" s="18">
        <v>0.3676312726692782</v>
      </c>
      <c r="BV34" s="18">
        <v>0.23806465411345087</v>
      </c>
      <c r="BW34" s="18">
        <v>0.4343010109036875</v>
      </c>
      <c r="BX34" s="18">
        <v>0.37290675895404479</v>
      </c>
      <c r="BY34" s="18">
        <v>0.28851464313396374</v>
      </c>
      <c r="BZ34" s="18">
        <v>0.32808854807101001</v>
      </c>
      <c r="CA34" s="18">
        <v>0.23491682653948628</v>
      </c>
      <c r="CB34" s="18">
        <v>0.22152624933349493</v>
      </c>
      <c r="CC34" s="18">
        <v>0.13297462395799714</v>
      </c>
      <c r="CD34" s="18">
        <v>0.3904805731889584</v>
      </c>
      <c r="CE34" s="18">
        <v>0.22595049684796634</v>
      </c>
      <c r="CF34" s="18">
        <v>-3.4385173145564746E-2</v>
      </c>
      <c r="CG34" s="18">
        <v>0.312262744110474</v>
      </c>
      <c r="CH34" s="18">
        <v>0.17910407072264184</v>
      </c>
      <c r="CI34" s="18">
        <v>0.23702869702683213</v>
      </c>
      <c r="CJ34" s="18">
        <v>0.19182433781518021</v>
      </c>
      <c r="CK34" s="18">
        <v>0.24451936941119162</v>
      </c>
      <c r="CL34" s="18">
        <v>0.19987075464168971</v>
      </c>
      <c r="CM34" s="18">
        <v>9.6131513233233074E-2</v>
      </c>
      <c r="CN34" s="19">
        <v>0.28768382735938586</v>
      </c>
    </row>
    <row r="35" spans="1:92" x14ac:dyDescent="0.2">
      <c r="A35" s="2" t="s">
        <v>78</v>
      </c>
      <c r="B35" s="2">
        <v>1</v>
      </c>
      <c r="C35" s="2">
        <v>2</v>
      </c>
      <c r="D35" s="2">
        <v>1</v>
      </c>
      <c r="E35" s="2">
        <v>1</v>
      </c>
      <c r="F35" s="2">
        <v>2</v>
      </c>
      <c r="G35" s="2">
        <v>2</v>
      </c>
      <c r="H35" s="2">
        <v>1</v>
      </c>
      <c r="I35" s="2">
        <v>2</v>
      </c>
      <c r="J35" s="2">
        <v>1</v>
      </c>
      <c r="K35" s="2">
        <v>1</v>
      </c>
      <c r="L35" s="2">
        <v>2</v>
      </c>
      <c r="M35" s="2">
        <v>1</v>
      </c>
      <c r="N35" s="2">
        <v>3</v>
      </c>
      <c r="O35" s="2">
        <v>3</v>
      </c>
      <c r="P35" s="2">
        <v>3</v>
      </c>
      <c r="Q35" s="2">
        <v>2</v>
      </c>
      <c r="R35" s="2">
        <v>2</v>
      </c>
      <c r="S35" s="2">
        <v>1</v>
      </c>
      <c r="T35" s="2">
        <v>2</v>
      </c>
      <c r="U35" s="2">
        <v>2</v>
      </c>
      <c r="V35" s="2">
        <v>2</v>
      </c>
      <c r="W35" s="2">
        <v>2</v>
      </c>
      <c r="X35" s="2">
        <v>3</v>
      </c>
      <c r="Y35" s="2">
        <v>2</v>
      </c>
      <c r="Z35" s="2">
        <v>3</v>
      </c>
      <c r="AA35" s="2">
        <v>2</v>
      </c>
      <c r="AB35" s="2">
        <v>3</v>
      </c>
      <c r="AC35" s="2">
        <v>1</v>
      </c>
      <c r="AD35" s="2">
        <v>4</v>
      </c>
      <c r="AE35" s="2">
        <v>4</v>
      </c>
      <c r="AF35" s="2">
        <v>3</v>
      </c>
      <c r="AG35" s="2">
        <v>2</v>
      </c>
      <c r="AH35" s="2">
        <v>2</v>
      </c>
      <c r="AI35" s="2">
        <v>2</v>
      </c>
      <c r="AJ35" s="2">
        <v>2</v>
      </c>
      <c r="AK35" s="2">
        <v>2</v>
      </c>
      <c r="AL35" s="2">
        <v>4</v>
      </c>
      <c r="AM35" s="2">
        <v>2</v>
      </c>
      <c r="AN35" s="2">
        <v>2</v>
      </c>
      <c r="AO35" s="2">
        <v>2</v>
      </c>
      <c r="AP35" s="2">
        <v>2</v>
      </c>
      <c r="AQ35" s="2">
        <v>1</v>
      </c>
      <c r="AR35" s="2">
        <v>1</v>
      </c>
      <c r="AS35" s="2">
        <v>4</v>
      </c>
      <c r="AT35" s="2"/>
      <c r="AU35" s="2"/>
      <c r="AV35" s="2" t="str">
        <v>16.High rate of interest</v>
      </c>
      <c r="AW35" s="10">
        <v>5.8698895023142857E-2</v>
      </c>
      <c r="AX35" s="11">
        <v>0.14686636683379084</v>
      </c>
      <c r="AY35" s="11">
        <v>6.1672055820512356E-2</v>
      </c>
      <c r="AZ35" s="18">
        <v>0.14748664652990004</v>
      </c>
      <c r="BA35" s="18">
        <v>0.43390484731940954</v>
      </c>
      <c r="BB35" s="18">
        <v>0.23349160488180892</v>
      </c>
      <c r="BC35" s="18">
        <v>0.26601296508320343</v>
      </c>
      <c r="BD35" s="18">
        <v>0.25443235529261227</v>
      </c>
      <c r="BE35" s="18">
        <v>0.30667022525721405</v>
      </c>
      <c r="BF35" s="18">
        <v>0.33805836733902006</v>
      </c>
      <c r="BG35" s="18">
        <v>0.39416955036447271</v>
      </c>
      <c r="BH35" s="18">
        <v>0.3719796429420929</v>
      </c>
      <c r="BI35" s="18">
        <v>0.33100852481677467</v>
      </c>
      <c r="BJ35" s="18">
        <v>0.36955211127247467</v>
      </c>
      <c r="BK35" s="18">
        <v>0.5063741871877776</v>
      </c>
      <c r="BL35" s="18">
        <v>1</v>
      </c>
      <c r="BM35" s="18">
        <v>0.36469317767260967</v>
      </c>
      <c r="BN35" s="18">
        <v>0.31478732935114351</v>
      </c>
      <c r="BO35" s="18">
        <v>0.42868639708577216</v>
      </c>
      <c r="BP35" s="18">
        <v>0.44854661481742614</v>
      </c>
      <c r="BQ35" s="18">
        <v>0.44706864217088998</v>
      </c>
      <c r="BR35" s="18">
        <v>0.30448453901013506</v>
      </c>
      <c r="BS35" s="18">
        <v>0.40722774837819953</v>
      </c>
      <c r="BT35" s="18">
        <v>0.12351138319106697</v>
      </c>
      <c r="BU35" s="18">
        <v>0.40136722738161845</v>
      </c>
      <c r="BV35" s="18">
        <v>0.40211876503598187</v>
      </c>
      <c r="BW35" s="18">
        <v>0.35390979925503285</v>
      </c>
      <c r="BX35" s="18">
        <v>0.35358755529264296</v>
      </c>
      <c r="BY35" s="18">
        <v>0.13623794581129528</v>
      </c>
      <c r="BZ35" s="18">
        <v>0.17755688264726141</v>
      </c>
      <c r="CA35" s="18">
        <v>0.38483166151553055</v>
      </c>
      <c r="CB35" s="18">
        <v>0.40473833308402346</v>
      </c>
      <c r="CC35" s="18">
        <v>7.550604060912823E-2</v>
      </c>
      <c r="CD35" s="18">
        <v>0.57669499195468488</v>
      </c>
      <c r="CE35" s="18">
        <v>0.40916589873078257</v>
      </c>
      <c r="CF35" s="18">
        <v>0.13026436471205619</v>
      </c>
      <c r="CG35" s="18">
        <v>0.21699298621711846</v>
      </c>
      <c r="CH35" s="18">
        <v>0.14385876573370432</v>
      </c>
      <c r="CI35" s="18">
        <v>0.1931937804272735</v>
      </c>
      <c r="CJ35" s="18">
        <v>0.179606056191357</v>
      </c>
      <c r="CK35" s="18">
        <v>0.36601767974976573</v>
      </c>
      <c r="CL35" s="18">
        <v>0.49470554289979252</v>
      </c>
      <c r="CM35" s="18">
        <v>0.33123829665878018</v>
      </c>
      <c r="CN35" s="19">
        <v>0.13530130657734846</v>
      </c>
    </row>
    <row r="36" spans="1:92" x14ac:dyDescent="0.2">
      <c r="A36" s="2" t="s">
        <v>79</v>
      </c>
      <c r="B36" s="2">
        <v>2</v>
      </c>
      <c r="C36" s="2">
        <v>2</v>
      </c>
      <c r="D36" s="2">
        <v>2</v>
      </c>
      <c r="E36" s="2">
        <v>2</v>
      </c>
      <c r="F36" s="2">
        <v>3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3</v>
      </c>
      <c r="N36" s="2">
        <v>2</v>
      </c>
      <c r="O36" s="2">
        <v>3</v>
      </c>
      <c r="P36" s="2">
        <v>2</v>
      </c>
      <c r="Q36" s="2">
        <v>3</v>
      </c>
      <c r="R36" s="2">
        <v>2</v>
      </c>
      <c r="S36" s="2">
        <v>2</v>
      </c>
      <c r="T36" s="2">
        <v>4</v>
      </c>
      <c r="U36" s="2">
        <v>4</v>
      </c>
      <c r="V36" s="2">
        <v>3</v>
      </c>
      <c r="W36" s="2">
        <v>3</v>
      </c>
      <c r="X36" s="2">
        <v>3</v>
      </c>
      <c r="Y36" s="2">
        <v>4</v>
      </c>
      <c r="Z36" s="2">
        <v>4</v>
      </c>
      <c r="AA36" s="2">
        <v>4</v>
      </c>
      <c r="AB36" s="2">
        <v>4</v>
      </c>
      <c r="AC36" s="2">
        <v>3</v>
      </c>
      <c r="AD36" s="2">
        <v>5</v>
      </c>
      <c r="AE36" s="2">
        <v>5</v>
      </c>
      <c r="AF36" s="2">
        <v>4</v>
      </c>
      <c r="AG36" s="2">
        <v>1</v>
      </c>
      <c r="AH36" s="2">
        <v>3</v>
      </c>
      <c r="AI36" s="2">
        <v>3</v>
      </c>
      <c r="AJ36" s="2">
        <v>4</v>
      </c>
      <c r="AK36" s="2">
        <v>3</v>
      </c>
      <c r="AL36" s="2">
        <v>5</v>
      </c>
      <c r="AM36" s="2">
        <v>4</v>
      </c>
      <c r="AN36" s="2">
        <v>4</v>
      </c>
      <c r="AO36" s="2">
        <v>5</v>
      </c>
      <c r="AP36" s="2">
        <v>2</v>
      </c>
      <c r="AQ36" s="2">
        <v>3</v>
      </c>
      <c r="AR36" s="2">
        <v>2</v>
      </c>
      <c r="AS36" s="2">
        <v>3</v>
      </c>
      <c r="AT36" s="2"/>
      <c r="AU36" s="2"/>
      <c r="AV36" s="2" t="str">
        <v>17.Contractor’s financial difficulties</v>
      </c>
      <c r="AW36" s="10">
        <v>8.655651736561111E-2</v>
      </c>
      <c r="AX36" s="11">
        <v>0.14756349009805719</v>
      </c>
      <c r="AY36" s="11">
        <v>4.6527491307395514E-3</v>
      </c>
      <c r="AZ36" s="18">
        <v>0.13470251914488157</v>
      </c>
      <c r="BA36" s="18">
        <v>5.1387059970994527E-2</v>
      </c>
      <c r="BB36" s="18">
        <v>4.3608941807202997E-2</v>
      </c>
      <c r="BC36" s="18">
        <v>0.13455147589918451</v>
      </c>
      <c r="BD36" s="18">
        <v>7.4706952486633116E-2</v>
      </c>
      <c r="BE36" s="18">
        <v>-0.10842549295575853</v>
      </c>
      <c r="BF36" s="18">
        <v>0.33468152774698601</v>
      </c>
      <c r="BG36" s="18">
        <v>0.17022932477410677</v>
      </c>
      <c r="BH36" s="18">
        <v>1.0037240526764352E-2</v>
      </c>
      <c r="BI36" s="18">
        <v>0.1099853353754779</v>
      </c>
      <c r="BJ36" s="18">
        <v>0.41819594235737506</v>
      </c>
      <c r="BK36" s="18">
        <v>0.67545062908699716</v>
      </c>
      <c r="BL36" s="18">
        <v>0.36469317767260967</v>
      </c>
      <c r="BM36" s="18">
        <v>1.0000000000000009</v>
      </c>
      <c r="BN36" s="18">
        <v>0.15480493808802279</v>
      </c>
      <c r="BO36" s="18">
        <v>5.0193849672201675E-2</v>
      </c>
      <c r="BP36" s="18">
        <v>0.17444656742119416</v>
      </c>
      <c r="BQ36" s="18">
        <v>0.2890833732138926</v>
      </c>
      <c r="BR36" s="18">
        <v>0.26227375469424158</v>
      </c>
      <c r="BS36" s="18">
        <v>0.28544385837975594</v>
      </c>
      <c r="BT36" s="18">
        <v>0.24873964696120865</v>
      </c>
      <c r="BU36" s="18">
        <v>0.23457077614404598</v>
      </c>
      <c r="BV36" s="18">
        <v>0.26196801724185692</v>
      </c>
      <c r="BW36" s="18">
        <v>0.37721106066244436</v>
      </c>
      <c r="BX36" s="18">
        <v>0.33693738334468026</v>
      </c>
      <c r="BY36" s="18">
        <v>0.19905262106849628</v>
      </c>
      <c r="BZ36" s="18">
        <v>0.23066059800781771</v>
      </c>
      <c r="CA36" s="18">
        <v>0.2110312041860212</v>
      </c>
      <c r="CB36" s="18">
        <v>0.18324746123665328</v>
      </c>
      <c r="CC36" s="18">
        <v>2.8186163551357241E-2</v>
      </c>
      <c r="CD36" s="18">
        <v>0.28836866062588234</v>
      </c>
      <c r="CE36" s="18">
        <v>0.26455724213322868</v>
      </c>
      <c r="CF36" s="18">
        <v>5.1249118055166805E-2</v>
      </c>
      <c r="CG36" s="18">
        <v>0.24254302276339029</v>
      </c>
      <c r="CH36" s="18">
        <v>0.10209486726781808</v>
      </c>
      <c r="CI36" s="18">
        <v>0.1036713365941012</v>
      </c>
      <c r="CJ36" s="18">
        <v>5.3341641365428474E-2</v>
      </c>
      <c r="CK36" s="18">
        <v>0.27703712796284863</v>
      </c>
      <c r="CL36" s="18">
        <v>0.23853991229890623</v>
      </c>
      <c r="CM36" s="18">
        <v>5.1545917224347024E-2</v>
      </c>
      <c r="CN36" s="19">
        <v>0.24476035147222083</v>
      </c>
    </row>
    <row r="37" spans="1:92" x14ac:dyDescent="0.2">
      <c r="A37" s="2" t="s">
        <v>80</v>
      </c>
      <c r="B37" s="2">
        <v>3</v>
      </c>
      <c r="C37" s="2">
        <v>4</v>
      </c>
      <c r="D37" s="2">
        <v>4</v>
      </c>
      <c r="E37" s="2">
        <v>3</v>
      </c>
      <c r="F37" s="2">
        <v>2</v>
      </c>
      <c r="G37" s="2">
        <v>2</v>
      </c>
      <c r="H37" s="2">
        <v>3</v>
      </c>
      <c r="I37" s="2">
        <v>2</v>
      </c>
      <c r="J37" s="2">
        <v>3</v>
      </c>
      <c r="K37" s="2">
        <v>2</v>
      </c>
      <c r="L37" s="2">
        <v>4</v>
      </c>
      <c r="M37" s="2">
        <v>4</v>
      </c>
      <c r="N37" s="2">
        <v>5</v>
      </c>
      <c r="O37" s="2">
        <v>5</v>
      </c>
      <c r="P37" s="2">
        <v>5</v>
      </c>
      <c r="Q37" s="2">
        <v>4</v>
      </c>
      <c r="R37" s="2">
        <v>4</v>
      </c>
      <c r="S37" s="2">
        <v>3</v>
      </c>
      <c r="T37" s="2">
        <v>5</v>
      </c>
      <c r="U37" s="2">
        <v>5</v>
      </c>
      <c r="V37" s="2">
        <v>5</v>
      </c>
      <c r="W37" s="2">
        <v>5</v>
      </c>
      <c r="X37" s="2">
        <v>4</v>
      </c>
      <c r="Y37" s="2">
        <v>5</v>
      </c>
      <c r="Z37" s="2">
        <v>3</v>
      </c>
      <c r="AA37" s="2">
        <v>4</v>
      </c>
      <c r="AB37" s="2">
        <v>5</v>
      </c>
      <c r="AC37" s="2">
        <v>2</v>
      </c>
      <c r="AD37" s="2">
        <v>4</v>
      </c>
      <c r="AE37" s="2">
        <v>5</v>
      </c>
      <c r="AF37" s="2">
        <v>5</v>
      </c>
      <c r="AG37" s="2">
        <v>4</v>
      </c>
      <c r="AH37" s="2">
        <v>5</v>
      </c>
      <c r="AI37" s="2">
        <v>5</v>
      </c>
      <c r="AJ37" s="2">
        <v>4</v>
      </c>
      <c r="AK37" s="2">
        <v>5</v>
      </c>
      <c r="AL37" s="2">
        <v>3</v>
      </c>
      <c r="AM37" s="2">
        <v>5</v>
      </c>
      <c r="AN37" s="2">
        <v>5</v>
      </c>
      <c r="AO37" s="2">
        <v>5</v>
      </c>
      <c r="AP37" s="2">
        <v>5</v>
      </c>
      <c r="AQ37" s="2">
        <v>2</v>
      </c>
      <c r="AR37" s="2">
        <v>2</v>
      </c>
      <c r="AS37" s="2">
        <v>5</v>
      </c>
      <c r="AT37" s="2"/>
      <c r="AU37" s="2"/>
      <c r="AV37" s="2" t="str">
        <v>18.Increase in salaries of skilled laborers</v>
      </c>
      <c r="AW37" s="10">
        <v>0.24363399174815661</v>
      </c>
      <c r="AX37" s="11">
        <v>8.4895220763499243E-2</v>
      </c>
      <c r="AY37" s="11">
        <v>0.26726904164226561</v>
      </c>
      <c r="AZ37" s="18">
        <v>0.26314516135692179</v>
      </c>
      <c r="BA37" s="18">
        <v>0.3556823660540589</v>
      </c>
      <c r="BB37" s="18">
        <v>0.21119624640557641</v>
      </c>
      <c r="BC37" s="18">
        <v>0.22124729303101467</v>
      </c>
      <c r="BD37" s="18">
        <v>0.36616304656585696</v>
      </c>
      <c r="BE37" s="18">
        <v>0.23823283517477084</v>
      </c>
      <c r="BF37" s="18">
        <v>0.32940562241263588</v>
      </c>
      <c r="BG37" s="18">
        <v>0.22481112913165346</v>
      </c>
      <c r="BH37" s="18">
        <v>0.30495270106856232</v>
      </c>
      <c r="BI37" s="18">
        <v>0.21860986526674922</v>
      </c>
      <c r="BJ37" s="18">
        <v>0.23240281917141511</v>
      </c>
      <c r="BK37" s="18">
        <v>6.8931263005751184E-2</v>
      </c>
      <c r="BL37" s="18">
        <v>0.31478732935114351</v>
      </c>
      <c r="BM37" s="18">
        <v>0.15480493808802279</v>
      </c>
      <c r="BN37" s="18">
        <v>1.0000000000000002</v>
      </c>
      <c r="BO37" s="18">
        <v>0.1333768116769784</v>
      </c>
      <c r="BP37" s="18">
        <v>5.7504006508783942E-2</v>
      </c>
      <c r="BQ37" s="18">
        <v>6.1416339488286446E-2</v>
      </c>
      <c r="BR37" s="18">
        <v>0.34495499776805727</v>
      </c>
      <c r="BS37" s="18">
        <v>0.10873979003881061</v>
      </c>
      <c r="BT37" s="18">
        <v>-9.2954781651237786E-3</v>
      </c>
      <c r="BU37" s="18">
        <v>9.0361401416349865E-2</v>
      </c>
      <c r="BV37" s="18">
        <v>0.41458490277603133</v>
      </c>
      <c r="BW37" s="18">
        <v>8.9300772925166208E-2</v>
      </c>
      <c r="BX37" s="18">
        <v>0.38728767042979184</v>
      </c>
      <c r="BY37" s="18">
        <v>0.25345979298529731</v>
      </c>
      <c r="BZ37" s="18">
        <v>0.14825439737851265</v>
      </c>
      <c r="CA37" s="18">
        <v>0.32534786658693349</v>
      </c>
      <c r="CB37" s="18">
        <v>0.20901208070720939</v>
      </c>
      <c r="CC37" s="18">
        <v>0.19006677445315637</v>
      </c>
      <c r="CD37" s="18">
        <v>0.23473202558984813</v>
      </c>
      <c r="CE37" s="18">
        <v>0.11802633945632569</v>
      </c>
      <c r="CF37" s="18">
        <v>2.4623459027365954E-2</v>
      </c>
      <c r="CG37" s="18">
        <v>7.9529826165219517E-2</v>
      </c>
      <c r="CH37" s="18">
        <v>0.22965705547036247</v>
      </c>
      <c r="CI37" s="18">
        <v>0.29734133531686507</v>
      </c>
      <c r="CJ37" s="18">
        <v>0.26541501106452797</v>
      </c>
      <c r="CK37" s="18">
        <v>0.10936286875917021</v>
      </c>
      <c r="CL37" s="18">
        <v>0.23572017703905426</v>
      </c>
      <c r="CM37" s="18">
        <v>0.17053677161517922</v>
      </c>
      <c r="CN37" s="19">
        <v>0.19879437629420033</v>
      </c>
    </row>
    <row r="38" spans="1:92" x14ac:dyDescent="0.2">
      <c r="A38" s="2" t="s">
        <v>81</v>
      </c>
      <c r="B38" s="2">
        <v>4</v>
      </c>
      <c r="C38" s="2">
        <v>3</v>
      </c>
      <c r="D38" s="2">
        <v>1</v>
      </c>
      <c r="E38" s="2">
        <v>3</v>
      </c>
      <c r="F38" s="2">
        <v>1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2">
        <v>3</v>
      </c>
      <c r="N38" s="2">
        <v>3</v>
      </c>
      <c r="O38" s="2">
        <v>3</v>
      </c>
      <c r="P38" s="2">
        <v>3</v>
      </c>
      <c r="Q38" s="2">
        <v>2</v>
      </c>
      <c r="R38" s="2">
        <v>4</v>
      </c>
      <c r="S38" s="2">
        <v>2</v>
      </c>
      <c r="T38" s="2">
        <v>3</v>
      </c>
      <c r="U38" s="2">
        <v>3</v>
      </c>
      <c r="V38" s="2">
        <v>1</v>
      </c>
      <c r="W38" s="2">
        <v>2</v>
      </c>
      <c r="X38" s="2">
        <v>3</v>
      </c>
      <c r="Y38" s="2">
        <v>4</v>
      </c>
      <c r="Z38" s="2">
        <v>3</v>
      </c>
      <c r="AA38" s="2">
        <v>2</v>
      </c>
      <c r="AB38" s="2">
        <v>3</v>
      </c>
      <c r="AC38" s="2">
        <v>4</v>
      </c>
      <c r="AD38" s="2">
        <v>5</v>
      </c>
      <c r="AE38" s="2">
        <v>2</v>
      </c>
      <c r="AF38" s="2">
        <v>3</v>
      </c>
      <c r="AG38" s="2">
        <v>3</v>
      </c>
      <c r="AH38" s="2">
        <v>2</v>
      </c>
      <c r="AI38" s="2">
        <v>3</v>
      </c>
      <c r="AJ38" s="2">
        <v>5</v>
      </c>
      <c r="AK38" s="2">
        <v>4</v>
      </c>
      <c r="AL38" s="2">
        <v>2</v>
      </c>
      <c r="AM38" s="2">
        <v>3</v>
      </c>
      <c r="AN38" s="2">
        <v>3</v>
      </c>
      <c r="AO38" s="2">
        <v>3</v>
      </c>
      <c r="AP38" s="2">
        <v>3</v>
      </c>
      <c r="AQ38" s="2">
        <v>2</v>
      </c>
      <c r="AR38" s="2">
        <v>2</v>
      </c>
      <c r="AS38" s="2">
        <v>4</v>
      </c>
      <c r="AT38" s="2"/>
      <c r="AU38" s="2"/>
      <c r="AV38" s="2" t="str">
        <v>19.Change design</v>
      </c>
      <c r="AW38" s="10">
        <v>0.15312010809324861</v>
      </c>
      <c r="AX38" s="11">
        <v>0.30389858546862425</v>
      </c>
      <c r="AY38" s="11">
        <v>0.26512286615170233</v>
      </c>
      <c r="AZ38" s="18">
        <v>0.21229897758779132</v>
      </c>
      <c r="BA38" s="18">
        <v>0.46703831108150407</v>
      </c>
      <c r="BB38" s="18">
        <v>0.3734714286496677</v>
      </c>
      <c r="BC38" s="18">
        <v>0.42465379739437353</v>
      </c>
      <c r="BD38" s="18">
        <v>0.34384082805174038</v>
      </c>
      <c r="BE38" s="18">
        <v>0.46395688785983086</v>
      </c>
      <c r="BF38" s="18">
        <v>0.20127357965532544</v>
      </c>
      <c r="BG38" s="18">
        <v>0.36769275488358444</v>
      </c>
      <c r="BH38" s="18">
        <v>0.43986100859452287</v>
      </c>
      <c r="BI38" s="18">
        <v>0.39971883948347442</v>
      </c>
      <c r="BJ38" s="18">
        <v>0.19171336858751306</v>
      </c>
      <c r="BK38" s="18">
        <v>0.21126061132995738</v>
      </c>
      <c r="BL38" s="18">
        <v>0.42868639708577216</v>
      </c>
      <c r="BM38" s="18">
        <v>5.0193849672201675E-2</v>
      </c>
      <c r="BN38" s="18">
        <v>0.1333768116769784</v>
      </c>
      <c r="BO38" s="18">
        <v>1.0000000000000004</v>
      </c>
      <c r="BP38" s="18">
        <v>0.6925239307357387</v>
      </c>
      <c r="BQ38" s="18">
        <v>0.60029805894406008</v>
      </c>
      <c r="BR38" s="18">
        <v>0.35376263789983625</v>
      </c>
      <c r="BS38" s="18">
        <v>0.30444961083370192</v>
      </c>
      <c r="BT38" s="18">
        <v>0.19074638414485251</v>
      </c>
      <c r="BU38" s="18">
        <v>0.41859162032475178</v>
      </c>
      <c r="BV38" s="18">
        <v>0.31627741025665912</v>
      </c>
      <c r="BW38" s="18">
        <v>0.37732482017324764</v>
      </c>
      <c r="BX38" s="18">
        <v>0.18677285550929792</v>
      </c>
      <c r="BY38" s="18">
        <v>0.10641208023243272</v>
      </c>
      <c r="BZ38" s="18">
        <v>0.13606750167391551</v>
      </c>
      <c r="CA38" s="18">
        <v>0.18685640386794083</v>
      </c>
      <c r="CB38" s="18">
        <v>0.43514685784520685</v>
      </c>
      <c r="CC38" s="18">
        <v>0.17067162573423808</v>
      </c>
      <c r="CD38" s="18">
        <v>0.37575836318036315</v>
      </c>
      <c r="CE38" s="18">
        <v>0.33442412760555135</v>
      </c>
      <c r="CF38" s="18">
        <v>0.22692063139041907</v>
      </c>
      <c r="CG38" s="18">
        <v>0.12572012498399729</v>
      </c>
      <c r="CH38" s="18">
        <v>0.23190827474327175</v>
      </c>
      <c r="CI38" s="18">
        <v>0.30495657435311291</v>
      </c>
      <c r="CJ38" s="18">
        <v>0.2844385446820738</v>
      </c>
      <c r="CK38" s="18">
        <v>0.3061941063294587</v>
      </c>
      <c r="CL38" s="18">
        <v>0.25958732167531989</v>
      </c>
      <c r="CM38" s="18">
        <v>0.21124925280976067</v>
      </c>
      <c r="CN38" s="19">
        <v>0.15054475852982718</v>
      </c>
    </row>
    <row r="39" spans="1:92" x14ac:dyDescent="0.2">
      <c r="A39" s="2" t="s">
        <v>82</v>
      </c>
      <c r="B39" s="2">
        <v>4</v>
      </c>
      <c r="C39" s="2">
        <v>3</v>
      </c>
      <c r="D39" s="2">
        <v>3</v>
      </c>
      <c r="E39" s="2">
        <v>3</v>
      </c>
      <c r="F39" s="2">
        <v>3</v>
      </c>
      <c r="G39" s="2">
        <v>5</v>
      </c>
      <c r="H39" s="2">
        <v>5</v>
      </c>
      <c r="I39" s="2">
        <v>5</v>
      </c>
      <c r="J39" s="2">
        <v>5</v>
      </c>
      <c r="K39" s="2">
        <v>5</v>
      </c>
      <c r="L39" s="2">
        <v>4</v>
      </c>
      <c r="M39" s="2">
        <v>4</v>
      </c>
      <c r="N39" s="2">
        <v>4</v>
      </c>
      <c r="O39" s="2">
        <v>2</v>
      </c>
      <c r="P39" s="2">
        <v>2</v>
      </c>
      <c r="Q39" s="2">
        <v>3</v>
      </c>
      <c r="R39" s="2">
        <v>3</v>
      </c>
      <c r="S39" s="2">
        <v>3</v>
      </c>
      <c r="T39" s="2">
        <v>3</v>
      </c>
      <c r="U39" s="2">
        <v>2</v>
      </c>
      <c r="V39" s="2">
        <v>2</v>
      </c>
      <c r="W39" s="2">
        <v>4</v>
      </c>
      <c r="X39" s="2">
        <v>3</v>
      </c>
      <c r="Y39" s="2">
        <v>2</v>
      </c>
      <c r="Z39" s="2">
        <v>3</v>
      </c>
      <c r="AA39" s="2">
        <v>4</v>
      </c>
      <c r="AB39" s="2">
        <v>4</v>
      </c>
      <c r="AC39" s="2">
        <v>4</v>
      </c>
      <c r="AD39" s="2">
        <v>4</v>
      </c>
      <c r="AE39" s="2">
        <v>3</v>
      </c>
      <c r="AF39" s="2">
        <v>4</v>
      </c>
      <c r="AG39" s="2">
        <v>4</v>
      </c>
      <c r="AH39" s="2">
        <v>3</v>
      </c>
      <c r="AI39" s="2">
        <v>4</v>
      </c>
      <c r="AJ39" s="2">
        <v>4</v>
      </c>
      <c r="AK39" s="2">
        <v>5</v>
      </c>
      <c r="AL39" s="2">
        <v>3</v>
      </c>
      <c r="AM39" s="2">
        <v>5</v>
      </c>
      <c r="AN39" s="2">
        <v>3</v>
      </c>
      <c r="AO39" s="2">
        <v>3</v>
      </c>
      <c r="AP39" s="2">
        <v>4</v>
      </c>
      <c r="AQ39" s="2">
        <v>3</v>
      </c>
      <c r="AR39" s="2">
        <v>2</v>
      </c>
      <c r="AS39" s="2">
        <v>4</v>
      </c>
      <c r="AT39" s="2"/>
      <c r="AU39" s="2"/>
      <c r="AV39" s="2" t="str">
        <v>20.Errors and omission in design</v>
      </c>
      <c r="AW39" s="10">
        <v>7.4863106763196602E-2</v>
      </c>
      <c r="AX39" s="11">
        <v>0.22194722053336824</v>
      </c>
      <c r="AY39" s="11">
        <v>8.9193244865738666E-2</v>
      </c>
      <c r="AZ39" s="18">
        <v>0.15337641271058206</v>
      </c>
      <c r="BA39" s="18">
        <v>0.43744610561992908</v>
      </c>
      <c r="BB39" s="18">
        <v>0.1829700451810142</v>
      </c>
      <c r="BC39" s="18">
        <v>0.23178276817119142</v>
      </c>
      <c r="BD39" s="18">
        <v>0.20506996582973921</v>
      </c>
      <c r="BE39" s="18">
        <v>0.35478672197691163</v>
      </c>
      <c r="BF39" s="18">
        <v>0.2315342428080259</v>
      </c>
      <c r="BG39" s="18">
        <v>0.29258401834006453</v>
      </c>
      <c r="BH39" s="18">
        <v>0.24923862965210078</v>
      </c>
      <c r="BI39" s="18">
        <v>0.2369580149927103</v>
      </c>
      <c r="BJ39" s="18">
        <v>0.15994868406506296</v>
      </c>
      <c r="BK39" s="18">
        <v>0.33048989342460783</v>
      </c>
      <c r="BL39" s="18">
        <v>0.44854661481742614</v>
      </c>
      <c r="BM39" s="18">
        <v>0.17444656742119416</v>
      </c>
      <c r="BN39" s="18">
        <v>5.7504006508783942E-2</v>
      </c>
      <c r="BO39" s="18">
        <v>0.6925239307357387</v>
      </c>
      <c r="BP39" s="18">
        <v>0.99999999999999956</v>
      </c>
      <c r="BQ39" s="18">
        <v>0.63646507024115029</v>
      </c>
      <c r="BR39" s="18">
        <v>0.322838447771089</v>
      </c>
      <c r="BS39" s="18">
        <v>0.54431047024141255</v>
      </c>
      <c r="BT39" s="18">
        <v>0.26149529967331681</v>
      </c>
      <c r="BU39" s="18">
        <v>0.51568726310934188</v>
      </c>
      <c r="BV39" s="18">
        <v>0.36547774591779708</v>
      </c>
      <c r="BW39" s="18">
        <v>0.44249101130582869</v>
      </c>
      <c r="BX39" s="18">
        <v>0.30512113120589429</v>
      </c>
      <c r="BY39" s="18">
        <v>0.13949400557628014</v>
      </c>
      <c r="BZ39" s="18">
        <v>0.13506069368415888</v>
      </c>
      <c r="CA39" s="18">
        <v>0.2902180322192362</v>
      </c>
      <c r="CB39" s="18">
        <v>0.51235096127155488</v>
      </c>
      <c r="CC39" s="18">
        <v>7.6335167230509163E-2</v>
      </c>
      <c r="CD39" s="18">
        <v>0.38999347491980585</v>
      </c>
      <c r="CE39" s="18">
        <v>0.35574981856890464</v>
      </c>
      <c r="CF39" s="18">
        <v>0.22883134153056006</v>
      </c>
      <c r="CG39" s="18">
        <v>0.11356799508621057</v>
      </c>
      <c r="CH39" s="18">
        <v>7.4349359051442646E-2</v>
      </c>
      <c r="CI39" s="18">
        <v>0.10039959033955644</v>
      </c>
      <c r="CJ39" s="18">
        <v>0.15764961523774443</v>
      </c>
      <c r="CK39" s="18">
        <v>0.24806589536209045</v>
      </c>
      <c r="CL39" s="18">
        <v>0.42926299453349503</v>
      </c>
      <c r="CM39" s="18">
        <v>0.23187365177171701</v>
      </c>
      <c r="CN39" s="19">
        <v>0.1321004763198424</v>
      </c>
    </row>
    <row r="40" spans="1:92" x14ac:dyDescent="0.2">
      <c r="A40" s="2" t="s">
        <v>83</v>
      </c>
      <c r="B40" s="2">
        <v>3</v>
      </c>
      <c r="C40" s="2">
        <v>5</v>
      </c>
      <c r="D40" s="2">
        <v>2</v>
      </c>
      <c r="E40" s="2">
        <v>2</v>
      </c>
      <c r="F40" s="2">
        <v>3</v>
      </c>
      <c r="G40" s="2">
        <v>2</v>
      </c>
      <c r="H40" s="2">
        <v>3</v>
      </c>
      <c r="I40" s="2">
        <v>2</v>
      </c>
      <c r="J40" s="2">
        <v>2</v>
      </c>
      <c r="K40" s="2">
        <v>3</v>
      </c>
      <c r="L40" s="2">
        <v>3</v>
      </c>
      <c r="M40" s="2">
        <v>2</v>
      </c>
      <c r="N40" s="2">
        <v>2</v>
      </c>
      <c r="O40" s="2">
        <v>5</v>
      </c>
      <c r="P40" s="2">
        <v>4</v>
      </c>
      <c r="Q40" s="2">
        <v>4</v>
      </c>
      <c r="R40" s="2">
        <v>5</v>
      </c>
      <c r="S40" s="2">
        <v>2</v>
      </c>
      <c r="T40" s="2">
        <v>5</v>
      </c>
      <c r="U40" s="2">
        <v>4</v>
      </c>
      <c r="V40" s="2">
        <v>4</v>
      </c>
      <c r="W40" s="2">
        <v>4</v>
      </c>
      <c r="X40" s="2">
        <v>4</v>
      </c>
      <c r="Y40" s="2">
        <v>3</v>
      </c>
      <c r="Z40" s="2">
        <v>4</v>
      </c>
      <c r="AA40" s="2">
        <v>3</v>
      </c>
      <c r="AB40" s="2">
        <v>4</v>
      </c>
      <c r="AC40" s="2">
        <v>4</v>
      </c>
      <c r="AD40" s="2">
        <v>4</v>
      </c>
      <c r="AE40" s="2">
        <v>4</v>
      </c>
      <c r="AF40" s="2">
        <v>3</v>
      </c>
      <c r="AG40" s="2">
        <v>3</v>
      </c>
      <c r="AH40" s="2">
        <v>5</v>
      </c>
      <c r="AI40" s="2">
        <v>3</v>
      </c>
      <c r="AJ40" s="2">
        <v>4</v>
      </c>
      <c r="AK40" s="2">
        <v>4</v>
      </c>
      <c r="AL40" s="2">
        <v>5</v>
      </c>
      <c r="AM40" s="2">
        <v>4</v>
      </c>
      <c r="AN40" s="2">
        <v>5</v>
      </c>
      <c r="AO40" s="2">
        <v>4</v>
      </c>
      <c r="AP40" s="2">
        <v>3</v>
      </c>
      <c r="AQ40" s="2">
        <v>3</v>
      </c>
      <c r="AR40" s="2">
        <v>3</v>
      </c>
      <c r="AS40" s="2">
        <v>5</v>
      </c>
      <c r="AT40" s="2"/>
      <c r="AU40" s="2"/>
      <c r="AV40" s="2" t="str">
        <v>21.Incomplete design drawings and specifications at tendering stage</v>
      </c>
      <c r="AW40" s="10">
        <v>2.9097402389033987E-2</v>
      </c>
      <c r="AX40" s="11">
        <v>4.429562455056258E-2</v>
      </c>
      <c r="AY40" s="11">
        <v>0.13105702098372252</v>
      </c>
      <c r="AZ40" s="18">
        <v>0.11067493430201941</v>
      </c>
      <c r="BA40" s="18">
        <v>0.410275396523887</v>
      </c>
      <c r="BB40" s="18">
        <v>9.4956688419694582E-2</v>
      </c>
      <c r="BC40" s="18">
        <v>0.15481057250465563</v>
      </c>
      <c r="BD40" s="18">
        <v>9.2432168772883808E-2</v>
      </c>
      <c r="BE40" s="18">
        <v>0.18294650530195664</v>
      </c>
      <c r="BF40" s="18">
        <v>0.19579003120580385</v>
      </c>
      <c r="BG40" s="18">
        <v>0.27494397728023862</v>
      </c>
      <c r="BH40" s="18">
        <v>0.30251342131890596</v>
      </c>
      <c r="BI40" s="18">
        <v>0.26847130945942832</v>
      </c>
      <c r="BJ40" s="18">
        <v>0.27354979552555442</v>
      </c>
      <c r="BK40" s="18">
        <v>0.43699911034329597</v>
      </c>
      <c r="BL40" s="18">
        <v>0.44706864217088998</v>
      </c>
      <c r="BM40" s="18">
        <v>0.2890833732138926</v>
      </c>
      <c r="BN40" s="18">
        <v>6.1416339488286446E-2</v>
      </c>
      <c r="BO40" s="18">
        <v>0.60029805894406008</v>
      </c>
      <c r="BP40" s="18">
        <v>0.63646507024115029</v>
      </c>
      <c r="BQ40" s="18">
        <v>1</v>
      </c>
      <c r="BR40" s="18">
        <v>0.47962266726856678</v>
      </c>
      <c r="BS40" s="18">
        <v>0.44224675366034982</v>
      </c>
      <c r="BT40" s="18">
        <v>0.19795550156853145</v>
      </c>
      <c r="BU40" s="18">
        <v>0.37900698684415757</v>
      </c>
      <c r="BV40" s="18">
        <v>0.45025802636555101</v>
      </c>
      <c r="BW40" s="18">
        <v>0.5008311668984966</v>
      </c>
      <c r="BX40" s="18">
        <v>0.3685722388346378</v>
      </c>
      <c r="BY40" s="18">
        <v>0.18145129683751757</v>
      </c>
      <c r="BZ40" s="18">
        <v>0.19377540366042689</v>
      </c>
      <c r="CA40" s="18">
        <v>0.29763818588114133</v>
      </c>
      <c r="CB40" s="18">
        <v>0.35897262409549979</v>
      </c>
      <c r="CC40" s="18">
        <v>-7.3257485508186624E-3</v>
      </c>
      <c r="CD40" s="18">
        <v>0.34208947049993926</v>
      </c>
      <c r="CE40" s="18">
        <v>0.23896690201459406</v>
      </c>
      <c r="CF40" s="18">
        <v>-4.630469222794948E-2</v>
      </c>
      <c r="CG40" s="18">
        <v>0.18265116052714045</v>
      </c>
      <c r="CH40" s="18">
        <v>0.37679885529686485</v>
      </c>
      <c r="CI40" s="18">
        <v>0.32803092883649421</v>
      </c>
      <c r="CJ40" s="18">
        <v>0.37396953890245416</v>
      </c>
      <c r="CK40" s="18">
        <v>0.27051575291184049</v>
      </c>
      <c r="CL40" s="18">
        <v>0.29715880419871549</v>
      </c>
      <c r="CM40" s="18">
        <v>0.19965882107591346</v>
      </c>
      <c r="CN40" s="19">
        <v>8.872387171339674E-2</v>
      </c>
    </row>
    <row r="41" spans="1:92" x14ac:dyDescent="0.2">
      <c r="A41" s="2" t="s">
        <v>84</v>
      </c>
      <c r="B41" s="2">
        <v>4</v>
      </c>
      <c r="C41" s="2">
        <v>3</v>
      </c>
      <c r="D41" s="2">
        <v>1</v>
      </c>
      <c r="E41" s="2">
        <v>3</v>
      </c>
      <c r="F41" s="2">
        <v>1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3</v>
      </c>
      <c r="N41" s="2">
        <v>3</v>
      </c>
      <c r="O41" s="2">
        <v>3</v>
      </c>
      <c r="P41" s="2">
        <v>3</v>
      </c>
      <c r="Q41" s="2">
        <v>2</v>
      </c>
      <c r="R41" s="2">
        <v>4</v>
      </c>
      <c r="S41" s="2">
        <v>2</v>
      </c>
      <c r="T41" s="2">
        <v>3</v>
      </c>
      <c r="U41" s="2">
        <v>3</v>
      </c>
      <c r="V41" s="2">
        <v>1</v>
      </c>
      <c r="W41" s="2">
        <v>2</v>
      </c>
      <c r="X41" s="2">
        <v>3</v>
      </c>
      <c r="Y41" s="2">
        <v>4</v>
      </c>
      <c r="Z41" s="2">
        <v>3</v>
      </c>
      <c r="AA41" s="2">
        <v>2</v>
      </c>
      <c r="AB41" s="2">
        <v>3</v>
      </c>
      <c r="AC41" s="2">
        <v>3</v>
      </c>
      <c r="AD41" s="2">
        <v>4</v>
      </c>
      <c r="AE41" s="2">
        <v>5</v>
      </c>
      <c r="AF41" s="2">
        <v>2</v>
      </c>
      <c r="AG41" s="2">
        <v>3</v>
      </c>
      <c r="AH41" s="2">
        <v>3</v>
      </c>
      <c r="AI41" s="2">
        <v>2</v>
      </c>
      <c r="AJ41" s="2">
        <v>3</v>
      </c>
      <c r="AK41" s="2">
        <v>5</v>
      </c>
      <c r="AL41" s="2">
        <v>4</v>
      </c>
      <c r="AM41" s="2">
        <v>2</v>
      </c>
      <c r="AN41" s="2">
        <v>3</v>
      </c>
      <c r="AO41" s="2">
        <v>3</v>
      </c>
      <c r="AP41" s="2">
        <v>3</v>
      </c>
      <c r="AQ41" s="2">
        <v>2</v>
      </c>
      <c r="AR41" s="2">
        <v>2</v>
      </c>
      <c r="AS41" s="2">
        <v>4</v>
      </c>
      <c r="AT41" s="2"/>
      <c r="AU41" s="2"/>
      <c r="AV41" s="2" t="str">
        <v>22.Delay in preparation and approval of drawing</v>
      </c>
      <c r="AW41" s="10">
        <v>8.8645316204014613E-2</v>
      </c>
      <c r="AX41" s="11">
        <v>-4.3650104577710701E-2</v>
      </c>
      <c r="AY41" s="11">
        <v>2.300176492491084E-2</v>
      </c>
      <c r="AZ41" s="18">
        <v>3.5864695874838114E-2</v>
      </c>
      <c r="BA41" s="18">
        <v>0.28514938324516287</v>
      </c>
      <c r="BB41" s="18">
        <v>9.9698539947383119E-2</v>
      </c>
      <c r="BC41" s="18">
        <v>0.18700231312717611</v>
      </c>
      <c r="BD41" s="18">
        <v>0.11991890940109819</v>
      </c>
      <c r="BE41" s="18">
        <v>0.17538188718629474</v>
      </c>
      <c r="BF41" s="18">
        <v>0.19695434487176336</v>
      </c>
      <c r="BG41" s="18">
        <v>-1.7700304727899033E-2</v>
      </c>
      <c r="BH41" s="18">
        <v>0.22456387133679725</v>
      </c>
      <c r="BI41" s="18">
        <v>0.15264721916019944</v>
      </c>
      <c r="BJ41" s="18">
        <v>0.25675742193071011</v>
      </c>
      <c r="BK41" s="18">
        <v>0.27173050716064434</v>
      </c>
      <c r="BL41" s="18">
        <v>0.30448453901013506</v>
      </c>
      <c r="BM41" s="18">
        <v>0.26227375469424158</v>
      </c>
      <c r="BN41" s="18">
        <v>0.34495499776805727</v>
      </c>
      <c r="BO41" s="18">
        <v>0.35376263789983625</v>
      </c>
      <c r="BP41" s="18">
        <v>0.322838447771089</v>
      </c>
      <c r="BQ41" s="18">
        <v>0.47962266726856678</v>
      </c>
      <c r="BR41" s="18">
        <v>0.99999999999999856</v>
      </c>
      <c r="BS41" s="18">
        <v>0.4228854007796885</v>
      </c>
      <c r="BT41" s="18">
        <v>0.10694763734350218</v>
      </c>
      <c r="BU41" s="18">
        <v>0.40917587752620127</v>
      </c>
      <c r="BV41" s="18">
        <v>0.49305448706050903</v>
      </c>
      <c r="BW41" s="18">
        <v>0.39060539822311063</v>
      </c>
      <c r="BX41" s="18">
        <v>0.3220639664614921</v>
      </c>
      <c r="BY41" s="18">
        <v>0.26439969003808628</v>
      </c>
      <c r="BZ41" s="18">
        <v>0.30948956187941679</v>
      </c>
      <c r="CA41" s="18">
        <v>0.34164842476022933</v>
      </c>
      <c r="CB41" s="18">
        <v>0.31345533546152038</v>
      </c>
      <c r="CC41" s="18">
        <v>0.10857146670642225</v>
      </c>
      <c r="CD41" s="18">
        <v>0.29594947879499378</v>
      </c>
      <c r="CE41" s="18">
        <v>0.29860909589651941</v>
      </c>
      <c r="CF41" s="18">
        <v>-3.6326811169536039E-2</v>
      </c>
      <c r="CG41" s="18">
        <v>9.9256934542721359E-2</v>
      </c>
      <c r="CH41" s="18">
        <v>0.38008410397927517</v>
      </c>
      <c r="CI41" s="18">
        <v>0.25953889755450993</v>
      </c>
      <c r="CJ41" s="18">
        <v>0.42294979053941945</v>
      </c>
      <c r="CK41" s="18">
        <v>0.16696830540829719</v>
      </c>
      <c r="CL41" s="18">
        <v>0.27508760124305243</v>
      </c>
      <c r="CM41" s="18">
        <v>3.3252555732136042E-2</v>
      </c>
      <c r="CN41" s="19">
        <v>0.24356351046722105</v>
      </c>
    </row>
    <row r="42" spans="1:92" x14ac:dyDescent="0.2">
      <c r="A42" s="2" t="s">
        <v>85</v>
      </c>
      <c r="B42" s="2">
        <v>4</v>
      </c>
      <c r="C42" s="2">
        <v>5</v>
      </c>
      <c r="D42" s="2">
        <v>3</v>
      </c>
      <c r="E42" s="2">
        <v>4</v>
      </c>
      <c r="F42" s="2">
        <v>4</v>
      </c>
      <c r="G42" s="2">
        <v>4</v>
      </c>
      <c r="H42" s="2">
        <v>5</v>
      </c>
      <c r="I42" s="2">
        <v>4</v>
      </c>
      <c r="J42" s="2">
        <v>4</v>
      </c>
      <c r="K42" s="2">
        <v>5</v>
      </c>
      <c r="L42" s="2">
        <v>4</v>
      </c>
      <c r="M42" s="2">
        <v>4</v>
      </c>
      <c r="N42" s="2">
        <v>4</v>
      </c>
      <c r="O42" s="2">
        <v>5</v>
      </c>
      <c r="P42" s="2">
        <v>5</v>
      </c>
      <c r="Q42" s="2">
        <v>5</v>
      </c>
      <c r="R42" s="2">
        <v>4</v>
      </c>
      <c r="S42" s="2">
        <v>3</v>
      </c>
      <c r="T42" s="2">
        <v>5</v>
      </c>
      <c r="U42" s="2">
        <v>4</v>
      </c>
      <c r="V42" s="2">
        <v>4</v>
      </c>
      <c r="W42" s="2">
        <v>4</v>
      </c>
      <c r="X42" s="2">
        <v>4</v>
      </c>
      <c r="Y42" s="2">
        <v>3</v>
      </c>
      <c r="Z42" s="2">
        <v>4</v>
      </c>
      <c r="AA42" s="2">
        <v>3</v>
      </c>
      <c r="AB42" s="2">
        <v>4</v>
      </c>
      <c r="AC42" s="2">
        <v>4</v>
      </c>
      <c r="AD42" s="2">
        <v>4</v>
      </c>
      <c r="AE42" s="2">
        <v>5</v>
      </c>
      <c r="AF42" s="2">
        <v>3</v>
      </c>
      <c r="AG42" s="2">
        <v>3</v>
      </c>
      <c r="AH42" s="2">
        <v>5</v>
      </c>
      <c r="AI42" s="2">
        <v>4</v>
      </c>
      <c r="AJ42" s="2">
        <v>3</v>
      </c>
      <c r="AK42" s="2">
        <v>4</v>
      </c>
      <c r="AL42" s="2">
        <v>5</v>
      </c>
      <c r="AM42" s="2">
        <v>3</v>
      </c>
      <c r="AN42" s="2">
        <v>5</v>
      </c>
      <c r="AO42" s="2">
        <v>4</v>
      </c>
      <c r="AP42" s="2">
        <v>4</v>
      </c>
      <c r="AQ42" s="2">
        <v>3</v>
      </c>
      <c r="AR42" s="2">
        <v>3</v>
      </c>
      <c r="AS42" s="2">
        <v>5</v>
      </c>
      <c r="AT42" s="2"/>
      <c r="AU42" s="2"/>
      <c r="AV42" s="2" t="str">
        <v>23.Inaccurate quantity take-off</v>
      </c>
      <c r="AW42" s="10">
        <v>-0.13842421962883372</v>
      </c>
      <c r="AX42" s="11">
        <v>1.5876543202133421E-2</v>
      </c>
      <c r="AY42" s="11">
        <v>4.5399312385831031E-2</v>
      </c>
      <c r="AZ42" s="18">
        <v>6.393324216342558E-2</v>
      </c>
      <c r="BA42" s="18">
        <v>0.34823484346144595</v>
      </c>
      <c r="BB42" s="18">
        <v>7.3539932496376637E-2</v>
      </c>
      <c r="BC42" s="18">
        <v>8.6875195001617972E-2</v>
      </c>
      <c r="BD42" s="18">
        <v>-5.2283291369030434E-2</v>
      </c>
      <c r="BE42" s="18">
        <v>0.26003469101138149</v>
      </c>
      <c r="BF42" s="18">
        <v>0.13571753820778548</v>
      </c>
      <c r="BG42" s="18">
        <v>0.10907588106723988</v>
      </c>
      <c r="BH42" s="18">
        <v>0.195930714717995</v>
      </c>
      <c r="BI42" s="18">
        <v>0.177981096977398</v>
      </c>
      <c r="BJ42" s="18">
        <v>-4.2102894280875887E-2</v>
      </c>
      <c r="BK42" s="18">
        <v>0.19887844627389087</v>
      </c>
      <c r="BL42" s="18">
        <v>0.40722774837819953</v>
      </c>
      <c r="BM42" s="18">
        <v>0.28544385837975594</v>
      </c>
      <c r="BN42" s="18">
        <v>0.10873979003881061</v>
      </c>
      <c r="BO42" s="18">
        <v>0.30444961083370192</v>
      </c>
      <c r="BP42" s="18">
        <v>0.54431047024141255</v>
      </c>
      <c r="BQ42" s="18">
        <v>0.44224675366034982</v>
      </c>
      <c r="BR42" s="18">
        <v>0.4228854007796885</v>
      </c>
      <c r="BS42" s="18">
        <v>0.99999999999999922</v>
      </c>
      <c r="BT42" s="18">
        <v>0.3489783472649457</v>
      </c>
      <c r="BU42" s="18">
        <v>0.44584973403263584</v>
      </c>
      <c r="BV42" s="18">
        <v>0.44634980087965348</v>
      </c>
      <c r="BW42" s="18">
        <v>0.41873051617104351</v>
      </c>
      <c r="BX42" s="18">
        <v>0.2302404390028667</v>
      </c>
      <c r="BY42" s="18">
        <v>0.14157421202497855</v>
      </c>
      <c r="BZ42" s="18">
        <v>7.9100643731110976E-2</v>
      </c>
      <c r="CA42" s="18">
        <v>0.32907356311866615</v>
      </c>
      <c r="CB42" s="18">
        <v>0.37540858299505592</v>
      </c>
      <c r="CC42" s="18">
        <v>-0.12901039053206581</v>
      </c>
      <c r="CD42" s="18">
        <v>0.22165995815070891</v>
      </c>
      <c r="CE42" s="18">
        <v>0.25942030259591886</v>
      </c>
      <c r="CF42" s="18">
        <v>0.24184366154812909</v>
      </c>
      <c r="CG42" s="18">
        <v>0.11920264802849138</v>
      </c>
      <c r="CH42" s="18">
        <v>8.6097802663021819E-2</v>
      </c>
      <c r="CI42" s="18">
        <v>4.5992036220415887E-2</v>
      </c>
      <c r="CJ42" s="18">
        <v>6.2054922691537361E-2</v>
      </c>
      <c r="CK42" s="18">
        <v>0.33469543735585128</v>
      </c>
      <c r="CL42" s="18">
        <v>0.3848270588322496</v>
      </c>
      <c r="CM42" s="18">
        <v>0.1946466945426478</v>
      </c>
      <c r="CN42" s="19">
        <v>-3.2812025317775724E-2</v>
      </c>
    </row>
    <row r="43" spans="1:92" x14ac:dyDescent="0.2">
      <c r="A43" s="2" t="s">
        <v>86</v>
      </c>
      <c r="B43" s="2">
        <v>4</v>
      </c>
      <c r="C43" s="2">
        <v>3</v>
      </c>
      <c r="D43" s="2">
        <v>1</v>
      </c>
      <c r="E43" s="2">
        <v>3</v>
      </c>
      <c r="F43" s="2">
        <v>1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3</v>
      </c>
      <c r="N43" s="2">
        <v>3</v>
      </c>
      <c r="O43" s="2">
        <v>3</v>
      </c>
      <c r="P43" s="2">
        <v>3</v>
      </c>
      <c r="Q43" s="2">
        <v>1</v>
      </c>
      <c r="R43" s="2">
        <v>2</v>
      </c>
      <c r="S43" s="2">
        <v>3</v>
      </c>
      <c r="T43" s="2">
        <v>3</v>
      </c>
      <c r="U43" s="2">
        <v>3</v>
      </c>
      <c r="V43" s="2">
        <v>1</v>
      </c>
      <c r="W43" s="2">
        <v>2</v>
      </c>
      <c r="X43" s="2">
        <v>3</v>
      </c>
      <c r="Y43" s="2">
        <v>4</v>
      </c>
      <c r="Z43" s="2">
        <v>3</v>
      </c>
      <c r="AA43" s="2">
        <v>2</v>
      </c>
      <c r="AB43" s="2">
        <v>3</v>
      </c>
      <c r="AC43" s="2">
        <v>3</v>
      </c>
      <c r="AD43" s="2">
        <v>4</v>
      </c>
      <c r="AE43" s="2">
        <v>5</v>
      </c>
      <c r="AF43" s="2">
        <v>2</v>
      </c>
      <c r="AG43" s="2">
        <v>3</v>
      </c>
      <c r="AH43" s="2">
        <v>3</v>
      </c>
      <c r="AI43" s="2">
        <v>2</v>
      </c>
      <c r="AJ43" s="2">
        <v>3</v>
      </c>
      <c r="AK43" s="2">
        <v>5</v>
      </c>
      <c r="AL43" s="2">
        <v>4</v>
      </c>
      <c r="AM43" s="2">
        <v>2</v>
      </c>
      <c r="AN43" s="2">
        <v>3</v>
      </c>
      <c r="AO43" s="2">
        <v>3</v>
      </c>
      <c r="AP43" s="2">
        <v>3</v>
      </c>
      <c r="AQ43" s="2">
        <v>2</v>
      </c>
      <c r="AR43" s="2">
        <v>2</v>
      </c>
      <c r="AS43" s="2">
        <v>4</v>
      </c>
      <c r="AT43" s="2"/>
      <c r="AU43" s="2"/>
      <c r="AV43" s="2" t="str">
        <v>24.Long period from planning of project to construction</v>
      </c>
      <c r="AW43" s="10">
        <v>-7.1165920050872175E-2</v>
      </c>
      <c r="AX43" s="11">
        <v>-5.1852467562269945E-2</v>
      </c>
      <c r="AY43" s="11">
        <v>0.10823926444609752</v>
      </c>
      <c r="AZ43" s="18">
        <v>-2.1610297514970858E-2</v>
      </c>
      <c r="BA43" s="18">
        <v>4.2098004440779067E-2</v>
      </c>
      <c r="BB43" s="18">
        <v>-5.93209243035423E-2</v>
      </c>
      <c r="BC43" s="18">
        <v>2.9888451862101682E-2</v>
      </c>
      <c r="BD43" s="18">
        <v>-8.6296849410826992E-2</v>
      </c>
      <c r="BE43" s="18">
        <v>4.0270073336204977E-2</v>
      </c>
      <c r="BF43" s="18">
        <v>-9.8454663979206949E-2</v>
      </c>
      <c r="BG43" s="18">
        <v>0.12968513557132905</v>
      </c>
      <c r="BH43" s="18">
        <v>8.9975512973586677E-2</v>
      </c>
      <c r="BI43" s="18">
        <v>0.14031131894867649</v>
      </c>
      <c r="BJ43" s="18">
        <v>8.2672108403279612E-2</v>
      </c>
      <c r="BK43" s="18">
        <v>0.13439679308579547</v>
      </c>
      <c r="BL43" s="18">
        <v>0.12351138319106697</v>
      </c>
      <c r="BM43" s="18">
        <v>0.24873964696120865</v>
      </c>
      <c r="BN43" s="18">
        <v>-9.2954781651237786E-3</v>
      </c>
      <c r="BO43" s="18">
        <v>0.19074638414485251</v>
      </c>
      <c r="BP43" s="18">
        <v>0.26149529967331681</v>
      </c>
      <c r="BQ43" s="18">
        <v>0.19795550156853145</v>
      </c>
      <c r="BR43" s="18">
        <v>0.10694763734350218</v>
      </c>
      <c r="BS43" s="18">
        <v>0.3489783472649457</v>
      </c>
      <c r="BT43" s="18">
        <v>1.0000000000000004</v>
      </c>
      <c r="BU43" s="18">
        <v>0.34377659536471611</v>
      </c>
      <c r="BV43" s="18">
        <v>0.17614420173467424</v>
      </c>
      <c r="BW43" s="18">
        <v>0.21569255526679429</v>
      </c>
      <c r="BX43" s="18">
        <v>2.7554522238842988E-2</v>
      </c>
      <c r="BY43" s="18">
        <v>0.14941093350239409</v>
      </c>
      <c r="BZ43" s="18">
        <v>0.21773609054538828</v>
      </c>
      <c r="CA43" s="18">
        <v>0.10907609481981997</v>
      </c>
      <c r="CB43" s="18">
        <v>3.722688375779093E-2</v>
      </c>
      <c r="CC43" s="18">
        <v>3.4995262865111294E-2</v>
      </c>
      <c r="CD43" s="18">
        <v>7.3232018400786525E-2</v>
      </c>
      <c r="CE43" s="18">
        <v>0.17153718713426816</v>
      </c>
      <c r="CF43" s="18">
        <v>0.17591331799620299</v>
      </c>
      <c r="CG43" s="18">
        <v>0.10228128046884251</v>
      </c>
      <c r="CH43" s="18">
        <v>0.10368708274662564</v>
      </c>
      <c r="CI43" s="18">
        <v>8.3910911760212717E-2</v>
      </c>
      <c r="CJ43" s="18">
        <v>-5.3285248564207653E-2</v>
      </c>
      <c r="CK43" s="18">
        <v>7.6822906005923328E-2</v>
      </c>
      <c r="CL43" s="18">
        <v>0.13530694256688708</v>
      </c>
      <c r="CM43" s="18">
        <v>0.14335962466425192</v>
      </c>
      <c r="CN43" s="19">
        <v>3.9510301694907851E-2</v>
      </c>
    </row>
    <row r="44" spans="1:92" x14ac:dyDescent="0.2">
      <c r="A44" s="2" t="s">
        <v>87</v>
      </c>
      <c r="B44" s="2">
        <v>4</v>
      </c>
      <c r="C44" s="2">
        <v>5</v>
      </c>
      <c r="D44" s="2">
        <v>3</v>
      </c>
      <c r="E44" s="2">
        <v>4</v>
      </c>
      <c r="F44" s="2">
        <v>4</v>
      </c>
      <c r="G44" s="2">
        <v>4</v>
      </c>
      <c r="H44" s="2">
        <v>5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5</v>
      </c>
      <c r="P44" s="2">
        <v>5</v>
      </c>
      <c r="Q44" s="2">
        <v>5</v>
      </c>
      <c r="R44" s="2">
        <v>4</v>
      </c>
      <c r="S44" s="2">
        <v>3</v>
      </c>
      <c r="T44" s="2">
        <v>5</v>
      </c>
      <c r="U44" s="2">
        <v>4</v>
      </c>
      <c r="V44" s="2">
        <v>4</v>
      </c>
      <c r="W44" s="2">
        <v>4</v>
      </c>
      <c r="X44" s="2">
        <v>4</v>
      </c>
      <c r="Y44" s="2">
        <v>3</v>
      </c>
      <c r="Z44" s="2">
        <v>4</v>
      </c>
      <c r="AA44" s="2">
        <v>3</v>
      </c>
      <c r="AB44" s="2">
        <v>4</v>
      </c>
      <c r="AC44" s="2">
        <v>4</v>
      </c>
      <c r="AD44" s="2">
        <v>4</v>
      </c>
      <c r="AE44" s="2">
        <v>4</v>
      </c>
      <c r="AF44" s="2">
        <v>4</v>
      </c>
      <c r="AG44" s="2">
        <v>4</v>
      </c>
      <c r="AH44" s="2">
        <v>1</v>
      </c>
      <c r="AI44" s="2">
        <v>2</v>
      </c>
      <c r="AJ44" s="2">
        <v>3</v>
      </c>
      <c r="AK44" s="2">
        <v>4</v>
      </c>
      <c r="AL44" s="2">
        <v>5</v>
      </c>
      <c r="AM44" s="2">
        <v>4</v>
      </c>
      <c r="AN44" s="2">
        <v>5</v>
      </c>
      <c r="AO44" s="2">
        <v>4</v>
      </c>
      <c r="AP44" s="2">
        <v>4</v>
      </c>
      <c r="AQ44" s="2">
        <v>3</v>
      </c>
      <c r="AR44" s="2">
        <v>3</v>
      </c>
      <c r="AS44" s="2">
        <v>5</v>
      </c>
      <c r="AT44" s="2"/>
      <c r="AU44" s="2"/>
      <c r="AV44" s="2" t="str">
        <v>25.Delays in issuing information to the contractor during construction stage</v>
      </c>
      <c r="AW44" s="10">
        <v>0.26341374600936401</v>
      </c>
      <c r="AX44" s="11">
        <v>0.23103417220807823</v>
      </c>
      <c r="AY44" s="11">
        <v>3.9961841240423797E-2</v>
      </c>
      <c r="AZ44" s="18">
        <v>0.30702043166478732</v>
      </c>
      <c r="BA44" s="18">
        <v>0.42633580271035632</v>
      </c>
      <c r="BB44" s="18">
        <v>0.40300069659917193</v>
      </c>
      <c r="BC44" s="18">
        <v>0.42442441930730263</v>
      </c>
      <c r="BD44" s="18">
        <v>0.35557468340140314</v>
      </c>
      <c r="BE44" s="18">
        <v>0.33770803012497091</v>
      </c>
      <c r="BF44" s="18">
        <v>0.27854467433977392</v>
      </c>
      <c r="BG44" s="18">
        <v>0.36693098134770535</v>
      </c>
      <c r="BH44" s="18">
        <v>0.30156259049229117</v>
      </c>
      <c r="BI44" s="18">
        <v>0.44929071694250566</v>
      </c>
      <c r="BJ44" s="18">
        <v>0.2519106471608189</v>
      </c>
      <c r="BK44" s="18">
        <v>0.3676312726692782</v>
      </c>
      <c r="BL44" s="18">
        <v>0.40136722738161845</v>
      </c>
      <c r="BM44" s="18">
        <v>0.23457077614404598</v>
      </c>
      <c r="BN44" s="18">
        <v>9.0361401416349865E-2</v>
      </c>
      <c r="BO44" s="18">
        <v>0.41859162032475178</v>
      </c>
      <c r="BP44" s="18">
        <v>0.51568726310934188</v>
      </c>
      <c r="BQ44" s="18">
        <v>0.37900698684415757</v>
      </c>
      <c r="BR44" s="18">
        <v>0.40917587752620127</v>
      </c>
      <c r="BS44" s="18">
        <v>0.44584973403263584</v>
      </c>
      <c r="BT44" s="18">
        <v>0.34377659536471611</v>
      </c>
      <c r="BU44" s="18">
        <v>0.99999999999999944</v>
      </c>
      <c r="BV44" s="18">
        <v>0.41175170772545749</v>
      </c>
      <c r="BW44" s="18">
        <v>0.60817367967177749</v>
      </c>
      <c r="BX44" s="18">
        <v>0.36971905558258195</v>
      </c>
      <c r="BY44" s="18">
        <v>0.42300332795184803</v>
      </c>
      <c r="BZ44" s="18">
        <v>0.36660042785266755</v>
      </c>
      <c r="CA44" s="18">
        <v>0.37483405800139286</v>
      </c>
      <c r="CB44" s="18">
        <v>0.41104315649204615</v>
      </c>
      <c r="CC44" s="18">
        <v>0.14273131016271454</v>
      </c>
      <c r="CD44" s="18">
        <v>0.43220898926461587</v>
      </c>
      <c r="CE44" s="18">
        <v>0.42507749853159066</v>
      </c>
      <c r="CF44" s="18">
        <v>0.22552973842412757</v>
      </c>
      <c r="CG44" s="18">
        <v>0.22181820032352015</v>
      </c>
      <c r="CH44" s="18">
        <v>0.11901255900718971</v>
      </c>
      <c r="CI44" s="18">
        <v>9.2694059799409145E-2</v>
      </c>
      <c r="CJ44" s="18">
        <v>6.7520844856706438E-2</v>
      </c>
      <c r="CK44" s="18">
        <v>0.16513224073918814</v>
      </c>
      <c r="CL44" s="18">
        <v>0.46650901283770607</v>
      </c>
      <c r="CM44" s="18">
        <v>0.227763954854627</v>
      </c>
      <c r="CN44" s="19">
        <v>0.32254182570281331</v>
      </c>
    </row>
    <row r="45" spans="1:92" x14ac:dyDescent="0.2">
      <c r="A45" s="2" t="s">
        <v>88</v>
      </c>
      <c r="B45" s="2">
        <v>4</v>
      </c>
      <c r="C45" s="2">
        <v>5</v>
      </c>
      <c r="D45" s="2">
        <v>3</v>
      </c>
      <c r="E45" s="2">
        <v>4</v>
      </c>
      <c r="F45" s="2">
        <v>4</v>
      </c>
      <c r="G45" s="2">
        <v>4</v>
      </c>
      <c r="H45" s="2">
        <v>5</v>
      </c>
      <c r="I45" s="2">
        <v>4</v>
      </c>
      <c r="J45" s="2">
        <v>4</v>
      </c>
      <c r="K45" s="2">
        <v>5</v>
      </c>
      <c r="L45" s="2">
        <v>4</v>
      </c>
      <c r="M45" s="2">
        <v>4</v>
      </c>
      <c r="N45" s="2">
        <v>4</v>
      </c>
      <c r="O45" s="2">
        <v>5</v>
      </c>
      <c r="P45" s="2">
        <v>5</v>
      </c>
      <c r="Q45" s="2">
        <v>5</v>
      </c>
      <c r="R45" s="2">
        <v>4</v>
      </c>
      <c r="S45" s="2">
        <v>3</v>
      </c>
      <c r="T45" s="2">
        <v>5</v>
      </c>
      <c r="U45" s="2">
        <v>4</v>
      </c>
      <c r="V45" s="2">
        <v>4</v>
      </c>
      <c r="W45" s="2">
        <v>4</v>
      </c>
      <c r="X45" s="2">
        <v>4</v>
      </c>
      <c r="Y45" s="2">
        <v>3</v>
      </c>
      <c r="Z45" s="2">
        <v>4</v>
      </c>
      <c r="AA45" s="2">
        <v>3</v>
      </c>
      <c r="AB45" s="2">
        <v>4</v>
      </c>
      <c r="AC45" s="2">
        <v>3</v>
      </c>
      <c r="AD45" s="2">
        <v>3</v>
      </c>
      <c r="AE45" s="2">
        <v>4</v>
      </c>
      <c r="AF45" s="2">
        <v>4</v>
      </c>
      <c r="AG45" s="2">
        <v>4</v>
      </c>
      <c r="AH45" s="3"/>
      <c r="AI45" s="2">
        <v>5</v>
      </c>
      <c r="AJ45" s="2">
        <v>4</v>
      </c>
      <c r="AK45" s="2">
        <v>3</v>
      </c>
      <c r="AL45" s="2">
        <v>4</v>
      </c>
      <c r="AM45" s="2">
        <v>5</v>
      </c>
      <c r="AN45" s="2">
        <v>4</v>
      </c>
      <c r="AO45" s="2">
        <v>5</v>
      </c>
      <c r="AP45" s="2">
        <v>3</v>
      </c>
      <c r="AQ45" s="2">
        <v>2</v>
      </c>
      <c r="AR45" s="2">
        <v>2</v>
      </c>
      <c r="AS45" s="2">
        <v>5</v>
      </c>
      <c r="AT45" s="2"/>
      <c r="AU45" s="2"/>
      <c r="AV45" s="2" t="str">
        <v>26.No practical use of earned value management system</v>
      </c>
      <c r="AW45" s="10">
        <v>0.15009705411989113</v>
      </c>
      <c r="AX45" s="11">
        <v>-4.2295417547679633E-2</v>
      </c>
      <c r="AY45" s="11">
        <v>0.25723953524354065</v>
      </c>
      <c r="AZ45" s="18">
        <v>0.26986624297807932</v>
      </c>
      <c r="BA45" s="18">
        <v>0.45419741900858818</v>
      </c>
      <c r="BB45" s="18">
        <v>0.25822928962288011</v>
      </c>
      <c r="BC45" s="18">
        <v>0.3247083646364371</v>
      </c>
      <c r="BD45" s="18">
        <v>0.33278266851874788</v>
      </c>
      <c r="BE45" s="18">
        <v>0.38057626030572733</v>
      </c>
      <c r="BF45" s="18">
        <v>0.35503723966590361</v>
      </c>
      <c r="BG45" s="18">
        <v>0.30922095635643027</v>
      </c>
      <c r="BH45" s="18">
        <v>0.38596100758022456</v>
      </c>
      <c r="BI45" s="18">
        <v>0.30465960081675192</v>
      </c>
      <c r="BJ45" s="18">
        <v>0.12585312394636758</v>
      </c>
      <c r="BK45" s="18">
        <v>0.23806465411345087</v>
      </c>
      <c r="BL45" s="18">
        <v>0.40211876503598187</v>
      </c>
      <c r="BM45" s="18">
        <v>0.26196801724185692</v>
      </c>
      <c r="BN45" s="18">
        <v>0.41458490277603133</v>
      </c>
      <c r="BO45" s="18">
        <v>0.31627741025665912</v>
      </c>
      <c r="BP45" s="18">
        <v>0.36547774591779708</v>
      </c>
      <c r="BQ45" s="18">
        <v>0.45025802636555101</v>
      </c>
      <c r="BR45" s="18">
        <v>0.49305448706050903</v>
      </c>
      <c r="BS45" s="18">
        <v>0.44634980087965348</v>
      </c>
      <c r="BT45" s="18">
        <v>0.17614420173467424</v>
      </c>
      <c r="BU45" s="18">
        <v>0.41175170772545749</v>
      </c>
      <c r="BV45" s="18">
        <v>0.99999999999999978</v>
      </c>
      <c r="BW45" s="18">
        <v>0.58526087089490331</v>
      </c>
      <c r="BX45" s="18">
        <v>0.5174983000521467</v>
      </c>
      <c r="BY45" s="18">
        <v>0.25945672350717303</v>
      </c>
      <c r="BZ45" s="18">
        <v>0.22805262539317173</v>
      </c>
      <c r="CA45" s="18">
        <v>0.52038566331571667</v>
      </c>
      <c r="CB45" s="18">
        <v>0.3146083985223046</v>
      </c>
      <c r="CC45" s="18">
        <v>8.6302413880750842E-2</v>
      </c>
      <c r="CD45" s="18">
        <v>0.45835209692773399</v>
      </c>
      <c r="CE45" s="18">
        <v>0.51094539598878641</v>
      </c>
      <c r="CF45" s="18">
        <v>0.22221948147456189</v>
      </c>
      <c r="CG45" s="18">
        <v>0.20809187665714238</v>
      </c>
      <c r="CH45" s="18">
        <v>0.33897267355602867</v>
      </c>
      <c r="CI45" s="18">
        <v>0.24069094727054766</v>
      </c>
      <c r="CJ45" s="18">
        <v>0.21823298657601445</v>
      </c>
      <c r="CK45" s="18">
        <v>0.30768435482892759</v>
      </c>
      <c r="CL45" s="18">
        <v>0.29348657821550544</v>
      </c>
      <c r="CM45" s="18">
        <v>0.10311173605900058</v>
      </c>
      <c r="CN45" s="19">
        <v>0.14300157514790166</v>
      </c>
    </row>
    <row r="46" spans="1:92" x14ac:dyDescent="0.2">
      <c r="A46" s="2" t="s">
        <v>89</v>
      </c>
      <c r="B46" s="2">
        <v>4</v>
      </c>
      <c r="C46" s="2">
        <v>5</v>
      </c>
      <c r="D46" s="2">
        <v>3</v>
      </c>
      <c r="E46" s="2">
        <v>4</v>
      </c>
      <c r="F46" s="2">
        <v>4</v>
      </c>
      <c r="G46" s="2">
        <v>4</v>
      </c>
      <c r="H46" s="2">
        <v>5</v>
      </c>
      <c r="I46" s="2">
        <v>4</v>
      </c>
      <c r="J46" s="2">
        <v>4</v>
      </c>
      <c r="K46" s="2">
        <v>5</v>
      </c>
      <c r="L46" s="2">
        <v>4</v>
      </c>
      <c r="M46" s="2">
        <v>4</v>
      </c>
      <c r="N46" s="2">
        <v>4</v>
      </c>
      <c r="O46" s="2">
        <v>5</v>
      </c>
      <c r="P46" s="2">
        <v>5</v>
      </c>
      <c r="Q46" s="2">
        <v>5</v>
      </c>
      <c r="R46" s="2">
        <v>4</v>
      </c>
      <c r="S46" s="2">
        <v>3</v>
      </c>
      <c r="T46" s="2">
        <v>5</v>
      </c>
      <c r="U46" s="2">
        <v>4</v>
      </c>
      <c r="V46" s="2">
        <v>4</v>
      </c>
      <c r="W46" s="2">
        <v>4</v>
      </c>
      <c r="X46" s="2">
        <v>4</v>
      </c>
      <c r="Y46" s="2">
        <v>3</v>
      </c>
      <c r="Z46" s="2">
        <v>4</v>
      </c>
      <c r="AA46" s="2">
        <v>3</v>
      </c>
      <c r="AB46" s="2">
        <v>4</v>
      </c>
      <c r="AC46" s="2">
        <v>3</v>
      </c>
      <c r="AD46" s="2">
        <v>3</v>
      </c>
      <c r="AE46" s="2">
        <v>4</v>
      </c>
      <c r="AF46" s="2">
        <v>4</v>
      </c>
      <c r="AG46" s="2">
        <v>4</v>
      </c>
      <c r="AH46" s="2">
        <v>5</v>
      </c>
      <c r="AI46" s="2">
        <v>4</v>
      </c>
      <c r="AJ46" s="2">
        <v>3</v>
      </c>
      <c r="AK46" s="2">
        <v>4</v>
      </c>
      <c r="AL46" s="2">
        <v>5</v>
      </c>
      <c r="AM46" s="2">
        <v>4</v>
      </c>
      <c r="AN46" s="2">
        <v>5</v>
      </c>
      <c r="AO46" s="2">
        <v>4</v>
      </c>
      <c r="AP46" s="2">
        <v>4</v>
      </c>
      <c r="AQ46" s="2">
        <v>3</v>
      </c>
      <c r="AR46" s="2">
        <v>3</v>
      </c>
      <c r="AS46" s="2">
        <v>5</v>
      </c>
      <c r="AT46" s="2"/>
      <c r="AU46" s="2"/>
      <c r="AV46" s="2" t="str">
        <v>27.Lack of cost planning/monitoring during pre and post contract stage</v>
      </c>
      <c r="AW46" s="10">
        <v>0.27381285808775174</v>
      </c>
      <c r="AX46" s="11">
        <v>0.20981695696626154</v>
      </c>
      <c r="AY46" s="11">
        <v>0.18404975989037972</v>
      </c>
      <c r="AZ46" s="18">
        <v>0.39021812643648474</v>
      </c>
      <c r="BA46" s="18">
        <v>0.45199030219817299</v>
      </c>
      <c r="BB46" s="18">
        <v>0.44413440129082021</v>
      </c>
      <c r="BC46" s="18">
        <v>0.53602867372501573</v>
      </c>
      <c r="BD46" s="18">
        <v>0.31824577796933634</v>
      </c>
      <c r="BE46" s="18">
        <v>0.4759147815892783</v>
      </c>
      <c r="BF46" s="18">
        <v>0.5263969598901761</v>
      </c>
      <c r="BG46" s="18">
        <v>0.4571207024907063</v>
      </c>
      <c r="BH46" s="18">
        <v>0.43936654026390509</v>
      </c>
      <c r="BI46" s="18">
        <v>0.49096133995368352</v>
      </c>
      <c r="BJ46" s="18">
        <v>0.20035754327830235</v>
      </c>
      <c r="BK46" s="18">
        <v>0.4343010109036875</v>
      </c>
      <c r="BL46" s="18">
        <v>0.35390979925503285</v>
      </c>
      <c r="BM46" s="18">
        <v>0.37721106066244436</v>
      </c>
      <c r="BN46" s="18">
        <v>8.9300772925166208E-2</v>
      </c>
      <c r="BO46" s="18">
        <v>0.37732482017324764</v>
      </c>
      <c r="BP46" s="18">
        <v>0.44249101130582869</v>
      </c>
      <c r="BQ46" s="18">
        <v>0.5008311668984966</v>
      </c>
      <c r="BR46" s="18">
        <v>0.39060539822311063</v>
      </c>
      <c r="BS46" s="18">
        <v>0.41873051617104351</v>
      </c>
      <c r="BT46" s="18">
        <v>0.21569255526679429</v>
      </c>
      <c r="BU46" s="18">
        <v>0.60817367967177749</v>
      </c>
      <c r="BV46" s="18">
        <v>0.58526087089490331</v>
      </c>
      <c r="BW46" s="18">
        <v>0.99999999999999978</v>
      </c>
      <c r="BX46" s="18">
        <v>0.60245179922494818</v>
      </c>
      <c r="BY46" s="18">
        <v>0.48852300149238803</v>
      </c>
      <c r="BZ46" s="18">
        <v>0.34325480241742895</v>
      </c>
      <c r="CA46" s="18">
        <v>0.35096410353972535</v>
      </c>
      <c r="CB46" s="18">
        <v>0.41539859674460095</v>
      </c>
      <c r="CC46" s="18">
        <v>0.21031317641837149</v>
      </c>
      <c r="CD46" s="18">
        <v>0.4724053922788527</v>
      </c>
      <c r="CE46" s="18">
        <v>0.54921141501388238</v>
      </c>
      <c r="CF46" s="18">
        <v>0.37200248974533467</v>
      </c>
      <c r="CG46" s="18">
        <v>0.23131652035367181</v>
      </c>
      <c r="CH46" s="18">
        <v>0.29860536590597897</v>
      </c>
      <c r="CI46" s="18">
        <v>0.31079484647282807</v>
      </c>
      <c r="CJ46" s="18">
        <v>0.17948115073639587</v>
      </c>
      <c r="CK46" s="18">
        <v>0.38928036943242866</v>
      </c>
      <c r="CL46" s="18">
        <v>0.43987961547561527</v>
      </c>
      <c r="CM46" s="18">
        <v>0.23076009255130595</v>
      </c>
      <c r="CN46" s="19">
        <v>0.33599617324607589</v>
      </c>
    </row>
    <row r="47" spans="1:92" x14ac:dyDescent="0.2">
      <c r="A47" s="2" t="s">
        <v>90</v>
      </c>
      <c r="B47" s="2">
        <v>4</v>
      </c>
      <c r="C47" s="2">
        <v>5</v>
      </c>
      <c r="D47" s="2">
        <v>3</v>
      </c>
      <c r="E47" s="2">
        <v>4</v>
      </c>
      <c r="F47" s="2">
        <v>4</v>
      </c>
      <c r="G47" s="2">
        <v>4</v>
      </c>
      <c r="H47" s="2">
        <v>5</v>
      </c>
      <c r="I47" s="2">
        <v>4</v>
      </c>
      <c r="J47" s="2">
        <v>4</v>
      </c>
      <c r="K47" s="2">
        <v>5</v>
      </c>
      <c r="L47" s="2">
        <v>4</v>
      </c>
      <c r="M47" s="2">
        <v>4</v>
      </c>
      <c r="N47" s="2">
        <v>4</v>
      </c>
      <c r="O47" s="2">
        <v>5</v>
      </c>
      <c r="P47" s="2">
        <v>5</v>
      </c>
      <c r="Q47" s="2">
        <v>5</v>
      </c>
      <c r="R47" s="2">
        <v>4</v>
      </c>
      <c r="S47" s="2">
        <v>3</v>
      </c>
      <c r="T47" s="2">
        <v>5</v>
      </c>
      <c r="U47" s="2">
        <v>4</v>
      </c>
      <c r="V47" s="2">
        <v>4</v>
      </c>
      <c r="W47" s="2">
        <v>4</v>
      </c>
      <c r="X47" s="2">
        <v>4</v>
      </c>
      <c r="Y47" s="2">
        <v>3</v>
      </c>
      <c r="Z47" s="2">
        <v>4</v>
      </c>
      <c r="AA47" s="2">
        <v>3</v>
      </c>
      <c r="AB47" s="2">
        <v>4</v>
      </c>
      <c r="AC47" s="2">
        <v>4</v>
      </c>
      <c r="AD47" s="2">
        <v>4</v>
      </c>
      <c r="AE47" s="2">
        <v>5</v>
      </c>
      <c r="AF47" s="2">
        <v>4</v>
      </c>
      <c r="AG47" s="2">
        <v>4</v>
      </c>
      <c r="AH47" s="2">
        <v>5</v>
      </c>
      <c r="AI47" s="2">
        <v>4</v>
      </c>
      <c r="AJ47" s="2">
        <v>3</v>
      </c>
      <c r="AK47" s="2">
        <v>4</v>
      </c>
      <c r="AL47" s="2">
        <v>5</v>
      </c>
      <c r="AM47" s="2">
        <v>4</v>
      </c>
      <c r="AN47" s="2">
        <v>5</v>
      </c>
      <c r="AO47" s="2">
        <v>4</v>
      </c>
      <c r="AP47" s="2">
        <v>4</v>
      </c>
      <c r="AQ47" s="2">
        <v>3</v>
      </c>
      <c r="AR47" s="2">
        <v>3</v>
      </c>
      <c r="AS47" s="2">
        <v>5</v>
      </c>
      <c r="AT47" s="2"/>
      <c r="AU47" s="2"/>
      <c r="AV47" s="2" t="str">
        <v>28.Poor communication between client, consultant and contractor</v>
      </c>
      <c r="AW47" s="10">
        <v>0.32438764574011802</v>
      </c>
      <c r="AX47" s="11">
        <v>0.18084664151909347</v>
      </c>
      <c r="AY47" s="11">
        <v>0.18038655243624852</v>
      </c>
      <c r="AZ47" s="18">
        <v>0.37499582814317839</v>
      </c>
      <c r="BA47" s="18">
        <v>0.43422218644574057</v>
      </c>
      <c r="BB47" s="18">
        <v>0.37004299707887278</v>
      </c>
      <c r="BC47" s="18">
        <v>0.45846849873026146</v>
      </c>
      <c r="BD47" s="18">
        <v>0.43595144041178552</v>
      </c>
      <c r="BE47" s="18">
        <v>0.48693074737543895</v>
      </c>
      <c r="BF47" s="18">
        <v>0.64127562156620388</v>
      </c>
      <c r="BG47" s="18">
        <v>0.50896047001390599</v>
      </c>
      <c r="BH47" s="18">
        <v>0.44651135019829308</v>
      </c>
      <c r="BI47" s="18">
        <v>0.3927626430326982</v>
      </c>
      <c r="BJ47" s="18">
        <v>0.3187013942823323</v>
      </c>
      <c r="BK47" s="18">
        <v>0.37290675895404479</v>
      </c>
      <c r="BL47" s="18">
        <v>0.35358755529264296</v>
      </c>
      <c r="BM47" s="18">
        <v>0.33693738334468026</v>
      </c>
      <c r="BN47" s="18">
        <v>0.38728767042979184</v>
      </c>
      <c r="BO47" s="18">
        <v>0.18677285550929792</v>
      </c>
      <c r="BP47" s="18">
        <v>0.30512113120589429</v>
      </c>
      <c r="BQ47" s="18">
        <v>0.3685722388346378</v>
      </c>
      <c r="BR47" s="18">
        <v>0.3220639664614921</v>
      </c>
      <c r="BS47" s="18">
        <v>0.2302404390028667</v>
      </c>
      <c r="BT47" s="18">
        <v>2.7554522238842988E-2</v>
      </c>
      <c r="BU47" s="18">
        <v>0.36971905558258195</v>
      </c>
      <c r="BV47" s="18">
        <v>0.5174983000521467</v>
      </c>
      <c r="BW47" s="18">
        <v>0.60245179922494818</v>
      </c>
      <c r="BX47" s="18">
        <v>0.99999999999999978</v>
      </c>
      <c r="BY47" s="18">
        <v>0.6500509164686693</v>
      </c>
      <c r="BZ47" s="18">
        <v>0.33977502577454921</v>
      </c>
      <c r="CA47" s="18">
        <v>0.38277087342025878</v>
      </c>
      <c r="CB47" s="18">
        <v>0.3190338988044481</v>
      </c>
      <c r="CC47" s="18">
        <v>0.18109724056346449</v>
      </c>
      <c r="CD47" s="18">
        <v>0.38713210661547265</v>
      </c>
      <c r="CE47" s="18">
        <v>0.43897725874559684</v>
      </c>
      <c r="CF47" s="18">
        <v>0.26315230716440652</v>
      </c>
      <c r="CG47" s="18">
        <v>0.22396223287853786</v>
      </c>
      <c r="CH47" s="18">
        <v>0.19689191078151791</v>
      </c>
      <c r="CI47" s="18">
        <v>0.31504461911480885</v>
      </c>
      <c r="CJ47" s="18">
        <v>0.30861113708423216</v>
      </c>
      <c r="CK47" s="18">
        <v>0.22734953947581313</v>
      </c>
      <c r="CL47" s="18">
        <v>0.38282234945926857</v>
      </c>
      <c r="CM47" s="18">
        <v>0.23661086161371758</v>
      </c>
      <c r="CN47" s="19">
        <v>0.40341858307360162</v>
      </c>
    </row>
    <row r="48" spans="1:92" x14ac:dyDescent="0.2">
      <c r="A48" s="2" t="s">
        <v>91</v>
      </c>
      <c r="B48" s="2">
        <v>4</v>
      </c>
      <c r="C48" s="2">
        <v>3</v>
      </c>
      <c r="D48" s="2">
        <v>3</v>
      </c>
      <c r="E48" s="2">
        <v>3</v>
      </c>
      <c r="F48" s="2">
        <v>3</v>
      </c>
      <c r="G48" s="2">
        <v>5</v>
      </c>
      <c r="H48" s="2">
        <v>5</v>
      </c>
      <c r="I48" s="2">
        <v>5</v>
      </c>
      <c r="J48" s="2">
        <v>5</v>
      </c>
      <c r="K48" s="2">
        <v>5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3</v>
      </c>
      <c r="R48" s="2">
        <v>3</v>
      </c>
      <c r="S48" s="2">
        <v>3</v>
      </c>
      <c r="T48" s="2">
        <v>3</v>
      </c>
      <c r="U48" s="2">
        <v>2</v>
      </c>
      <c r="V48" s="2">
        <v>2</v>
      </c>
      <c r="W48" s="2">
        <v>4</v>
      </c>
      <c r="X48" s="2">
        <v>3</v>
      </c>
      <c r="Y48" s="2">
        <v>2</v>
      </c>
      <c r="Z48" s="2">
        <v>3</v>
      </c>
      <c r="AA48" s="2">
        <v>4</v>
      </c>
      <c r="AB48" s="2">
        <v>4</v>
      </c>
      <c r="AC48" s="2">
        <v>5</v>
      </c>
      <c r="AD48" s="2">
        <v>5</v>
      </c>
      <c r="AE48" s="2">
        <v>5</v>
      </c>
      <c r="AF48" s="2">
        <v>4</v>
      </c>
      <c r="AG48" s="2">
        <v>4</v>
      </c>
      <c r="AH48" s="2">
        <v>3</v>
      </c>
      <c r="AI48" s="2">
        <v>4</v>
      </c>
      <c r="AJ48" s="2">
        <v>4</v>
      </c>
      <c r="AK48" s="2">
        <v>5</v>
      </c>
      <c r="AL48" s="2">
        <v>4</v>
      </c>
      <c r="AM48" s="2">
        <v>5</v>
      </c>
      <c r="AN48" s="2">
        <v>3</v>
      </c>
      <c r="AO48" s="2">
        <v>3</v>
      </c>
      <c r="AP48" s="2">
        <v>4</v>
      </c>
      <c r="AQ48" s="2">
        <v>3</v>
      </c>
      <c r="AR48" s="2">
        <v>2</v>
      </c>
      <c r="AS48" s="2">
        <v>4</v>
      </c>
      <c r="AT48" s="2"/>
      <c r="AU48" s="2"/>
      <c r="AV48" s="2" t="str">
        <v>29.Insufficient coordination between local authority who is responsible about road projects and service authorities</v>
      </c>
      <c r="AW48" s="10">
        <v>0.18623612070034279</v>
      </c>
      <c r="AX48" s="11">
        <v>7.3655321297763046E-2</v>
      </c>
      <c r="AY48" s="11">
        <v>7.6736549610638721E-2</v>
      </c>
      <c r="AZ48" s="18">
        <v>0.14698902600968736</v>
      </c>
      <c r="BA48" s="18">
        <v>0.2286678845654484</v>
      </c>
      <c r="BB48" s="18">
        <v>0.38294085371572051</v>
      </c>
      <c r="BC48" s="18">
        <v>0.36675002950038998</v>
      </c>
      <c r="BD48" s="18">
        <v>0.3091414383232326</v>
      </c>
      <c r="BE48" s="18">
        <v>0.3621060978858584</v>
      </c>
      <c r="BF48" s="18">
        <v>0.41826187082394839</v>
      </c>
      <c r="BG48" s="18">
        <v>0.33460728691005032</v>
      </c>
      <c r="BH48" s="18">
        <v>0.33124112087542273</v>
      </c>
      <c r="BI48" s="18">
        <v>0.31377669363089378</v>
      </c>
      <c r="BJ48" s="18">
        <v>0.21055811729921986</v>
      </c>
      <c r="BK48" s="18">
        <v>0.28851464313396374</v>
      </c>
      <c r="BL48" s="18">
        <v>0.13623794581129528</v>
      </c>
      <c r="BM48" s="18">
        <v>0.19905262106849628</v>
      </c>
      <c r="BN48" s="18">
        <v>0.25345979298529731</v>
      </c>
      <c r="BO48" s="18">
        <v>0.10641208023243272</v>
      </c>
      <c r="BP48" s="18">
        <v>0.13949400557628014</v>
      </c>
      <c r="BQ48" s="18">
        <v>0.18145129683751757</v>
      </c>
      <c r="BR48" s="18">
        <v>0.26439969003808628</v>
      </c>
      <c r="BS48" s="18">
        <v>0.14157421202497855</v>
      </c>
      <c r="BT48" s="18">
        <v>0.14941093350239409</v>
      </c>
      <c r="BU48" s="18">
        <v>0.42300332795184803</v>
      </c>
      <c r="BV48" s="18">
        <v>0.25945672350717303</v>
      </c>
      <c r="BW48" s="18">
        <v>0.48852300149238803</v>
      </c>
      <c r="BX48" s="18">
        <v>0.6500509164686693</v>
      </c>
      <c r="BY48" s="18">
        <v>1.0000000000000011</v>
      </c>
      <c r="BZ48" s="18">
        <v>0.45995697164164745</v>
      </c>
      <c r="CA48" s="18">
        <v>0.12886315153624128</v>
      </c>
      <c r="CB48" s="18">
        <v>9.1347361642712885E-2</v>
      </c>
      <c r="CC48" s="18">
        <v>0.10026324035756674</v>
      </c>
      <c r="CD48" s="18">
        <v>0.20351827122118962</v>
      </c>
      <c r="CE48" s="18">
        <v>0.33014847707969169</v>
      </c>
      <c r="CF48" s="18">
        <v>0.17147920687631724</v>
      </c>
      <c r="CG48" s="18">
        <v>0.16822733559836139</v>
      </c>
      <c r="CH48" s="18">
        <v>0.19286068313775076</v>
      </c>
      <c r="CI48" s="18">
        <v>0.28637946239183348</v>
      </c>
      <c r="CJ48" s="18">
        <v>0.18839752433208851</v>
      </c>
      <c r="CK48" s="18">
        <v>-2.962767572864726E-2</v>
      </c>
      <c r="CL48" s="18">
        <v>0.21697211825695659</v>
      </c>
      <c r="CM48" s="18">
        <v>4.4134947414448754E-2</v>
      </c>
      <c r="CN48" s="19">
        <v>0.43534754090283068</v>
      </c>
    </row>
    <row r="49" spans="1:93" x14ac:dyDescent="0.2">
      <c r="A49" s="2" t="s">
        <v>92</v>
      </c>
      <c r="B49" s="2">
        <v>1</v>
      </c>
      <c r="C49" s="2">
        <v>1</v>
      </c>
      <c r="D49" s="2">
        <v>2</v>
      </c>
      <c r="E49" s="2">
        <v>2</v>
      </c>
      <c r="F49" s="2">
        <v>2</v>
      </c>
      <c r="G49" s="2">
        <v>4</v>
      </c>
      <c r="H49" s="2">
        <v>4</v>
      </c>
      <c r="I49" s="2">
        <v>3</v>
      </c>
      <c r="J49" s="2">
        <v>4</v>
      </c>
      <c r="K49" s="2">
        <v>4</v>
      </c>
      <c r="L49" s="2">
        <v>5</v>
      </c>
      <c r="M49" s="2">
        <v>5</v>
      </c>
      <c r="N49" s="2">
        <v>5</v>
      </c>
      <c r="O49" s="2">
        <v>5</v>
      </c>
      <c r="P49" s="2">
        <v>5</v>
      </c>
      <c r="Q49" s="2">
        <v>5</v>
      </c>
      <c r="R49" s="2">
        <v>4</v>
      </c>
      <c r="S49" s="2">
        <v>3</v>
      </c>
      <c r="T49" s="2">
        <v>3</v>
      </c>
      <c r="U49" s="2">
        <v>4</v>
      </c>
      <c r="V49" s="2">
        <v>3</v>
      </c>
      <c r="W49" s="2">
        <v>4</v>
      </c>
      <c r="X49" s="2">
        <v>4</v>
      </c>
      <c r="Y49" s="2">
        <v>4</v>
      </c>
      <c r="Z49" s="2">
        <v>3</v>
      </c>
      <c r="AA49" s="2">
        <v>2</v>
      </c>
      <c r="AB49" s="2">
        <v>4</v>
      </c>
      <c r="AC49" s="2">
        <v>5</v>
      </c>
      <c r="AD49" s="2">
        <v>5</v>
      </c>
      <c r="AE49" s="2">
        <v>5</v>
      </c>
      <c r="AF49" s="2">
        <v>3</v>
      </c>
      <c r="AG49" s="2">
        <v>2</v>
      </c>
      <c r="AH49" s="2">
        <v>4</v>
      </c>
      <c r="AI49" s="2">
        <v>5</v>
      </c>
      <c r="AJ49" s="2">
        <v>5</v>
      </c>
      <c r="AK49" s="2">
        <v>4</v>
      </c>
      <c r="AL49" s="2">
        <v>5</v>
      </c>
      <c r="AM49" s="2">
        <v>5</v>
      </c>
      <c r="AN49" s="2">
        <v>5</v>
      </c>
      <c r="AO49" s="2">
        <v>4</v>
      </c>
      <c r="AP49" s="2">
        <v>5</v>
      </c>
      <c r="AQ49" s="2">
        <v>3</v>
      </c>
      <c r="AR49" s="2">
        <v>5</v>
      </c>
      <c r="AS49" s="2">
        <v>4</v>
      </c>
      <c r="AT49" s="2"/>
      <c r="AU49" s="2"/>
      <c r="AV49" s="2" t="str">
        <v>30.Delays in decisions making by the approval authorities</v>
      </c>
      <c r="AW49" s="10">
        <v>0.10601261696129205</v>
      </c>
      <c r="AX49" s="11">
        <v>-0.10769881332446098</v>
      </c>
      <c r="AY49" s="11">
        <v>-0.11428826491280195</v>
      </c>
      <c r="AZ49" s="18">
        <v>0.16005560996049517</v>
      </c>
      <c r="BA49" s="18">
        <v>8.8695214471223402E-2</v>
      </c>
      <c r="BB49" s="18">
        <v>0.11180520525669739</v>
      </c>
      <c r="BC49" s="18">
        <v>0.26559912910445843</v>
      </c>
      <c r="BD49" s="18">
        <v>0.15158031798269614</v>
      </c>
      <c r="BE49" s="18">
        <v>4.1628671730125869E-2</v>
      </c>
      <c r="BF49" s="18">
        <v>6.6972908590744284E-2</v>
      </c>
      <c r="BG49" s="18">
        <v>0.15970182507424061</v>
      </c>
      <c r="BH49" s="18">
        <v>8.670674822078174E-2</v>
      </c>
      <c r="BI49" s="18">
        <v>0.27180819526941963</v>
      </c>
      <c r="BJ49" s="18">
        <v>0.42647320228134056</v>
      </c>
      <c r="BK49" s="18">
        <v>0.32808854807101001</v>
      </c>
      <c r="BL49" s="18">
        <v>0.17755688264726141</v>
      </c>
      <c r="BM49" s="18">
        <v>0.23066059800781771</v>
      </c>
      <c r="BN49" s="18">
        <v>0.14825439737851265</v>
      </c>
      <c r="BO49" s="18">
        <v>0.13606750167391551</v>
      </c>
      <c r="BP49" s="18">
        <v>0.13506069368415888</v>
      </c>
      <c r="BQ49" s="18">
        <v>0.19377540366042689</v>
      </c>
      <c r="BR49" s="18">
        <v>0.30948956187941679</v>
      </c>
      <c r="BS49" s="18">
        <v>7.9100643731110976E-2</v>
      </c>
      <c r="BT49" s="18">
        <v>0.21773609054538828</v>
      </c>
      <c r="BU49" s="18">
        <v>0.36660042785266755</v>
      </c>
      <c r="BV49" s="18">
        <v>0.22805262539317173</v>
      </c>
      <c r="BW49" s="18">
        <v>0.34325480241742895</v>
      </c>
      <c r="BX49" s="18">
        <v>0.33977502577454921</v>
      </c>
      <c r="BY49" s="18">
        <v>0.45995697164164745</v>
      </c>
      <c r="BZ49" s="18">
        <v>1.0000000000000009</v>
      </c>
      <c r="CA49" s="18">
        <v>0.26315052725799526</v>
      </c>
      <c r="CB49" s="18">
        <v>3.1603761379710729E-2</v>
      </c>
      <c r="CC49" s="18">
        <v>0.1662475790037295</v>
      </c>
      <c r="CD49" s="18">
        <v>0.19072755561740976</v>
      </c>
      <c r="CE49" s="18">
        <v>0.21406725353615777</v>
      </c>
      <c r="CF49" s="18">
        <v>7.1347643957836049E-2</v>
      </c>
      <c r="CG49" s="18">
        <v>0.22264711150689367</v>
      </c>
      <c r="CH49" s="18">
        <v>0.16178207810253661</v>
      </c>
      <c r="CI49" s="18">
        <v>0.26301237195001237</v>
      </c>
      <c r="CJ49" s="18">
        <v>0.14047998672820483</v>
      </c>
      <c r="CK49" s="18">
        <v>3.4314991064203326E-2</v>
      </c>
      <c r="CL49" s="18">
        <v>0.2062281170453828</v>
      </c>
      <c r="CM49" s="18">
        <v>0.12137509512528537</v>
      </c>
      <c r="CN49" s="19">
        <v>0.40993242820835624</v>
      </c>
    </row>
    <row r="50" spans="1:93" x14ac:dyDescent="0.2">
      <c r="A50" s="2" t="s">
        <v>93</v>
      </c>
      <c r="B50" s="2">
        <v>4</v>
      </c>
      <c r="C50" s="2">
        <v>2</v>
      </c>
      <c r="D50" s="2">
        <v>4</v>
      </c>
      <c r="E50" s="2">
        <v>4</v>
      </c>
      <c r="F50" s="2">
        <v>3</v>
      </c>
      <c r="G50" s="2">
        <v>4</v>
      </c>
      <c r="H50" s="2">
        <v>5</v>
      </c>
      <c r="I50" s="2">
        <v>3</v>
      </c>
      <c r="J50" s="2">
        <v>5</v>
      </c>
      <c r="K50" s="2">
        <v>3</v>
      </c>
      <c r="L50" s="2">
        <v>5</v>
      </c>
      <c r="M50" s="2">
        <v>5</v>
      </c>
      <c r="N50" s="2">
        <v>5</v>
      </c>
      <c r="O50" s="2">
        <v>4</v>
      </c>
      <c r="P50" s="2">
        <v>4</v>
      </c>
      <c r="Q50" s="2">
        <v>3</v>
      </c>
      <c r="R50" s="2">
        <v>2</v>
      </c>
      <c r="S50" s="2">
        <v>2</v>
      </c>
      <c r="T50" s="2">
        <v>4</v>
      </c>
      <c r="U50" s="2">
        <v>5</v>
      </c>
      <c r="V50" s="2">
        <v>4</v>
      </c>
      <c r="W50" s="2">
        <v>4</v>
      </c>
      <c r="X50" s="2">
        <v>4</v>
      </c>
      <c r="Y50" s="2">
        <v>4</v>
      </c>
      <c r="Z50" s="2">
        <v>3</v>
      </c>
      <c r="AA50" s="2">
        <v>3</v>
      </c>
      <c r="AB50" s="2">
        <v>4</v>
      </c>
      <c r="AC50" s="2">
        <v>4</v>
      </c>
      <c r="AD50" s="2">
        <v>5</v>
      </c>
      <c r="AE50" s="2">
        <v>5</v>
      </c>
      <c r="AF50" s="2">
        <v>3</v>
      </c>
      <c r="AG50" s="2">
        <v>3</v>
      </c>
      <c r="AH50" s="2">
        <v>4</v>
      </c>
      <c r="AI50" s="2">
        <v>3</v>
      </c>
      <c r="AJ50" s="2">
        <v>4</v>
      </c>
      <c r="AK50" s="2">
        <v>4</v>
      </c>
      <c r="AL50" s="2">
        <v>3</v>
      </c>
      <c r="AM50" s="2">
        <v>4</v>
      </c>
      <c r="AN50" s="2">
        <v>4</v>
      </c>
      <c r="AO50" s="2">
        <v>4</v>
      </c>
      <c r="AP50" s="2">
        <v>4</v>
      </c>
      <c r="AQ50" s="2">
        <v>3</v>
      </c>
      <c r="AR50" s="2">
        <v>3</v>
      </c>
      <c r="AS50" s="2">
        <v>3</v>
      </c>
      <c r="AT50" s="2"/>
      <c r="AU50" s="2"/>
      <c r="AV50" s="2" t="str">
        <v>31.Change schedule</v>
      </c>
      <c r="AW50" s="10">
        <v>2.2707660471473882E-2</v>
      </c>
      <c r="AX50" s="11">
        <v>-7.3243014210621821E-2</v>
      </c>
      <c r="AY50" s="11">
        <v>5.1891139994401592E-2</v>
      </c>
      <c r="AZ50" s="18">
        <v>0.15389917734592434</v>
      </c>
      <c r="BA50" s="18">
        <v>0.23576306540561073</v>
      </c>
      <c r="BB50" s="18">
        <v>9.3861126435334744E-2</v>
      </c>
      <c r="BC50" s="18">
        <v>0.11232258758475705</v>
      </c>
      <c r="BD50" s="18">
        <v>0.26440541129009365</v>
      </c>
      <c r="BE50" s="18">
        <v>0.16673892909333599</v>
      </c>
      <c r="BF50" s="18">
        <v>0.26313664739918591</v>
      </c>
      <c r="BG50" s="18">
        <v>7.3712612066669472E-2</v>
      </c>
      <c r="BH50" s="18">
        <v>0.20826091568808269</v>
      </c>
      <c r="BI50" s="18">
        <v>0.1985309934400061</v>
      </c>
      <c r="BJ50" s="18">
        <v>0.33506321440194903</v>
      </c>
      <c r="BK50" s="18">
        <v>0.23491682653948628</v>
      </c>
      <c r="BL50" s="18">
        <v>0.38483166151553055</v>
      </c>
      <c r="BM50" s="18">
        <v>0.2110312041860212</v>
      </c>
      <c r="BN50" s="18">
        <v>0.32534786658693349</v>
      </c>
      <c r="BO50" s="18">
        <v>0.18685640386794083</v>
      </c>
      <c r="BP50" s="18">
        <v>0.2902180322192362</v>
      </c>
      <c r="BQ50" s="18">
        <v>0.29763818588114133</v>
      </c>
      <c r="BR50" s="18">
        <v>0.34164842476022933</v>
      </c>
      <c r="BS50" s="18">
        <v>0.32907356311866615</v>
      </c>
      <c r="BT50" s="18">
        <v>0.10907609481981997</v>
      </c>
      <c r="BU50" s="18">
        <v>0.37483405800139286</v>
      </c>
      <c r="BV50" s="18">
        <v>0.52038566331571667</v>
      </c>
      <c r="BW50" s="18">
        <v>0.35096410353972535</v>
      </c>
      <c r="BX50" s="18">
        <v>0.38277087342025878</v>
      </c>
      <c r="BY50" s="18">
        <v>0.12886315153624128</v>
      </c>
      <c r="BZ50" s="18">
        <v>0.26315052725799526</v>
      </c>
      <c r="CA50" s="18">
        <v>1.0000000000000031</v>
      </c>
      <c r="CB50" s="18">
        <v>0.45041913240613052</v>
      </c>
      <c r="CC50" s="18">
        <v>0.22346007192653283</v>
      </c>
      <c r="CD50" s="18">
        <v>0.42484698823625822</v>
      </c>
      <c r="CE50" s="18">
        <v>0.31070823710006762</v>
      </c>
      <c r="CF50" s="18">
        <v>6.4292425048934218E-2</v>
      </c>
      <c r="CG50" s="18">
        <v>0.2214492127904274</v>
      </c>
      <c r="CH50" s="18">
        <v>0.36294350215637139</v>
      </c>
      <c r="CI50" s="18">
        <v>0.19883023452965445</v>
      </c>
      <c r="CJ50" s="18">
        <v>0.24795951458180049</v>
      </c>
      <c r="CK50" s="18">
        <v>0.10425460862713413</v>
      </c>
      <c r="CL50" s="18">
        <v>0.35660447989293931</v>
      </c>
      <c r="CM50" s="18">
        <v>0.120292294049842</v>
      </c>
      <c r="CN50" s="19">
        <v>0.19968748942761852</v>
      </c>
    </row>
    <row r="51" spans="1:93" x14ac:dyDescent="0.2">
      <c r="A51" s="2" t="s">
        <v>94</v>
      </c>
      <c r="B51" s="2">
        <v>5</v>
      </c>
      <c r="C51" s="2">
        <v>4</v>
      </c>
      <c r="D51" s="2">
        <v>4</v>
      </c>
      <c r="E51" s="2">
        <v>5</v>
      </c>
      <c r="F51" s="2">
        <v>2</v>
      </c>
      <c r="G51" s="2">
        <v>5</v>
      </c>
      <c r="H51" s="2">
        <v>5</v>
      </c>
      <c r="I51" s="2">
        <v>5</v>
      </c>
      <c r="J51" s="2">
        <v>4</v>
      </c>
      <c r="K51" s="2">
        <v>4</v>
      </c>
      <c r="L51" s="2">
        <v>4</v>
      </c>
      <c r="M51" s="2">
        <v>4</v>
      </c>
      <c r="N51" s="2">
        <v>5</v>
      </c>
      <c r="O51" s="2">
        <v>3</v>
      </c>
      <c r="P51" s="2">
        <v>5</v>
      </c>
      <c r="Q51" s="2">
        <v>4</v>
      </c>
      <c r="R51" s="2">
        <v>5</v>
      </c>
      <c r="S51" s="2">
        <v>3</v>
      </c>
      <c r="T51" s="2">
        <v>4</v>
      </c>
      <c r="U51" s="2">
        <v>4</v>
      </c>
      <c r="V51" s="2">
        <v>4</v>
      </c>
      <c r="W51" s="2">
        <v>4</v>
      </c>
      <c r="X51" s="2">
        <v>4</v>
      </c>
      <c r="Y51" s="2">
        <v>4</v>
      </c>
      <c r="Z51" s="2">
        <v>5</v>
      </c>
      <c r="AA51" s="2">
        <v>4</v>
      </c>
      <c r="AB51" s="2">
        <v>5</v>
      </c>
      <c r="AC51" s="2">
        <v>5</v>
      </c>
      <c r="AD51" s="2">
        <v>4</v>
      </c>
      <c r="AE51" s="2">
        <v>5</v>
      </c>
      <c r="AF51" s="2">
        <v>5</v>
      </c>
      <c r="AG51" s="2">
        <v>4</v>
      </c>
      <c r="AH51" s="2">
        <v>4</v>
      </c>
      <c r="AI51" s="2">
        <v>5</v>
      </c>
      <c r="AJ51" s="2">
        <v>4</v>
      </c>
      <c r="AK51" s="2">
        <v>4</v>
      </c>
      <c r="AL51" s="2">
        <v>4</v>
      </c>
      <c r="AM51" s="2">
        <v>5</v>
      </c>
      <c r="AN51" s="2">
        <v>4</v>
      </c>
      <c r="AO51" s="2">
        <v>5</v>
      </c>
      <c r="AP51" s="2">
        <v>4</v>
      </c>
      <c r="AQ51" s="2">
        <v>4</v>
      </c>
      <c r="AR51" s="2">
        <v>4</v>
      </c>
      <c r="AS51" s="2">
        <v>4</v>
      </c>
      <c r="AT51" s="2"/>
      <c r="AU51" s="2"/>
      <c r="AV51" s="2" t="str">
        <v>32.Stoppages because of work being rejected by consultant</v>
      </c>
      <c r="AW51" s="10">
        <v>0.36721848519846134</v>
      </c>
      <c r="AX51" s="11">
        <v>0.30720413808727204</v>
      </c>
      <c r="AY51" s="11">
        <v>0.14818022497014588</v>
      </c>
      <c r="AZ51" s="18">
        <v>0.40425336709765319</v>
      </c>
      <c r="BA51" s="18">
        <v>0.50068614045054949</v>
      </c>
      <c r="BB51" s="18">
        <v>0.32758169949253968</v>
      </c>
      <c r="BC51" s="18">
        <v>0.42829185635104466</v>
      </c>
      <c r="BD51" s="18">
        <v>0.29027237367614556</v>
      </c>
      <c r="BE51" s="18">
        <v>0.38953135316064513</v>
      </c>
      <c r="BF51" s="18">
        <v>0.3269767685636934</v>
      </c>
      <c r="BG51" s="18">
        <v>0.26055889887115702</v>
      </c>
      <c r="BH51" s="18">
        <v>0.30428830921621536</v>
      </c>
      <c r="BI51" s="18">
        <v>0.27585566279578932</v>
      </c>
      <c r="BJ51" s="18">
        <v>0.14225368610346067</v>
      </c>
      <c r="BK51" s="18">
        <v>0.22152624933349493</v>
      </c>
      <c r="BL51" s="18">
        <v>0.40473833308402346</v>
      </c>
      <c r="BM51" s="18">
        <v>0.18324746123665328</v>
      </c>
      <c r="BN51" s="18">
        <v>0.20901208070720939</v>
      </c>
      <c r="BO51" s="18">
        <v>0.43514685784520685</v>
      </c>
      <c r="BP51" s="18">
        <v>0.51235096127155488</v>
      </c>
      <c r="BQ51" s="18">
        <v>0.35897262409549979</v>
      </c>
      <c r="BR51" s="18">
        <v>0.31345533546152038</v>
      </c>
      <c r="BS51" s="18">
        <v>0.37540858299505592</v>
      </c>
      <c r="BT51" s="18">
        <v>3.722688375779093E-2</v>
      </c>
      <c r="BU51" s="18">
        <v>0.41104315649204615</v>
      </c>
      <c r="BV51" s="18">
        <v>0.3146083985223046</v>
      </c>
      <c r="BW51" s="18">
        <v>0.41539859674460095</v>
      </c>
      <c r="BX51" s="18">
        <v>0.3190338988044481</v>
      </c>
      <c r="BY51" s="18">
        <v>9.1347361642712885E-2</v>
      </c>
      <c r="BZ51" s="18">
        <v>3.1603761379710729E-2</v>
      </c>
      <c r="CA51" s="18">
        <v>0.45041913240613052</v>
      </c>
      <c r="CB51" s="18">
        <v>1.0000000000000009</v>
      </c>
      <c r="CC51" s="18">
        <v>0.31640176875287734</v>
      </c>
      <c r="CD51" s="18">
        <v>0.35265521742147216</v>
      </c>
      <c r="CE51" s="18">
        <v>0.34416486625203352</v>
      </c>
      <c r="CF51" s="18">
        <v>0.33620378153027491</v>
      </c>
      <c r="CG51" s="18">
        <v>8.9527697396703215E-2</v>
      </c>
      <c r="CH51" s="18">
        <v>0.19980471698755076</v>
      </c>
      <c r="CI51" s="18">
        <v>9.4999917895612837E-3</v>
      </c>
      <c r="CJ51" s="18">
        <v>0.12192305923984799</v>
      </c>
      <c r="CK51" s="18">
        <v>0.38099977023657866</v>
      </c>
      <c r="CL51" s="18">
        <v>0.533438012635989</v>
      </c>
      <c r="CM51" s="18">
        <v>0.41059881596217851</v>
      </c>
      <c r="CN51" s="19">
        <v>0.21148239537671487</v>
      </c>
    </row>
    <row r="52" spans="1:93" x14ac:dyDescent="0.2">
      <c r="A52" s="2" t="s">
        <v>95</v>
      </c>
      <c r="B52" s="2">
        <v>4</v>
      </c>
      <c r="C52" s="2">
        <v>2</v>
      </c>
      <c r="D52" s="2">
        <v>4</v>
      </c>
      <c r="E52" s="2">
        <v>3</v>
      </c>
      <c r="F52" s="2">
        <v>3</v>
      </c>
      <c r="G52" s="2">
        <v>4</v>
      </c>
      <c r="H52" s="2">
        <v>4</v>
      </c>
      <c r="I52" s="2">
        <v>3</v>
      </c>
      <c r="J52" s="2">
        <v>4</v>
      </c>
      <c r="K52" s="2">
        <v>3</v>
      </c>
      <c r="L52" s="2">
        <v>3</v>
      </c>
      <c r="M52" s="2">
        <v>5</v>
      </c>
      <c r="N52" s="2">
        <v>4</v>
      </c>
      <c r="O52" s="2">
        <v>2</v>
      </c>
      <c r="P52" s="2">
        <v>2</v>
      </c>
      <c r="Q52" s="2">
        <v>3</v>
      </c>
      <c r="R52" s="2">
        <v>3</v>
      </c>
      <c r="S52" s="2">
        <v>3</v>
      </c>
      <c r="T52" s="2">
        <v>4</v>
      </c>
      <c r="U52" s="2">
        <v>3</v>
      </c>
      <c r="V52" s="2">
        <v>2</v>
      </c>
      <c r="W52" s="2">
        <v>3</v>
      </c>
      <c r="X52" s="2">
        <v>4</v>
      </c>
      <c r="Y52" s="2">
        <v>4</v>
      </c>
      <c r="Z52" s="2">
        <v>3</v>
      </c>
      <c r="AA52" s="2">
        <v>3</v>
      </c>
      <c r="AB52" s="2">
        <v>3</v>
      </c>
      <c r="AC52" s="2">
        <v>2</v>
      </c>
      <c r="AD52" s="2">
        <v>2</v>
      </c>
      <c r="AE52" s="2">
        <v>3</v>
      </c>
      <c r="AF52" s="2">
        <v>4</v>
      </c>
      <c r="AG52" s="2">
        <v>4</v>
      </c>
      <c r="AH52" s="2">
        <v>4</v>
      </c>
      <c r="AI52" s="2">
        <v>3</v>
      </c>
      <c r="AJ52" s="2">
        <v>3</v>
      </c>
      <c r="AK52" s="2">
        <v>4</v>
      </c>
      <c r="AL52" s="2">
        <v>3</v>
      </c>
      <c r="AM52" s="2">
        <v>4</v>
      </c>
      <c r="AN52" s="2">
        <v>4</v>
      </c>
      <c r="AO52" s="2">
        <v>3</v>
      </c>
      <c r="AP52" s="2">
        <v>4</v>
      </c>
      <c r="AQ52" s="2">
        <v>3</v>
      </c>
      <c r="AR52" s="2">
        <v>3</v>
      </c>
      <c r="AS52" s="2">
        <v>2</v>
      </c>
      <c r="AT52" s="2"/>
      <c r="AU52" s="2"/>
      <c r="AV52" s="2" t="str">
        <v>33.Lowest bid price</v>
      </c>
      <c r="AW52" s="10">
        <v>0.40007340471544212</v>
      </c>
      <c r="AX52" s="11">
        <v>0.30092321915389159</v>
      </c>
      <c r="AY52" s="11">
        <v>0.17471654809198464</v>
      </c>
      <c r="AZ52" s="18">
        <v>0.4158512817527153</v>
      </c>
      <c r="BA52" s="18">
        <v>0.35703644533147066</v>
      </c>
      <c r="BB52" s="18">
        <v>0.16180120271473281</v>
      </c>
      <c r="BC52" s="18">
        <v>0.32712501286939338</v>
      </c>
      <c r="BD52" s="18">
        <v>0.31476445648806106</v>
      </c>
      <c r="BE52" s="18">
        <v>0.21702651479007823</v>
      </c>
      <c r="BF52" s="18">
        <v>0.32963175231351999</v>
      </c>
      <c r="BG52" s="18">
        <v>0.18755718737707261</v>
      </c>
      <c r="BH52" s="18">
        <v>0.22995316482058412</v>
      </c>
      <c r="BI52" s="18">
        <v>0.16874991228827943</v>
      </c>
      <c r="BJ52" s="18">
        <v>0.21475333866205201</v>
      </c>
      <c r="BK52" s="18">
        <v>0.13297462395799714</v>
      </c>
      <c r="BL52" s="18">
        <v>7.550604060912823E-2</v>
      </c>
      <c r="BM52" s="18">
        <v>2.8186163551357241E-2</v>
      </c>
      <c r="BN52" s="18">
        <v>0.19006677445315637</v>
      </c>
      <c r="BO52" s="18">
        <v>0.17067162573423808</v>
      </c>
      <c r="BP52" s="18">
        <v>7.6335167230509163E-2</v>
      </c>
      <c r="BQ52" s="18">
        <v>-7.3257485508186624E-3</v>
      </c>
      <c r="BR52" s="18">
        <v>0.10857146670642225</v>
      </c>
      <c r="BS52" s="18">
        <v>-0.12901039053206581</v>
      </c>
      <c r="BT52" s="18">
        <v>3.4995262865111294E-2</v>
      </c>
      <c r="BU52" s="18">
        <v>0.14273131016271454</v>
      </c>
      <c r="BV52" s="18">
        <v>8.6302413880750842E-2</v>
      </c>
      <c r="BW52" s="18">
        <v>0.21031317641837149</v>
      </c>
      <c r="BX52" s="18">
        <v>0.18109724056346449</v>
      </c>
      <c r="BY52" s="18">
        <v>0.10026324035756674</v>
      </c>
      <c r="BZ52" s="18">
        <v>0.1662475790037295</v>
      </c>
      <c r="CA52" s="18">
        <v>0.22346007192653283</v>
      </c>
      <c r="CB52" s="18">
        <v>0.31640176875287734</v>
      </c>
      <c r="CC52" s="18">
        <v>0.99999999999999878</v>
      </c>
      <c r="CD52" s="18">
        <v>0.39397833073430871</v>
      </c>
      <c r="CE52" s="18">
        <v>0.27801443747629084</v>
      </c>
      <c r="CF52" s="18">
        <v>0.13229056832170819</v>
      </c>
      <c r="CG52" s="18">
        <v>0.17734335940865509</v>
      </c>
      <c r="CH52" s="18">
        <v>0.22305841500258458</v>
      </c>
      <c r="CI52" s="18">
        <v>0.35204149933878598</v>
      </c>
      <c r="CJ52" s="18">
        <v>0.18410026702876206</v>
      </c>
      <c r="CK52" s="18">
        <v>1.5296895040413308E-2</v>
      </c>
      <c r="CL52" s="18">
        <v>5.4934380448889528E-2</v>
      </c>
      <c r="CM52" s="18">
        <v>0.20587917167617947</v>
      </c>
      <c r="CN52" s="19">
        <v>0.24458261937325582</v>
      </c>
    </row>
    <row r="53" spans="1:93" x14ac:dyDescent="0.2">
      <c r="A53" s="2" t="s">
        <v>96</v>
      </c>
      <c r="B53" s="2">
        <v>5</v>
      </c>
      <c r="C53" s="2">
        <v>4</v>
      </c>
      <c r="D53" s="2">
        <v>4</v>
      </c>
      <c r="E53" s="2">
        <v>5</v>
      </c>
      <c r="F53" s="2">
        <v>2</v>
      </c>
      <c r="G53" s="2">
        <v>5</v>
      </c>
      <c r="H53" s="2">
        <v>5</v>
      </c>
      <c r="I53" s="2">
        <v>5</v>
      </c>
      <c r="J53" s="2">
        <v>4</v>
      </c>
      <c r="K53" s="2">
        <v>4</v>
      </c>
      <c r="L53" s="2">
        <v>4</v>
      </c>
      <c r="M53" s="2">
        <v>4</v>
      </c>
      <c r="N53" s="2">
        <v>5</v>
      </c>
      <c r="O53" s="2">
        <v>4</v>
      </c>
      <c r="P53" s="2">
        <v>5</v>
      </c>
      <c r="Q53" s="2">
        <v>4</v>
      </c>
      <c r="R53" s="2">
        <v>5</v>
      </c>
      <c r="S53" s="2">
        <v>3</v>
      </c>
      <c r="T53" s="2">
        <v>4</v>
      </c>
      <c r="U53" s="2">
        <v>4</v>
      </c>
      <c r="V53" s="2">
        <v>4</v>
      </c>
      <c r="W53" s="2">
        <v>4</v>
      </c>
      <c r="X53" s="2">
        <v>4</v>
      </c>
      <c r="Y53" s="2">
        <v>4</v>
      </c>
      <c r="Z53" s="2">
        <v>5</v>
      </c>
      <c r="AA53" s="2">
        <v>4</v>
      </c>
      <c r="AB53" s="2">
        <v>5</v>
      </c>
      <c r="AC53" s="2">
        <v>5</v>
      </c>
      <c r="AD53" s="2">
        <v>4</v>
      </c>
      <c r="AE53" s="2">
        <v>5</v>
      </c>
      <c r="AF53" s="2">
        <v>5</v>
      </c>
      <c r="AG53" s="2">
        <v>4</v>
      </c>
      <c r="AH53" s="2">
        <v>4</v>
      </c>
      <c r="AI53" s="2">
        <v>5</v>
      </c>
      <c r="AJ53" s="2">
        <v>4</v>
      </c>
      <c r="AK53" s="2">
        <v>4</v>
      </c>
      <c r="AL53" s="2">
        <v>4</v>
      </c>
      <c r="AM53" s="2">
        <v>4</v>
      </c>
      <c r="AN53" s="2">
        <v>5</v>
      </c>
      <c r="AO53" s="2">
        <v>4</v>
      </c>
      <c r="AP53" s="2">
        <v>5</v>
      </c>
      <c r="AQ53" s="2">
        <v>4</v>
      </c>
      <c r="AR53" s="2">
        <v>4</v>
      </c>
      <c r="AS53" s="2">
        <v>4</v>
      </c>
      <c r="AT53" s="2"/>
      <c r="AU53" s="2"/>
      <c r="AV53" s="2" t="str">
        <v>34.Insufficient time for preparation of contract documents</v>
      </c>
      <c r="AW53" s="10">
        <v>0.2406981176359386</v>
      </c>
      <c r="AX53" s="11">
        <v>0.17473990823034133</v>
      </c>
      <c r="AY53" s="11">
        <v>0.11039825460120047</v>
      </c>
      <c r="AZ53" s="18">
        <v>0.30360215935300983</v>
      </c>
      <c r="BA53" s="18">
        <v>0.41439202860490876</v>
      </c>
      <c r="BB53" s="18">
        <v>0.35997925147323212</v>
      </c>
      <c r="BC53" s="18">
        <v>0.38895027766444373</v>
      </c>
      <c r="BD53" s="18">
        <v>0.42888170881371873</v>
      </c>
      <c r="BE53" s="18">
        <v>0.38808008337732419</v>
      </c>
      <c r="BF53" s="18">
        <v>0.39840686735030995</v>
      </c>
      <c r="BG53" s="18">
        <v>0.44271355795722678</v>
      </c>
      <c r="BH53" s="18">
        <v>0.46119627246907213</v>
      </c>
      <c r="BI53" s="18">
        <v>0.39752854841420032</v>
      </c>
      <c r="BJ53" s="18">
        <v>0.19633397219395313</v>
      </c>
      <c r="BK53" s="18">
        <v>0.3904805731889584</v>
      </c>
      <c r="BL53" s="18">
        <v>0.57669499195468488</v>
      </c>
      <c r="BM53" s="18">
        <v>0.28836866062588234</v>
      </c>
      <c r="BN53" s="18">
        <v>0.23473202558984813</v>
      </c>
      <c r="BO53" s="18">
        <v>0.37575836318036315</v>
      </c>
      <c r="BP53" s="18">
        <v>0.38999347491980585</v>
      </c>
      <c r="BQ53" s="18">
        <v>0.34208947049993926</v>
      </c>
      <c r="BR53" s="18">
        <v>0.29594947879499378</v>
      </c>
      <c r="BS53" s="18">
        <v>0.22165995815070891</v>
      </c>
      <c r="BT53" s="18">
        <v>7.3232018400786525E-2</v>
      </c>
      <c r="BU53" s="18">
        <v>0.43220898926461587</v>
      </c>
      <c r="BV53" s="18">
        <v>0.45835209692773399</v>
      </c>
      <c r="BW53" s="18">
        <v>0.4724053922788527</v>
      </c>
      <c r="BX53" s="18">
        <v>0.38713210661547265</v>
      </c>
      <c r="BY53" s="18">
        <v>0.20351827122118962</v>
      </c>
      <c r="BZ53" s="18">
        <v>0.19072755561740976</v>
      </c>
      <c r="CA53" s="18">
        <v>0.42484698823625822</v>
      </c>
      <c r="CB53" s="18">
        <v>0.35265521742147216</v>
      </c>
      <c r="CC53" s="18">
        <v>0.39397833073430871</v>
      </c>
      <c r="CD53" s="18">
        <v>1.0000000000000007</v>
      </c>
      <c r="CE53" s="18">
        <v>0.75711106546743367</v>
      </c>
      <c r="CF53" s="18">
        <v>0.34836914883052078</v>
      </c>
      <c r="CG53" s="18">
        <v>0.22185084142261263</v>
      </c>
      <c r="CH53" s="18">
        <v>0.23111705013488235</v>
      </c>
      <c r="CI53" s="18">
        <v>0.27389898026500276</v>
      </c>
      <c r="CJ53" s="18">
        <v>0.27548056977817298</v>
      </c>
      <c r="CK53" s="18">
        <v>0.37776107700789729</v>
      </c>
      <c r="CL53" s="18">
        <v>0.49933704849276384</v>
      </c>
      <c r="CM53" s="18">
        <v>0.29063662475398261</v>
      </c>
      <c r="CN53" s="19">
        <v>0.24832384291419191</v>
      </c>
    </row>
    <row r="54" spans="1:93" x14ac:dyDescent="0.2">
      <c r="A54" s="2" t="s">
        <v>97</v>
      </c>
      <c r="B54" s="2">
        <v>5</v>
      </c>
      <c r="C54" s="2">
        <v>4</v>
      </c>
      <c r="D54" s="2">
        <v>1</v>
      </c>
      <c r="E54" s="2">
        <v>3</v>
      </c>
      <c r="F54" s="2">
        <v>1</v>
      </c>
      <c r="G54" s="2">
        <v>4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3</v>
      </c>
      <c r="N54" s="2">
        <v>3</v>
      </c>
      <c r="O54" s="2">
        <v>3</v>
      </c>
      <c r="P54" s="2">
        <v>3</v>
      </c>
      <c r="Q54" s="2">
        <v>2</v>
      </c>
      <c r="R54" s="2">
        <v>4</v>
      </c>
      <c r="S54" s="2">
        <v>2</v>
      </c>
      <c r="T54" s="2">
        <v>3</v>
      </c>
      <c r="U54" s="2">
        <v>3</v>
      </c>
      <c r="V54" s="2">
        <v>1</v>
      </c>
      <c r="W54" s="2">
        <v>2</v>
      </c>
      <c r="X54" s="2">
        <v>3</v>
      </c>
      <c r="Y54" s="2">
        <v>4</v>
      </c>
      <c r="Z54" s="2">
        <v>3</v>
      </c>
      <c r="AA54" s="2">
        <v>2</v>
      </c>
      <c r="AB54" s="2">
        <v>3</v>
      </c>
      <c r="AC54" s="2">
        <v>3</v>
      </c>
      <c r="AD54" s="2">
        <v>4</v>
      </c>
      <c r="AE54" s="2">
        <v>5</v>
      </c>
      <c r="AF54" s="2">
        <v>1</v>
      </c>
      <c r="AG54" s="2">
        <v>2</v>
      </c>
      <c r="AH54" s="2">
        <v>3</v>
      </c>
      <c r="AI54" s="2">
        <v>2</v>
      </c>
      <c r="AJ54" s="2">
        <v>3</v>
      </c>
      <c r="AK54" s="2">
        <v>5</v>
      </c>
      <c r="AL54" s="2">
        <v>4</v>
      </c>
      <c r="AM54" s="2">
        <v>2</v>
      </c>
      <c r="AN54" s="2">
        <v>3</v>
      </c>
      <c r="AO54" s="2">
        <v>3</v>
      </c>
      <c r="AP54" s="2">
        <v>3</v>
      </c>
      <c r="AQ54" s="2">
        <v>2</v>
      </c>
      <c r="AR54" s="2">
        <v>2</v>
      </c>
      <c r="AS54" s="2">
        <v>4</v>
      </c>
      <c r="AT54" s="2"/>
      <c r="AU54" s="2"/>
      <c r="AV54" s="2" t="str">
        <v>35.Discrepancies in contract documents</v>
      </c>
      <c r="AW54" s="10">
        <v>0.28787408814297522</v>
      </c>
      <c r="AX54" s="11">
        <v>0.14853396313703196</v>
      </c>
      <c r="AY54" s="11">
        <v>6.1732053585115569E-2</v>
      </c>
      <c r="AZ54" s="18">
        <v>0.27886870712220813</v>
      </c>
      <c r="BA54" s="18">
        <v>0.4026948520803304</v>
      </c>
      <c r="BB54" s="18">
        <v>0.36620413047914296</v>
      </c>
      <c r="BC54" s="18">
        <v>0.4632017610721289</v>
      </c>
      <c r="BD54" s="18">
        <v>0.33102551095967703</v>
      </c>
      <c r="BE54" s="18">
        <v>0.44043336655383247</v>
      </c>
      <c r="BF54" s="18">
        <v>0.35683000045089691</v>
      </c>
      <c r="BG54" s="18">
        <v>0.48640279675475645</v>
      </c>
      <c r="BH54" s="18">
        <v>0.43418606702514911</v>
      </c>
      <c r="BI54" s="18">
        <v>0.4344386365083836</v>
      </c>
      <c r="BJ54" s="18">
        <v>1.6682577852375216E-2</v>
      </c>
      <c r="BK54" s="18">
        <v>0.22595049684796634</v>
      </c>
      <c r="BL54" s="18">
        <v>0.40916589873078257</v>
      </c>
      <c r="BM54" s="18">
        <v>0.26455724213322868</v>
      </c>
      <c r="BN54" s="18">
        <v>0.11802633945632569</v>
      </c>
      <c r="BO54" s="18">
        <v>0.33442412760555135</v>
      </c>
      <c r="BP54" s="18">
        <v>0.35574981856890464</v>
      </c>
      <c r="BQ54" s="18">
        <v>0.23896690201459406</v>
      </c>
      <c r="BR54" s="18">
        <v>0.29860909589651941</v>
      </c>
      <c r="BS54" s="18">
        <v>0.25942030259591886</v>
      </c>
      <c r="BT54" s="18">
        <v>0.17153718713426816</v>
      </c>
      <c r="BU54" s="18">
        <v>0.42507749853159066</v>
      </c>
      <c r="BV54" s="18">
        <v>0.51094539598878641</v>
      </c>
      <c r="BW54" s="18">
        <v>0.54921141501388238</v>
      </c>
      <c r="BX54" s="18">
        <v>0.43897725874559684</v>
      </c>
      <c r="BY54" s="18">
        <v>0.33014847707969169</v>
      </c>
      <c r="BZ54" s="18">
        <v>0.21406725353615777</v>
      </c>
      <c r="CA54" s="18">
        <v>0.31070823710006762</v>
      </c>
      <c r="CB54" s="18">
        <v>0.34416486625203352</v>
      </c>
      <c r="CC54" s="18">
        <v>0.27801443747629084</v>
      </c>
      <c r="CD54" s="18">
        <v>0.75711106546743367</v>
      </c>
      <c r="CE54" s="18">
        <v>0.99999999999999956</v>
      </c>
      <c r="CF54" s="18">
        <v>0.41083191502599059</v>
      </c>
      <c r="CG54" s="18">
        <v>0.18973414940214978</v>
      </c>
      <c r="CH54" s="18">
        <v>0.16789461029598354</v>
      </c>
      <c r="CI54" s="18">
        <v>0.18013423322310429</v>
      </c>
      <c r="CJ54" s="18">
        <v>0.20832443044484056</v>
      </c>
      <c r="CK54" s="18">
        <v>0.46353308494721801</v>
      </c>
      <c r="CL54" s="18">
        <v>0.44153937995332593</v>
      </c>
      <c r="CM54" s="18">
        <v>0.26407675432144079</v>
      </c>
      <c r="CN54" s="19">
        <v>0.27415872966695654</v>
      </c>
    </row>
    <row r="55" spans="1:93" x14ac:dyDescent="0.2">
      <c r="A55" s="2" t="s">
        <v>98</v>
      </c>
      <c r="B55" s="2">
        <v>4</v>
      </c>
      <c r="C55" s="2">
        <v>5</v>
      </c>
      <c r="D55" s="2">
        <v>3</v>
      </c>
      <c r="E55" s="2">
        <v>4</v>
      </c>
      <c r="F55" s="2">
        <v>4</v>
      </c>
      <c r="G55" s="2">
        <v>4</v>
      </c>
      <c r="H55" s="2">
        <v>5</v>
      </c>
      <c r="I55" s="2">
        <v>4</v>
      </c>
      <c r="J55" s="2">
        <v>4</v>
      </c>
      <c r="K55" s="2">
        <v>5</v>
      </c>
      <c r="L55" s="2">
        <v>4</v>
      </c>
      <c r="M55" s="2">
        <v>4</v>
      </c>
      <c r="N55" s="2">
        <v>4</v>
      </c>
      <c r="O55" s="2">
        <v>5</v>
      </c>
      <c r="P55" s="2">
        <v>5</v>
      </c>
      <c r="Q55" s="2">
        <v>5</v>
      </c>
      <c r="R55" s="2">
        <v>4</v>
      </c>
      <c r="S55" s="2">
        <v>3</v>
      </c>
      <c r="T55" s="2">
        <v>5</v>
      </c>
      <c r="U55" s="2">
        <v>4</v>
      </c>
      <c r="V55" s="2">
        <v>4</v>
      </c>
      <c r="W55" s="2">
        <v>4</v>
      </c>
      <c r="X55" s="2">
        <v>4</v>
      </c>
      <c r="Y55" s="2">
        <v>3</v>
      </c>
      <c r="Z55" s="2">
        <v>4</v>
      </c>
      <c r="AA55" s="2">
        <v>3</v>
      </c>
      <c r="AB55" s="2">
        <v>4</v>
      </c>
      <c r="AC55" s="2">
        <v>4</v>
      </c>
      <c r="AD55" s="2">
        <v>4</v>
      </c>
      <c r="AE55" s="2">
        <v>5</v>
      </c>
      <c r="AF55" s="2">
        <v>4</v>
      </c>
      <c r="AG55" s="2">
        <v>4</v>
      </c>
      <c r="AH55" s="2">
        <v>5</v>
      </c>
      <c r="AI55" s="2">
        <v>4</v>
      </c>
      <c r="AJ55" s="2">
        <v>3</v>
      </c>
      <c r="AK55" s="2">
        <v>4</v>
      </c>
      <c r="AL55" s="2">
        <v>5</v>
      </c>
      <c r="AM55" s="2">
        <v>4</v>
      </c>
      <c r="AN55" s="2">
        <v>5</v>
      </c>
      <c r="AO55" s="2">
        <v>4</v>
      </c>
      <c r="AP55" s="2">
        <v>4</v>
      </c>
      <c r="AQ55" s="2">
        <v>3</v>
      </c>
      <c r="AR55" s="2">
        <v>3</v>
      </c>
      <c r="AS55" s="2">
        <v>5</v>
      </c>
      <c r="AT55" s="2"/>
      <c r="AU55" s="2"/>
      <c r="AV55" s="2" t="str">
        <v>36.Underestimation of time for completion of project</v>
      </c>
      <c r="AW55" s="10">
        <v>0.31311385082861104</v>
      </c>
      <c r="AX55" s="11">
        <v>0.32244451807723767</v>
      </c>
      <c r="AY55" s="11">
        <v>0.25113067613000306</v>
      </c>
      <c r="AZ55" s="18">
        <v>0.34150607947175482</v>
      </c>
      <c r="BA55" s="18">
        <v>0.28710048558901879</v>
      </c>
      <c r="BB55" s="18">
        <v>0.45632571459413601</v>
      </c>
      <c r="BC55" s="18">
        <v>0.48356720547553161</v>
      </c>
      <c r="BD55" s="18">
        <v>0.24597891444311332</v>
      </c>
      <c r="BE55" s="18">
        <v>0.51013114482391875</v>
      </c>
      <c r="BF55" s="18">
        <v>0.25584330520638526</v>
      </c>
      <c r="BG55" s="18">
        <v>0.42679344353557552</v>
      </c>
      <c r="BH55" s="18">
        <v>0.411535908165717</v>
      </c>
      <c r="BI55" s="18">
        <v>0.35471114962626199</v>
      </c>
      <c r="BJ55" s="18">
        <v>-8.2570082247054047E-2</v>
      </c>
      <c r="BK55" s="18">
        <v>-3.4385173145564746E-2</v>
      </c>
      <c r="BL55" s="18">
        <v>0.13026436471205619</v>
      </c>
      <c r="BM55" s="18">
        <v>5.1249118055166805E-2</v>
      </c>
      <c r="BN55" s="18">
        <v>2.4623459027365954E-2</v>
      </c>
      <c r="BO55" s="18">
        <v>0.22692063139041907</v>
      </c>
      <c r="BP55" s="18">
        <v>0.22883134153056006</v>
      </c>
      <c r="BQ55" s="18">
        <v>-4.630469222794948E-2</v>
      </c>
      <c r="BR55" s="18">
        <v>-3.6326811169536039E-2</v>
      </c>
      <c r="BS55" s="18">
        <v>0.24184366154812909</v>
      </c>
      <c r="BT55" s="18">
        <v>0.17591331799620299</v>
      </c>
      <c r="BU55" s="18">
        <v>0.22552973842412757</v>
      </c>
      <c r="BV55" s="18">
        <v>0.22221948147456189</v>
      </c>
      <c r="BW55" s="18">
        <v>0.37200248974533467</v>
      </c>
      <c r="BX55" s="18">
        <v>0.26315230716440652</v>
      </c>
      <c r="BY55" s="18">
        <v>0.17147920687631724</v>
      </c>
      <c r="BZ55" s="18">
        <v>7.1347643957836049E-2</v>
      </c>
      <c r="CA55" s="18">
        <v>6.4292425048934218E-2</v>
      </c>
      <c r="CB55" s="18">
        <v>0.33620378153027491</v>
      </c>
      <c r="CC55" s="18">
        <v>0.13229056832170819</v>
      </c>
      <c r="CD55" s="18">
        <v>0.34836914883052078</v>
      </c>
      <c r="CE55" s="18">
        <v>0.41083191502599059</v>
      </c>
      <c r="CF55" s="18">
        <v>0.99999999999999944</v>
      </c>
      <c r="CG55" s="18">
        <v>0.38712275328381879</v>
      </c>
      <c r="CH55" s="18">
        <v>7.4127059936294733E-3</v>
      </c>
      <c r="CI55" s="18">
        <v>6.8407574670727653E-2</v>
      </c>
      <c r="CJ55" s="18">
        <v>-2.5128987439491681E-2</v>
      </c>
      <c r="CK55" s="18">
        <v>0.41590689013100868</v>
      </c>
      <c r="CL55" s="18">
        <v>0.34692402404128941</v>
      </c>
      <c r="CM55" s="18">
        <v>0.29156317421273753</v>
      </c>
      <c r="CN55" s="19">
        <v>0.28209365016140747</v>
      </c>
    </row>
    <row r="56" spans="1:93" x14ac:dyDescent="0.2">
      <c r="A56" s="2" t="s">
        <v>99</v>
      </c>
      <c r="B56" s="2">
        <v>2</v>
      </c>
      <c r="C56" s="2">
        <v>3</v>
      </c>
      <c r="D56" s="2">
        <v>4</v>
      </c>
      <c r="E56" s="2">
        <v>2</v>
      </c>
      <c r="F56" s="2">
        <v>4</v>
      </c>
      <c r="G56" s="2">
        <v>3</v>
      </c>
      <c r="H56" s="2">
        <v>2</v>
      </c>
      <c r="I56" s="2">
        <v>3</v>
      </c>
      <c r="J56" s="2">
        <v>4</v>
      </c>
      <c r="K56" s="2">
        <v>3</v>
      </c>
      <c r="L56" s="2">
        <v>4</v>
      </c>
      <c r="M56" s="2">
        <v>5</v>
      </c>
      <c r="N56" s="2">
        <v>5</v>
      </c>
      <c r="O56" s="2">
        <v>3</v>
      </c>
      <c r="P56" s="2">
        <v>5</v>
      </c>
      <c r="Q56" s="2">
        <v>4</v>
      </c>
      <c r="R56" s="2">
        <v>5</v>
      </c>
      <c r="S56" s="2">
        <v>4</v>
      </c>
      <c r="T56" s="2">
        <v>5</v>
      </c>
      <c r="U56" s="2">
        <v>4</v>
      </c>
      <c r="V56" s="2">
        <v>5</v>
      </c>
      <c r="W56" s="2">
        <v>3</v>
      </c>
      <c r="X56" s="2">
        <v>5</v>
      </c>
      <c r="Y56" s="2">
        <v>5</v>
      </c>
      <c r="Z56" s="2">
        <v>3</v>
      </c>
      <c r="AA56" s="2">
        <v>4</v>
      </c>
      <c r="AB56" s="2">
        <v>4</v>
      </c>
      <c r="AC56" s="2">
        <v>3</v>
      </c>
      <c r="AD56" s="2">
        <v>3</v>
      </c>
      <c r="AE56" s="2">
        <v>4</v>
      </c>
      <c r="AF56" s="2">
        <v>3</v>
      </c>
      <c r="AG56" s="2">
        <v>3</v>
      </c>
      <c r="AH56" s="2">
        <v>3</v>
      </c>
      <c r="AI56" s="2">
        <v>4</v>
      </c>
      <c r="AJ56" s="2">
        <v>3</v>
      </c>
      <c r="AK56" s="2">
        <v>4</v>
      </c>
      <c r="AL56" s="2">
        <v>4</v>
      </c>
      <c r="AM56" s="2">
        <v>4</v>
      </c>
      <c r="AN56" s="2">
        <v>5</v>
      </c>
      <c r="AO56" s="2">
        <v>4</v>
      </c>
      <c r="AP56" s="2">
        <v>4</v>
      </c>
      <c r="AQ56" s="2">
        <v>3</v>
      </c>
      <c r="AR56" s="2">
        <v>3</v>
      </c>
      <c r="AS56" s="2">
        <v>3</v>
      </c>
      <c r="AT56" s="2"/>
      <c r="AU56" s="2"/>
      <c r="AV56" s="2" t="str">
        <v>37.Extension of time with cost claims</v>
      </c>
      <c r="AW56" s="10">
        <v>0.32317929349626673</v>
      </c>
      <c r="AX56" s="11">
        <v>0.31795690178841013</v>
      </c>
      <c r="AY56" s="11">
        <v>8.8152654563341509E-2</v>
      </c>
      <c r="AZ56" s="18">
        <v>0.24803893689443043</v>
      </c>
      <c r="BA56" s="18">
        <v>0.27463286951264471</v>
      </c>
      <c r="BB56" s="18">
        <v>0.16746171130368345</v>
      </c>
      <c r="BC56" s="18">
        <v>0.19214059105636244</v>
      </c>
      <c r="BD56" s="18">
        <v>0.19847573884561412</v>
      </c>
      <c r="BE56" s="18">
        <v>0.10164717282485246</v>
      </c>
      <c r="BF56" s="18">
        <v>0.24250761621400535</v>
      </c>
      <c r="BG56" s="18">
        <v>0.19296092281136212</v>
      </c>
      <c r="BH56" s="18">
        <v>6.590255358643092E-2</v>
      </c>
      <c r="BI56" s="18">
        <v>8.4110721047816722E-2</v>
      </c>
      <c r="BJ56" s="18">
        <v>0.40472252237114997</v>
      </c>
      <c r="BK56" s="18">
        <v>0.312262744110474</v>
      </c>
      <c r="BL56" s="18">
        <v>0.21699298621711846</v>
      </c>
      <c r="BM56" s="18">
        <v>0.24254302276339029</v>
      </c>
      <c r="BN56" s="18">
        <v>7.9529826165219517E-2</v>
      </c>
      <c r="BO56" s="18">
        <v>0.12572012498399729</v>
      </c>
      <c r="BP56" s="18">
        <v>0.11356799508621057</v>
      </c>
      <c r="BQ56" s="18">
        <v>0.18265116052714045</v>
      </c>
      <c r="BR56" s="18">
        <v>9.9256934542721359E-2</v>
      </c>
      <c r="BS56" s="18">
        <v>0.11920264802849138</v>
      </c>
      <c r="BT56" s="18">
        <v>0.10228128046884251</v>
      </c>
      <c r="BU56" s="18">
        <v>0.22181820032352015</v>
      </c>
      <c r="BV56" s="18">
        <v>0.20809187665714238</v>
      </c>
      <c r="BW56" s="18">
        <v>0.23131652035367181</v>
      </c>
      <c r="BX56" s="18">
        <v>0.22396223287853786</v>
      </c>
      <c r="BY56" s="18">
        <v>0.16822733559836139</v>
      </c>
      <c r="BZ56" s="18">
        <v>0.22264711150689367</v>
      </c>
      <c r="CA56" s="18">
        <v>0.2214492127904274</v>
      </c>
      <c r="CB56" s="18">
        <v>8.9527697396703215E-2</v>
      </c>
      <c r="CC56" s="18">
        <v>0.17734335940865509</v>
      </c>
      <c r="CD56" s="18">
        <v>0.22185084142261263</v>
      </c>
      <c r="CE56" s="18">
        <v>0.18973414940214978</v>
      </c>
      <c r="CF56" s="18">
        <v>0.38712275328381879</v>
      </c>
      <c r="CG56" s="18">
        <v>0.999999999999999</v>
      </c>
      <c r="CH56" s="18">
        <v>0.19042124385469264</v>
      </c>
      <c r="CI56" s="18">
        <v>0.22705337070219173</v>
      </c>
      <c r="CJ56" s="18">
        <v>0.19668779616484425</v>
      </c>
      <c r="CK56" s="18">
        <v>0.13695543605487417</v>
      </c>
      <c r="CL56" s="18">
        <v>0.25907901345067275</v>
      </c>
      <c r="CM56" s="18">
        <v>0.1950817256803366</v>
      </c>
      <c r="CN56" s="19">
        <v>0.46514694019662178</v>
      </c>
    </row>
    <row r="57" spans="1:93" x14ac:dyDescent="0.2">
      <c r="A57" s="2" t="s">
        <v>100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5</v>
      </c>
      <c r="H57" s="2">
        <v>5</v>
      </c>
      <c r="I57" s="2">
        <v>3</v>
      </c>
      <c r="J57" s="2">
        <v>2</v>
      </c>
      <c r="K57" s="2">
        <v>5</v>
      </c>
      <c r="L57" s="2">
        <v>5</v>
      </c>
      <c r="M57" s="2">
        <v>5</v>
      </c>
      <c r="N57" s="2">
        <v>4</v>
      </c>
      <c r="O57" s="2">
        <v>5</v>
      </c>
      <c r="P57" s="2">
        <v>5</v>
      </c>
      <c r="Q57" s="2">
        <v>5</v>
      </c>
      <c r="R57" s="2">
        <v>5</v>
      </c>
      <c r="S57" s="2">
        <v>3</v>
      </c>
      <c r="T57" s="2">
        <v>5</v>
      </c>
      <c r="U57" s="2">
        <v>4</v>
      </c>
      <c r="V57" s="2">
        <v>4</v>
      </c>
      <c r="W57" s="2">
        <v>3</v>
      </c>
      <c r="X57" s="2">
        <v>1</v>
      </c>
      <c r="Y57" s="2">
        <v>1</v>
      </c>
      <c r="Z57" s="2">
        <v>2</v>
      </c>
      <c r="AA57" s="2">
        <v>2</v>
      </c>
      <c r="AB57" s="2">
        <v>5</v>
      </c>
      <c r="AC57" s="2">
        <v>5</v>
      </c>
      <c r="AD57" s="2">
        <v>5</v>
      </c>
      <c r="AE57" s="2">
        <v>5</v>
      </c>
      <c r="AF57" s="2">
        <v>2</v>
      </c>
      <c r="AG57" s="2">
        <v>2</v>
      </c>
      <c r="AH57" s="2">
        <v>3</v>
      </c>
      <c r="AI57" s="2">
        <v>5</v>
      </c>
      <c r="AJ57" s="2">
        <v>4</v>
      </c>
      <c r="AK57" s="2">
        <v>5</v>
      </c>
      <c r="AL57" s="2">
        <v>3</v>
      </c>
      <c r="AM57" s="2">
        <v>4</v>
      </c>
      <c r="AN57" s="2">
        <v>5</v>
      </c>
      <c r="AO57" s="2">
        <v>4</v>
      </c>
      <c r="AP57" s="2">
        <v>5</v>
      </c>
      <c r="AQ57" s="2">
        <v>2</v>
      </c>
      <c r="AR57" s="2">
        <v>1</v>
      </c>
      <c r="AS57" s="2">
        <v>5</v>
      </c>
      <c r="AT57" s="2"/>
      <c r="AU57" s="2"/>
      <c r="AV57" s="2" t="str">
        <v>38.Scope and specification changes</v>
      </c>
      <c r="AW57" s="10">
        <v>0.10372329875304917</v>
      </c>
      <c r="AX57" s="11">
        <v>-0.13151865224983628</v>
      </c>
      <c r="AY57" s="11">
        <v>0.14463386003234241</v>
      </c>
      <c r="AZ57" s="18">
        <v>0.12021914081716475</v>
      </c>
      <c r="BA57" s="18">
        <v>0.22796261095298442</v>
      </c>
      <c r="BB57" s="18">
        <v>0.20302196888720775</v>
      </c>
      <c r="BC57" s="18">
        <v>0.23124537778204998</v>
      </c>
      <c r="BD57" s="18">
        <v>0.25914885295673329</v>
      </c>
      <c r="BE57" s="18">
        <v>0.17365298562697651</v>
      </c>
      <c r="BF57" s="18">
        <v>0.24841666485040884</v>
      </c>
      <c r="BG57" s="18">
        <v>1.7981126195898992E-2</v>
      </c>
      <c r="BH57" s="18">
        <v>0.36935812084475861</v>
      </c>
      <c r="BI57" s="18">
        <v>0.2177910107830609</v>
      </c>
      <c r="BJ57" s="18">
        <v>0.20957912602051518</v>
      </c>
      <c r="BK57" s="18">
        <v>0.17910407072264184</v>
      </c>
      <c r="BL57" s="18">
        <v>0.14385876573370432</v>
      </c>
      <c r="BM57" s="18">
        <v>0.10209486726781808</v>
      </c>
      <c r="BN57" s="18">
        <v>0.22965705547036247</v>
      </c>
      <c r="BO57" s="18">
        <v>0.23190827474327175</v>
      </c>
      <c r="BP57" s="18">
        <v>7.4349359051442646E-2</v>
      </c>
      <c r="BQ57" s="18">
        <v>0.37679885529686485</v>
      </c>
      <c r="BR57" s="18">
        <v>0.38008410397927517</v>
      </c>
      <c r="BS57" s="18">
        <v>8.6097802663021819E-2</v>
      </c>
      <c r="BT57" s="18">
        <v>0.10368708274662564</v>
      </c>
      <c r="BU57" s="18">
        <v>0.11901255900718971</v>
      </c>
      <c r="BV57" s="18">
        <v>0.33897267355602867</v>
      </c>
      <c r="BW57" s="18">
        <v>0.29860536590597897</v>
      </c>
      <c r="BX57" s="18">
        <v>0.19689191078151791</v>
      </c>
      <c r="BY57" s="18">
        <v>0.19286068313775076</v>
      </c>
      <c r="BZ57" s="18">
        <v>0.16178207810253661</v>
      </c>
      <c r="CA57" s="18">
        <v>0.36294350215637139</v>
      </c>
      <c r="CB57" s="18">
        <v>0.19980471698755076</v>
      </c>
      <c r="CC57" s="18">
        <v>0.22305841500258458</v>
      </c>
      <c r="CD57" s="18">
        <v>0.23111705013488235</v>
      </c>
      <c r="CE57" s="18">
        <v>0.16789461029598354</v>
      </c>
      <c r="CF57" s="18">
        <v>7.4127059936294733E-3</v>
      </c>
      <c r="CG57" s="18">
        <v>0.19042124385469264</v>
      </c>
      <c r="CH57" s="18">
        <v>0.99999999999999956</v>
      </c>
      <c r="CI57" s="18">
        <v>0.67858618359581291</v>
      </c>
      <c r="CJ57" s="18">
        <v>0.54701646610829147</v>
      </c>
      <c r="CK57" s="18">
        <v>0.23056544888328631</v>
      </c>
      <c r="CL57" s="18">
        <v>0.11174460674002044</v>
      </c>
      <c r="CM57" s="18">
        <v>0.10132224610853623</v>
      </c>
      <c r="CN57" s="19">
        <v>0.11345510197028014</v>
      </c>
    </row>
    <row r="58" spans="1:93" x14ac:dyDescent="0.2">
      <c r="A58" s="2" t="s">
        <v>101</v>
      </c>
      <c r="B58" s="2">
        <v>1</v>
      </c>
      <c r="C58" s="2">
        <v>1</v>
      </c>
      <c r="D58" s="2">
        <v>4</v>
      </c>
      <c r="E58" s="2">
        <v>3</v>
      </c>
      <c r="F58" s="2">
        <v>4</v>
      </c>
      <c r="G58" s="2">
        <v>4</v>
      </c>
      <c r="H58" s="2">
        <v>4</v>
      </c>
      <c r="I58" s="2">
        <v>4</v>
      </c>
      <c r="J58" s="2">
        <v>5</v>
      </c>
      <c r="K58" s="2">
        <v>3</v>
      </c>
      <c r="L58" s="2">
        <v>3</v>
      </c>
      <c r="M58" s="2">
        <v>5</v>
      </c>
      <c r="N58" s="2">
        <v>5</v>
      </c>
      <c r="O58" s="2">
        <v>4</v>
      </c>
      <c r="P58" s="2">
        <v>2</v>
      </c>
      <c r="Q58" s="2">
        <v>3</v>
      </c>
      <c r="R58" s="2">
        <v>2</v>
      </c>
      <c r="S58" s="2">
        <v>5</v>
      </c>
      <c r="T58" s="2">
        <v>5</v>
      </c>
      <c r="U58" s="2">
        <v>4</v>
      </c>
      <c r="V58" s="2">
        <v>3</v>
      </c>
      <c r="W58" s="2">
        <v>5</v>
      </c>
      <c r="X58" s="2">
        <v>5</v>
      </c>
      <c r="Y58" s="2">
        <v>4</v>
      </c>
      <c r="Z58" s="2">
        <v>4</v>
      </c>
      <c r="AA58" s="2">
        <v>3</v>
      </c>
      <c r="AB58" s="2">
        <v>4</v>
      </c>
      <c r="AC58" s="2">
        <v>4</v>
      </c>
      <c r="AD58" s="2">
        <v>3</v>
      </c>
      <c r="AE58" s="2">
        <v>5</v>
      </c>
      <c r="AF58" s="2">
        <v>5</v>
      </c>
      <c r="AG58" s="2">
        <v>3</v>
      </c>
      <c r="AH58" s="2">
        <v>3</v>
      </c>
      <c r="AI58" s="2">
        <v>2</v>
      </c>
      <c r="AJ58" s="2">
        <v>2</v>
      </c>
      <c r="AK58" s="2">
        <v>5</v>
      </c>
      <c r="AL58" s="2">
        <v>3</v>
      </c>
      <c r="AM58" s="2">
        <v>4</v>
      </c>
      <c r="AN58" s="2">
        <v>5</v>
      </c>
      <c r="AO58" s="2">
        <v>4</v>
      </c>
      <c r="AP58" s="2">
        <v>3</v>
      </c>
      <c r="AQ58" s="2">
        <v>2</v>
      </c>
      <c r="AR58" s="2">
        <v>2</v>
      </c>
      <c r="AS58" s="2">
        <v>4</v>
      </c>
      <c r="AT58" s="2"/>
      <c r="AU58" s="2"/>
      <c r="AV58" s="2" t="str">
        <v>39.Changes in client requirements</v>
      </c>
      <c r="AW58" s="10">
        <v>0.18160818340575055</v>
      </c>
      <c r="AX58" s="11">
        <v>0.1081301542876683</v>
      </c>
      <c r="AY58" s="11">
        <v>0.20512811805178841</v>
      </c>
      <c r="AZ58" s="18">
        <v>0.23120603304611814</v>
      </c>
      <c r="BA58" s="18">
        <v>0.33534352901451314</v>
      </c>
      <c r="BB58" s="18">
        <v>0.24207814962920607</v>
      </c>
      <c r="BC58" s="18">
        <v>0.34691463179400411</v>
      </c>
      <c r="BD58" s="18">
        <v>0.27281490392856278</v>
      </c>
      <c r="BE58" s="18">
        <v>0.27644477820530888</v>
      </c>
      <c r="BF58" s="18">
        <v>0.36384973060832687</v>
      </c>
      <c r="BG58" s="18">
        <v>0.20914598793916356</v>
      </c>
      <c r="BH58" s="18">
        <v>0.42007585738753633</v>
      </c>
      <c r="BI58" s="18">
        <v>0.35252238044039413</v>
      </c>
      <c r="BJ58" s="18">
        <v>0.24704431505816155</v>
      </c>
      <c r="BK58" s="18">
        <v>0.23702869702683213</v>
      </c>
      <c r="BL58" s="18">
        <v>0.1931937804272735</v>
      </c>
      <c r="BM58" s="18">
        <v>0.1036713365941012</v>
      </c>
      <c r="BN58" s="18">
        <v>0.29734133531686507</v>
      </c>
      <c r="BO58" s="18">
        <v>0.30495657435311291</v>
      </c>
      <c r="BP58" s="18">
        <v>0.10039959033955644</v>
      </c>
      <c r="BQ58" s="18">
        <v>0.32803092883649421</v>
      </c>
      <c r="BR58" s="18">
        <v>0.25953889755450993</v>
      </c>
      <c r="BS58" s="18">
        <v>4.5992036220415887E-2</v>
      </c>
      <c r="BT58" s="18">
        <v>8.3910911760212717E-2</v>
      </c>
      <c r="BU58" s="18">
        <v>9.2694059799409145E-2</v>
      </c>
      <c r="BV58" s="18">
        <v>0.24069094727054766</v>
      </c>
      <c r="BW58" s="18">
        <v>0.31079484647282807</v>
      </c>
      <c r="BX58" s="18">
        <v>0.31504461911480885</v>
      </c>
      <c r="BY58" s="18">
        <v>0.28637946239183348</v>
      </c>
      <c r="BZ58" s="18">
        <v>0.26301237195001237</v>
      </c>
      <c r="CA58" s="18">
        <v>0.19883023452965445</v>
      </c>
      <c r="CB58" s="18">
        <v>9.4999917895612837E-3</v>
      </c>
      <c r="CC58" s="18">
        <v>0.35204149933878598</v>
      </c>
      <c r="CD58" s="18">
        <v>0.27389898026500276</v>
      </c>
      <c r="CE58" s="18">
        <v>0.18013423322310429</v>
      </c>
      <c r="CF58" s="18">
        <v>6.8407574670727653E-2</v>
      </c>
      <c r="CG58" s="18">
        <v>0.22705337070219173</v>
      </c>
      <c r="CH58" s="18">
        <v>0.67858618359581291</v>
      </c>
      <c r="CI58" s="18">
        <v>1.0000000000000011</v>
      </c>
      <c r="CJ58" s="18">
        <v>0.61426928442717144</v>
      </c>
      <c r="CK58" s="18">
        <v>0.18911920383994263</v>
      </c>
      <c r="CL58" s="18">
        <v>7.0001442275976775E-3</v>
      </c>
      <c r="CM58" s="18">
        <v>8.4208101023588722E-2</v>
      </c>
      <c r="CN58" s="19">
        <v>0.15154441671843027</v>
      </c>
    </row>
    <row r="59" spans="1:93" x14ac:dyDescent="0.2">
      <c r="A59" s="2" t="s">
        <v>102</v>
      </c>
      <c r="B59" s="2">
        <v>1</v>
      </c>
      <c r="C59" s="2">
        <v>1</v>
      </c>
      <c r="D59" s="2">
        <v>4</v>
      </c>
      <c r="E59" s="2">
        <v>3</v>
      </c>
      <c r="F59" s="2">
        <v>4</v>
      </c>
      <c r="G59" s="2">
        <v>4</v>
      </c>
      <c r="H59" s="2">
        <v>4</v>
      </c>
      <c r="I59" s="2">
        <v>4</v>
      </c>
      <c r="J59" s="2">
        <v>5</v>
      </c>
      <c r="K59" s="2">
        <v>3</v>
      </c>
      <c r="L59" s="2">
        <v>3</v>
      </c>
      <c r="M59" s="2">
        <v>5</v>
      </c>
      <c r="N59" s="2">
        <v>5</v>
      </c>
      <c r="O59" s="2">
        <v>3</v>
      </c>
      <c r="P59" s="2">
        <v>2</v>
      </c>
      <c r="Q59" s="2">
        <v>4</v>
      </c>
      <c r="R59" s="2">
        <v>2</v>
      </c>
      <c r="S59" s="2">
        <v>5</v>
      </c>
      <c r="T59" s="2">
        <v>5</v>
      </c>
      <c r="U59" s="2">
        <v>4</v>
      </c>
      <c r="V59" s="2">
        <v>3</v>
      </c>
      <c r="W59" s="2">
        <v>5</v>
      </c>
      <c r="X59" s="2">
        <v>5</v>
      </c>
      <c r="Y59" s="2">
        <v>3</v>
      </c>
      <c r="Z59" s="2">
        <v>3</v>
      </c>
      <c r="AA59" s="2">
        <v>5</v>
      </c>
      <c r="AB59" s="2">
        <v>3</v>
      </c>
      <c r="AC59" s="2">
        <v>4</v>
      </c>
      <c r="AD59" s="2">
        <v>4</v>
      </c>
      <c r="AE59" s="2">
        <v>5</v>
      </c>
      <c r="AF59" s="2">
        <v>5</v>
      </c>
      <c r="AG59" s="2">
        <v>3</v>
      </c>
      <c r="AH59" s="2">
        <v>3</v>
      </c>
      <c r="AI59" s="2">
        <v>4</v>
      </c>
      <c r="AJ59" s="2">
        <v>4</v>
      </c>
      <c r="AK59" s="2">
        <v>3</v>
      </c>
      <c r="AL59" s="2">
        <v>1</v>
      </c>
      <c r="AM59" s="2">
        <v>4</v>
      </c>
      <c r="AN59" s="2">
        <v>5</v>
      </c>
      <c r="AO59" s="2">
        <v>4</v>
      </c>
      <c r="AP59" s="2">
        <v>3</v>
      </c>
      <c r="AQ59" s="2">
        <v>2</v>
      </c>
      <c r="AR59" s="2">
        <v>2</v>
      </c>
      <c r="AS59" s="2">
        <v>4</v>
      </c>
      <c r="AT59" s="2"/>
      <c r="AU59" s="2"/>
      <c r="AV59" s="2" t="str">
        <v>40.Frequency of variation orders and additional works</v>
      </c>
      <c r="AW59" s="10">
        <v>0.15955290230309158</v>
      </c>
      <c r="AX59" s="11">
        <v>3.3642285424736074E-2</v>
      </c>
      <c r="AY59" s="11">
        <v>-2.0098679632996885E-2</v>
      </c>
      <c r="AZ59" s="18">
        <v>2.4896171756986898E-2</v>
      </c>
      <c r="BA59" s="18">
        <v>0.18869394155767369</v>
      </c>
      <c r="BB59" s="18">
        <v>0.17031248766879142</v>
      </c>
      <c r="BC59" s="18">
        <v>0.1660106565060108</v>
      </c>
      <c r="BD59" s="18">
        <v>0.19601223186077965</v>
      </c>
      <c r="BE59" s="18">
        <v>0.24447180524566761</v>
      </c>
      <c r="BF59" s="18">
        <v>0.26365630481629793</v>
      </c>
      <c r="BG59" s="18">
        <v>0.1241851723503509</v>
      </c>
      <c r="BH59" s="18">
        <v>0.27630834327236936</v>
      </c>
      <c r="BI59" s="18">
        <v>0.25855699317728315</v>
      </c>
      <c r="BJ59" s="18">
        <v>0.25479594844586057</v>
      </c>
      <c r="BK59" s="18">
        <v>0.19182433781518021</v>
      </c>
      <c r="BL59" s="18">
        <v>0.179606056191357</v>
      </c>
      <c r="BM59" s="18">
        <v>5.3341641365428474E-2</v>
      </c>
      <c r="BN59" s="18">
        <v>0.26541501106452797</v>
      </c>
      <c r="BO59" s="18">
        <v>0.2844385446820738</v>
      </c>
      <c r="BP59" s="18">
        <v>0.15764961523774443</v>
      </c>
      <c r="BQ59" s="18">
        <v>0.37396953890245416</v>
      </c>
      <c r="BR59" s="18">
        <v>0.42294979053941945</v>
      </c>
      <c r="BS59" s="18">
        <v>6.2054922691537361E-2</v>
      </c>
      <c r="BT59" s="18">
        <v>-5.3285248564207653E-2</v>
      </c>
      <c r="BU59" s="18">
        <v>6.7520844856706438E-2</v>
      </c>
      <c r="BV59" s="18">
        <v>0.21823298657601445</v>
      </c>
      <c r="BW59" s="18">
        <v>0.17948115073639587</v>
      </c>
      <c r="BX59" s="18">
        <v>0.30861113708423216</v>
      </c>
      <c r="BY59" s="18">
        <v>0.18839752433208851</v>
      </c>
      <c r="BZ59" s="18">
        <v>0.14047998672820483</v>
      </c>
      <c r="CA59" s="18">
        <v>0.24795951458180049</v>
      </c>
      <c r="CB59" s="18">
        <v>0.12192305923984799</v>
      </c>
      <c r="CC59" s="18">
        <v>0.18410026702876206</v>
      </c>
      <c r="CD59" s="18">
        <v>0.27548056977817298</v>
      </c>
      <c r="CE59" s="18">
        <v>0.20832443044484056</v>
      </c>
      <c r="CF59" s="18">
        <v>-2.5128987439491681E-2</v>
      </c>
      <c r="CG59" s="18">
        <v>0.19668779616484425</v>
      </c>
      <c r="CH59" s="18">
        <v>0.54701646610829147</v>
      </c>
      <c r="CI59" s="18">
        <v>0.61426928442717144</v>
      </c>
      <c r="CJ59" s="18">
        <v>0.99999999999999856</v>
      </c>
      <c r="CK59" s="18">
        <v>0.22135008020354727</v>
      </c>
      <c r="CL59" s="18">
        <v>7.0909632833456041E-2</v>
      </c>
      <c r="CM59" s="18">
        <v>4.9748218583521596E-2</v>
      </c>
      <c r="CN59" s="19">
        <v>0.13522829170708889</v>
      </c>
    </row>
    <row r="60" spans="1:93" x14ac:dyDescent="0.2">
      <c r="A60" s="2" t="s">
        <v>103</v>
      </c>
      <c r="B60" s="2">
        <v>1</v>
      </c>
      <c r="C60" s="2">
        <v>1</v>
      </c>
      <c r="D60" s="2">
        <v>4</v>
      </c>
      <c r="E60" s="2">
        <v>3</v>
      </c>
      <c r="F60" s="2">
        <v>4</v>
      </c>
      <c r="G60" s="2">
        <v>4</v>
      </c>
      <c r="H60" s="2">
        <v>4</v>
      </c>
      <c r="I60" s="2">
        <v>4</v>
      </c>
      <c r="J60" s="2">
        <v>5</v>
      </c>
      <c r="K60" s="2">
        <v>3</v>
      </c>
      <c r="L60" s="2">
        <v>3</v>
      </c>
      <c r="M60" s="2">
        <v>5</v>
      </c>
      <c r="N60" s="2">
        <v>5</v>
      </c>
      <c r="O60" s="2">
        <v>3</v>
      </c>
      <c r="P60" s="2">
        <v>2</v>
      </c>
      <c r="Q60" s="2">
        <v>4</v>
      </c>
      <c r="R60" s="2">
        <v>2</v>
      </c>
      <c r="S60" s="2">
        <v>5</v>
      </c>
      <c r="T60" s="2">
        <v>5</v>
      </c>
      <c r="U60" s="2">
        <v>4</v>
      </c>
      <c r="V60" s="2">
        <v>3</v>
      </c>
      <c r="W60" s="2">
        <v>5</v>
      </c>
      <c r="X60" s="2">
        <v>5</v>
      </c>
      <c r="Y60" s="2">
        <v>3</v>
      </c>
      <c r="Z60" s="2">
        <v>3</v>
      </c>
      <c r="AA60" s="2">
        <v>5</v>
      </c>
      <c r="AB60" s="2">
        <v>3</v>
      </c>
      <c r="AC60" s="2">
        <v>4</v>
      </c>
      <c r="AD60" s="2">
        <v>4</v>
      </c>
      <c r="AE60" s="2">
        <v>5</v>
      </c>
      <c r="AF60" s="2">
        <v>5</v>
      </c>
      <c r="AG60" s="2">
        <v>3</v>
      </c>
      <c r="AH60" s="2">
        <v>3</v>
      </c>
      <c r="AI60" s="2">
        <v>4</v>
      </c>
      <c r="AJ60" s="2">
        <v>4</v>
      </c>
      <c r="AK60" s="2">
        <v>5</v>
      </c>
      <c r="AL60" s="2">
        <v>3</v>
      </c>
      <c r="AM60" s="2">
        <v>4</v>
      </c>
      <c r="AN60" s="2">
        <v>5</v>
      </c>
      <c r="AO60" s="2">
        <v>4</v>
      </c>
      <c r="AP60" s="2">
        <v>3</v>
      </c>
      <c r="AQ60" s="2">
        <v>2</v>
      </c>
      <c r="AR60" s="2">
        <v>2</v>
      </c>
      <c r="AS60" s="2">
        <v>4</v>
      </c>
      <c r="AT60" s="2"/>
      <c r="AU60" s="2"/>
      <c r="AV60" s="2" t="str">
        <v>41.Rework due to error in execution</v>
      </c>
      <c r="AW60" s="10">
        <v>0.26149711311924556</v>
      </c>
      <c r="AX60" s="11">
        <v>0.17936558071383524</v>
      </c>
      <c r="AY60" s="11">
        <v>0.22332634475318747</v>
      </c>
      <c r="AZ60" s="18">
        <v>0.31246699732189226</v>
      </c>
      <c r="BA60" s="18">
        <v>0.31532914242928711</v>
      </c>
      <c r="BB60" s="18">
        <v>0.37429773810278433</v>
      </c>
      <c r="BC60" s="18">
        <v>0.48276815080149516</v>
      </c>
      <c r="BD60" s="18">
        <v>0.19771974471846737</v>
      </c>
      <c r="BE60" s="18">
        <v>0.35839697878849858</v>
      </c>
      <c r="BF60" s="18">
        <v>0.25804161966055567</v>
      </c>
      <c r="BG60" s="18">
        <v>0.46664089303583239</v>
      </c>
      <c r="BH60" s="18">
        <v>0.39230122000602996</v>
      </c>
      <c r="BI60" s="18">
        <v>0.46114644722178622</v>
      </c>
      <c r="BJ60" s="18">
        <v>3.3507604667135961E-2</v>
      </c>
      <c r="BK60" s="18">
        <v>0.24451936941119162</v>
      </c>
      <c r="BL60" s="18">
        <v>0.36601767974976573</v>
      </c>
      <c r="BM60" s="18">
        <v>0.27703712796284863</v>
      </c>
      <c r="BN60" s="18">
        <v>0.10936286875917021</v>
      </c>
      <c r="BO60" s="18">
        <v>0.3061941063294587</v>
      </c>
      <c r="BP60" s="18">
        <v>0.24806589536209045</v>
      </c>
      <c r="BQ60" s="18">
        <v>0.27051575291184049</v>
      </c>
      <c r="BR60" s="18">
        <v>0.16696830540829719</v>
      </c>
      <c r="BS60" s="18">
        <v>0.33469543735585128</v>
      </c>
      <c r="BT60" s="18">
        <v>7.6822906005923328E-2</v>
      </c>
      <c r="BU60" s="18">
        <v>0.16513224073918814</v>
      </c>
      <c r="BV60" s="18">
        <v>0.30768435482892759</v>
      </c>
      <c r="BW60" s="18">
        <v>0.38928036943242866</v>
      </c>
      <c r="BX60" s="18">
        <v>0.22734953947581313</v>
      </c>
      <c r="BY60" s="18">
        <v>-2.962767572864726E-2</v>
      </c>
      <c r="BZ60" s="18">
        <v>3.4314991064203326E-2</v>
      </c>
      <c r="CA60" s="18">
        <v>0.10425460862713413</v>
      </c>
      <c r="CB60" s="18">
        <v>0.38099977023657866</v>
      </c>
      <c r="CC60" s="18">
        <v>1.5296895040413308E-2</v>
      </c>
      <c r="CD60" s="18">
        <v>0.37776107700789729</v>
      </c>
      <c r="CE60" s="18">
        <v>0.46353308494721801</v>
      </c>
      <c r="CF60" s="18">
        <v>0.41590689013100868</v>
      </c>
      <c r="CG60" s="18">
        <v>0.13695543605487417</v>
      </c>
      <c r="CH60" s="18">
        <v>0.23056544888328631</v>
      </c>
      <c r="CI60" s="18">
        <v>0.18911920383994263</v>
      </c>
      <c r="CJ60" s="18">
        <v>0.22135008020354727</v>
      </c>
      <c r="CK60" s="18">
        <v>1.0000000000000016</v>
      </c>
      <c r="CL60" s="18">
        <v>0.27730990754032742</v>
      </c>
      <c r="CM60" s="18">
        <v>0.30676421254337161</v>
      </c>
      <c r="CN60" s="19">
        <v>2.457933875210051E-2</v>
      </c>
    </row>
    <row r="61" spans="1:93" x14ac:dyDescent="0.2">
      <c r="A61" s="2" t="s">
        <v>104</v>
      </c>
      <c r="B61" s="2">
        <v>4</v>
      </c>
      <c r="C61" s="2">
        <v>5</v>
      </c>
      <c r="D61" s="2">
        <v>3</v>
      </c>
      <c r="E61" s="2">
        <v>4</v>
      </c>
      <c r="F61" s="2">
        <v>4</v>
      </c>
      <c r="G61" s="2">
        <v>4</v>
      </c>
      <c r="H61" s="2">
        <v>5</v>
      </c>
      <c r="I61" s="2">
        <v>4</v>
      </c>
      <c r="J61" s="2">
        <v>4</v>
      </c>
      <c r="K61" s="2">
        <v>5</v>
      </c>
      <c r="L61" s="2">
        <v>4</v>
      </c>
      <c r="M61" s="2">
        <v>4</v>
      </c>
      <c r="N61" s="2">
        <v>4</v>
      </c>
      <c r="O61" s="2">
        <v>5</v>
      </c>
      <c r="P61" s="2">
        <v>5</v>
      </c>
      <c r="Q61" s="2">
        <v>5</v>
      </c>
      <c r="R61" s="2">
        <v>4</v>
      </c>
      <c r="S61" s="2">
        <v>3</v>
      </c>
      <c r="T61" s="2">
        <v>5</v>
      </c>
      <c r="U61" s="2">
        <v>4</v>
      </c>
      <c r="V61" s="2">
        <v>4</v>
      </c>
      <c r="W61" s="2">
        <v>4</v>
      </c>
      <c r="X61" s="2">
        <v>4</v>
      </c>
      <c r="Y61" s="2">
        <v>3</v>
      </c>
      <c r="Z61" s="2">
        <v>4</v>
      </c>
      <c r="AA61" s="2">
        <v>3</v>
      </c>
      <c r="AB61" s="2">
        <v>4</v>
      </c>
      <c r="AC61" s="2">
        <v>3</v>
      </c>
      <c r="AD61" s="2">
        <v>3</v>
      </c>
      <c r="AE61" s="2">
        <v>4</v>
      </c>
      <c r="AF61" s="2">
        <v>4</v>
      </c>
      <c r="AG61" s="2">
        <v>4</v>
      </c>
      <c r="AH61" s="2">
        <v>5</v>
      </c>
      <c r="AI61" s="2">
        <v>4</v>
      </c>
      <c r="AJ61" s="2">
        <v>3</v>
      </c>
      <c r="AK61" s="2">
        <v>4</v>
      </c>
      <c r="AL61" s="2">
        <v>5</v>
      </c>
      <c r="AM61" s="2">
        <v>4</v>
      </c>
      <c r="AN61" s="2">
        <v>5</v>
      </c>
      <c r="AO61" s="2">
        <v>4</v>
      </c>
      <c r="AP61" s="2">
        <v>4</v>
      </c>
      <c r="AQ61" s="2">
        <v>3</v>
      </c>
      <c r="AR61" s="2">
        <v>3</v>
      </c>
      <c r="AS61" s="2">
        <v>5</v>
      </c>
      <c r="AT61" s="2"/>
      <c r="AU61" s="2"/>
      <c r="AV61" s="2" t="str">
        <v>42.Weather conditions</v>
      </c>
      <c r="AW61" s="10">
        <v>0.34405767446271618</v>
      </c>
      <c r="AX61" s="11">
        <v>0.33559126101400338</v>
      </c>
      <c r="AY61" s="11">
        <v>0.10957320069724646</v>
      </c>
      <c r="AZ61" s="18">
        <v>0.38934248078903716</v>
      </c>
      <c r="BA61" s="18">
        <v>0.41088634038416572</v>
      </c>
      <c r="BB61" s="18">
        <v>0.2817049469812844</v>
      </c>
      <c r="BC61" s="18">
        <v>0.30628581327643228</v>
      </c>
      <c r="BD61" s="18">
        <v>0.35986634577559395</v>
      </c>
      <c r="BE61" s="18">
        <v>0.34616171954554403</v>
      </c>
      <c r="BF61" s="18">
        <v>0.39469828438730659</v>
      </c>
      <c r="BG61" s="18">
        <v>0.38338517049018223</v>
      </c>
      <c r="BH61" s="18">
        <v>0.40416270606574517</v>
      </c>
      <c r="BI61" s="18">
        <v>0.30916633841849445</v>
      </c>
      <c r="BJ61" s="18">
        <v>6.2386514076913945E-2</v>
      </c>
      <c r="BK61" s="18">
        <v>0.19987075464168971</v>
      </c>
      <c r="BL61" s="18">
        <v>0.49470554289979252</v>
      </c>
      <c r="BM61" s="18">
        <v>0.23853991229890623</v>
      </c>
      <c r="BN61" s="18">
        <v>0.23572017703905426</v>
      </c>
      <c r="BO61" s="18">
        <v>0.25958732167531989</v>
      </c>
      <c r="BP61" s="18">
        <v>0.42926299453349503</v>
      </c>
      <c r="BQ61" s="18">
        <v>0.29715880419871549</v>
      </c>
      <c r="BR61" s="18">
        <v>0.27508760124305243</v>
      </c>
      <c r="BS61" s="18">
        <v>0.3848270588322496</v>
      </c>
      <c r="BT61" s="18">
        <v>0.13530694256688708</v>
      </c>
      <c r="BU61" s="18">
        <v>0.46650901283770607</v>
      </c>
      <c r="BV61" s="18">
        <v>0.29348657821550544</v>
      </c>
      <c r="BW61" s="18">
        <v>0.43987961547561527</v>
      </c>
      <c r="BX61" s="18">
        <v>0.38282234945926857</v>
      </c>
      <c r="BY61" s="18">
        <v>0.21697211825695659</v>
      </c>
      <c r="BZ61" s="18">
        <v>0.2062281170453828</v>
      </c>
      <c r="CA61" s="18">
        <v>0.35660447989293931</v>
      </c>
      <c r="CB61" s="18">
        <v>0.533438012635989</v>
      </c>
      <c r="CC61" s="18">
        <v>5.4934380448889528E-2</v>
      </c>
      <c r="CD61" s="18">
        <v>0.49933704849276384</v>
      </c>
      <c r="CE61" s="18">
        <v>0.44153937995332593</v>
      </c>
      <c r="CF61" s="18">
        <v>0.34692402404128941</v>
      </c>
      <c r="CG61" s="18">
        <v>0.25907901345067275</v>
      </c>
      <c r="CH61" s="18">
        <v>0.11174460674002044</v>
      </c>
      <c r="CI61" s="18">
        <v>7.0001442275976775E-3</v>
      </c>
      <c r="CJ61" s="18">
        <v>7.0909632833456041E-2</v>
      </c>
      <c r="CK61" s="18">
        <v>0.27730990754032742</v>
      </c>
      <c r="CL61" s="18">
        <v>0.99999999999999978</v>
      </c>
      <c r="CM61" s="18">
        <v>0.70600505812716841</v>
      </c>
      <c r="CN61" s="19">
        <v>0.40237222277257734</v>
      </c>
    </row>
    <row r="62" spans="1:93" x14ac:dyDescent="0.2">
      <c r="A62" s="2" t="s">
        <v>105</v>
      </c>
      <c r="B62" s="2">
        <v>4</v>
      </c>
      <c r="C62" s="2">
        <v>5</v>
      </c>
      <c r="D62" s="2">
        <v>3</v>
      </c>
      <c r="E62" s="2">
        <v>4</v>
      </c>
      <c r="F62" s="2">
        <v>4</v>
      </c>
      <c r="G62" s="2">
        <v>4</v>
      </c>
      <c r="H62" s="2">
        <v>5</v>
      </c>
      <c r="I62" s="2">
        <v>4</v>
      </c>
      <c r="J62" s="2">
        <v>4</v>
      </c>
      <c r="K62" s="2">
        <v>5</v>
      </c>
      <c r="L62" s="2">
        <v>4</v>
      </c>
      <c r="M62" s="2">
        <v>4</v>
      </c>
      <c r="N62" s="2">
        <v>4</v>
      </c>
      <c r="O62" s="2">
        <v>5</v>
      </c>
      <c r="P62" s="2">
        <v>5</v>
      </c>
      <c r="Q62" s="2">
        <v>5</v>
      </c>
      <c r="R62" s="2">
        <v>4</v>
      </c>
      <c r="S62" s="2">
        <v>3</v>
      </c>
      <c r="T62" s="2">
        <v>5</v>
      </c>
      <c r="U62" s="2">
        <v>4</v>
      </c>
      <c r="V62" s="2">
        <v>4</v>
      </c>
      <c r="W62" s="2">
        <v>4</v>
      </c>
      <c r="X62" s="2">
        <v>4</v>
      </c>
      <c r="Y62" s="2">
        <v>3</v>
      </c>
      <c r="Z62" s="2">
        <v>4</v>
      </c>
      <c r="AA62" s="2">
        <v>3</v>
      </c>
      <c r="AB62" s="2">
        <v>4</v>
      </c>
      <c r="AC62" s="2">
        <v>3</v>
      </c>
      <c r="AD62" s="2">
        <v>3</v>
      </c>
      <c r="AE62" s="2">
        <v>4</v>
      </c>
      <c r="AF62" s="2">
        <v>4</v>
      </c>
      <c r="AG62" s="2">
        <v>4</v>
      </c>
      <c r="AH62" s="2">
        <v>5</v>
      </c>
      <c r="AI62" s="2">
        <v>4</v>
      </c>
      <c r="AJ62" s="2">
        <v>3</v>
      </c>
      <c r="AK62" s="2">
        <v>4</v>
      </c>
      <c r="AL62" s="2">
        <v>5</v>
      </c>
      <c r="AM62" s="2">
        <v>4</v>
      </c>
      <c r="AN62" s="2">
        <v>5</v>
      </c>
      <c r="AO62" s="2">
        <v>4</v>
      </c>
      <c r="AP62" s="2">
        <v>4</v>
      </c>
      <c r="AQ62" s="2">
        <v>3</v>
      </c>
      <c r="AR62" s="2">
        <v>3</v>
      </c>
      <c r="AS62" s="2">
        <v>5</v>
      </c>
      <c r="AT62" s="2"/>
      <c r="AU62" s="2"/>
      <c r="AV62" s="2" t="str">
        <v>43.Accidents during construction</v>
      </c>
      <c r="AW62" s="10">
        <v>0.42142992592662581</v>
      </c>
      <c r="AX62" s="11">
        <v>0.42181204777999759</v>
      </c>
      <c r="AY62" s="11">
        <v>0.17841237710750937</v>
      </c>
      <c r="AZ62" s="18">
        <v>0.43029332854671809</v>
      </c>
      <c r="BA62" s="18">
        <v>0.38085780146923276</v>
      </c>
      <c r="BB62" s="18">
        <v>0.23368540474320915</v>
      </c>
      <c r="BC62" s="18">
        <v>0.300448049239187</v>
      </c>
      <c r="BD62" s="18">
        <v>0.31943974065285896</v>
      </c>
      <c r="BE62" s="18">
        <v>0.3207824793969159</v>
      </c>
      <c r="BF62" s="18">
        <v>0.26402133154875829</v>
      </c>
      <c r="BG62" s="18">
        <v>0.43571903670551632</v>
      </c>
      <c r="BH62" s="18">
        <v>0.43382099409733432</v>
      </c>
      <c r="BI62" s="18">
        <v>0.34370169160466518</v>
      </c>
      <c r="BJ62" s="18">
        <v>5.9228019308075933E-2</v>
      </c>
      <c r="BK62" s="18">
        <v>9.6131513233233074E-2</v>
      </c>
      <c r="BL62" s="18">
        <v>0.33123829665878018</v>
      </c>
      <c r="BM62" s="18">
        <v>5.1545917224347024E-2</v>
      </c>
      <c r="BN62" s="18">
        <v>0.17053677161517922</v>
      </c>
      <c r="BO62" s="18">
        <v>0.21124925280976067</v>
      </c>
      <c r="BP62" s="18">
        <v>0.23187365177171701</v>
      </c>
      <c r="BQ62" s="18">
        <v>0.19965882107591346</v>
      </c>
      <c r="BR62" s="18">
        <v>3.3252555732136042E-2</v>
      </c>
      <c r="BS62" s="18">
        <v>0.1946466945426478</v>
      </c>
      <c r="BT62" s="18">
        <v>0.14335962466425192</v>
      </c>
      <c r="BU62" s="18">
        <v>0.227763954854627</v>
      </c>
      <c r="BV62" s="18">
        <v>0.10311173605900058</v>
      </c>
      <c r="BW62" s="18">
        <v>0.23076009255130595</v>
      </c>
      <c r="BX62" s="18">
        <v>0.23661086161371758</v>
      </c>
      <c r="BY62" s="18">
        <v>4.4134947414448754E-2</v>
      </c>
      <c r="BZ62" s="18">
        <v>0.12137509512528537</v>
      </c>
      <c r="CA62" s="18">
        <v>0.120292294049842</v>
      </c>
      <c r="CB62" s="18">
        <v>0.41059881596217851</v>
      </c>
      <c r="CC62" s="18">
        <v>0.20587917167617947</v>
      </c>
      <c r="CD62" s="18">
        <v>0.29063662475398261</v>
      </c>
      <c r="CE62" s="18">
        <v>0.26407675432144079</v>
      </c>
      <c r="CF62" s="18">
        <v>0.29156317421273753</v>
      </c>
      <c r="CG62" s="18">
        <v>0.1950817256803366</v>
      </c>
      <c r="CH62" s="18">
        <v>0.10132224610853623</v>
      </c>
      <c r="CI62" s="18">
        <v>8.4208101023588722E-2</v>
      </c>
      <c r="CJ62" s="18">
        <v>4.9748218583521596E-2</v>
      </c>
      <c r="CK62" s="18">
        <v>0.30676421254337161</v>
      </c>
      <c r="CL62" s="18">
        <v>0.70600505812716841</v>
      </c>
      <c r="CM62" s="18">
        <v>1.0000000000000007</v>
      </c>
      <c r="CN62" s="19">
        <v>0.3295579102026826</v>
      </c>
    </row>
    <row r="63" spans="1:93" x14ac:dyDescent="0.2">
      <c r="A63" s="2" t="s">
        <v>106</v>
      </c>
      <c r="B63" s="2">
        <v>5</v>
      </c>
      <c r="C63" s="2">
        <v>4</v>
      </c>
      <c r="D63" s="2">
        <v>1</v>
      </c>
      <c r="E63" s="2">
        <v>3</v>
      </c>
      <c r="F63" s="2">
        <v>1</v>
      </c>
      <c r="G63" s="2">
        <v>4</v>
      </c>
      <c r="H63" s="2">
        <v>4</v>
      </c>
      <c r="I63" s="2">
        <v>4</v>
      </c>
      <c r="J63" s="2">
        <v>4</v>
      </c>
      <c r="K63" s="2">
        <v>4</v>
      </c>
      <c r="L63" s="2">
        <v>4</v>
      </c>
      <c r="M63" s="2">
        <v>3</v>
      </c>
      <c r="N63" s="2">
        <v>3</v>
      </c>
      <c r="O63" s="2">
        <v>3</v>
      </c>
      <c r="P63" s="2">
        <v>3</v>
      </c>
      <c r="Q63" s="2">
        <v>2</v>
      </c>
      <c r="R63" s="2">
        <v>4</v>
      </c>
      <c r="S63" s="2">
        <v>2</v>
      </c>
      <c r="T63" s="2">
        <v>3</v>
      </c>
      <c r="U63" s="2">
        <v>3</v>
      </c>
      <c r="V63" s="2">
        <v>1</v>
      </c>
      <c r="W63" s="2">
        <v>2</v>
      </c>
      <c r="X63" s="2">
        <v>3</v>
      </c>
      <c r="Y63" s="2">
        <v>4</v>
      </c>
      <c r="Z63" s="2">
        <v>3</v>
      </c>
      <c r="AA63" s="2">
        <v>2</v>
      </c>
      <c r="AB63" s="2">
        <v>3</v>
      </c>
      <c r="AC63" s="2">
        <v>3</v>
      </c>
      <c r="AD63" s="2">
        <v>4</v>
      </c>
      <c r="AE63" s="2">
        <v>5</v>
      </c>
      <c r="AF63" s="2">
        <v>1</v>
      </c>
      <c r="AG63" s="2">
        <v>2</v>
      </c>
      <c r="AH63" s="2">
        <v>3</v>
      </c>
      <c r="AI63" s="2">
        <v>2</v>
      </c>
      <c r="AJ63" s="2">
        <v>3</v>
      </c>
      <c r="AK63" s="2">
        <v>5</v>
      </c>
      <c r="AL63" s="2">
        <v>4</v>
      </c>
      <c r="AM63" s="2">
        <v>2</v>
      </c>
      <c r="AN63" s="2">
        <v>3</v>
      </c>
      <c r="AO63" s="2">
        <v>3</v>
      </c>
      <c r="AP63" s="2">
        <v>3</v>
      </c>
      <c r="AQ63" s="2">
        <v>2</v>
      </c>
      <c r="AR63" s="2">
        <v>2</v>
      </c>
      <c r="AS63" s="2">
        <v>4</v>
      </c>
      <c r="AT63" s="2"/>
      <c r="AU63" s="2"/>
      <c r="AV63" s="2" t="str">
        <v>44.Delay in getting NOCs from different government authorities</v>
      </c>
      <c r="AW63" s="13">
        <v>0.34047181092546652</v>
      </c>
      <c r="AX63" s="14">
        <v>0.35009133712894897</v>
      </c>
      <c r="AY63" s="14">
        <v>-7.9446603283741645E-4</v>
      </c>
      <c r="AZ63" s="20">
        <v>0.22242149850039003</v>
      </c>
      <c r="BA63" s="20">
        <v>0.23229950381790346</v>
      </c>
      <c r="BB63" s="20">
        <v>0.21735837310822531</v>
      </c>
      <c r="BC63" s="20">
        <v>0.33262165862796317</v>
      </c>
      <c r="BD63" s="20">
        <v>0.33181307102967583</v>
      </c>
      <c r="BE63" s="20">
        <v>0.10728596371788732</v>
      </c>
      <c r="BF63" s="20">
        <v>0.36940061522620621</v>
      </c>
      <c r="BG63" s="20">
        <v>0.23867993488954478</v>
      </c>
      <c r="BH63" s="20">
        <v>0.18733109275462273</v>
      </c>
      <c r="BI63" s="20">
        <v>0.24988120343730783</v>
      </c>
      <c r="BJ63" s="20">
        <v>0.50273883137968223</v>
      </c>
      <c r="BK63" s="20">
        <v>0.28768382735938586</v>
      </c>
      <c r="BL63" s="20">
        <v>0.13530130657734846</v>
      </c>
      <c r="BM63" s="20">
        <v>0.24476035147222083</v>
      </c>
      <c r="BN63" s="20">
        <v>0.19879437629420033</v>
      </c>
      <c r="BO63" s="20">
        <v>0.15054475852982718</v>
      </c>
      <c r="BP63" s="20">
        <v>0.1321004763198424</v>
      </c>
      <c r="BQ63" s="20">
        <v>8.872387171339674E-2</v>
      </c>
      <c r="BR63" s="20">
        <v>0.24356351046722105</v>
      </c>
      <c r="BS63" s="20">
        <v>-3.2812025317775724E-2</v>
      </c>
      <c r="BT63" s="20">
        <v>3.9510301694907851E-2</v>
      </c>
      <c r="BU63" s="20">
        <v>0.32254182570281331</v>
      </c>
      <c r="BV63" s="20">
        <v>0.14300157514790166</v>
      </c>
      <c r="BW63" s="20">
        <v>0.33599617324607589</v>
      </c>
      <c r="BX63" s="20">
        <v>0.40341858307360162</v>
      </c>
      <c r="BY63" s="20">
        <v>0.43534754090283068</v>
      </c>
      <c r="BZ63" s="20">
        <v>0.40993242820835624</v>
      </c>
      <c r="CA63" s="20">
        <v>0.19968748942761852</v>
      </c>
      <c r="CB63" s="20">
        <v>0.21148239537671487</v>
      </c>
      <c r="CC63" s="20">
        <v>0.24458261937325582</v>
      </c>
      <c r="CD63" s="20">
        <v>0.24832384291419191</v>
      </c>
      <c r="CE63" s="20">
        <v>0.27415872966695654</v>
      </c>
      <c r="CF63" s="20">
        <v>0.28209365016140747</v>
      </c>
      <c r="CG63" s="20">
        <v>0.46514694019662178</v>
      </c>
      <c r="CH63" s="20">
        <v>0.11345510197028014</v>
      </c>
      <c r="CI63" s="20">
        <v>0.15154441671843027</v>
      </c>
      <c r="CJ63" s="20">
        <v>0.13522829170708889</v>
      </c>
      <c r="CK63" s="20">
        <v>2.457933875210051E-2</v>
      </c>
      <c r="CL63" s="20">
        <v>0.40237222277257734</v>
      </c>
      <c r="CM63" s="20">
        <v>0.3295579102026826</v>
      </c>
      <c r="CN63" s="21">
        <v>1.0000000000000016</v>
      </c>
    </row>
    <row r="64" spans="1:93" x14ac:dyDescent="0.2">
      <c r="A64" s="2" t="s">
        <v>107</v>
      </c>
      <c r="B64" s="2">
        <v>1</v>
      </c>
      <c r="C64" s="2">
        <v>1</v>
      </c>
      <c r="D64" s="2">
        <v>4</v>
      </c>
      <c r="E64" s="2">
        <v>3</v>
      </c>
      <c r="F64" s="2">
        <v>4</v>
      </c>
      <c r="G64" s="2">
        <v>4</v>
      </c>
      <c r="H64" s="2">
        <v>4</v>
      </c>
      <c r="I64" s="2">
        <v>4</v>
      </c>
      <c r="J64" s="2">
        <v>5</v>
      </c>
      <c r="K64" s="2">
        <v>3</v>
      </c>
      <c r="L64" s="2">
        <v>3</v>
      </c>
      <c r="M64" s="2">
        <v>5</v>
      </c>
      <c r="N64" s="2">
        <v>5</v>
      </c>
      <c r="O64" s="2">
        <v>3</v>
      </c>
      <c r="P64" s="2">
        <v>2</v>
      </c>
      <c r="Q64" s="2">
        <v>4</v>
      </c>
      <c r="R64" s="2">
        <v>2</v>
      </c>
      <c r="S64" s="2">
        <v>5</v>
      </c>
      <c r="T64" s="2">
        <v>5</v>
      </c>
      <c r="U64" s="2">
        <v>4</v>
      </c>
      <c r="V64" s="2">
        <v>3</v>
      </c>
      <c r="W64" s="2">
        <v>5</v>
      </c>
      <c r="X64" s="2">
        <v>5</v>
      </c>
      <c r="Y64" s="2">
        <v>3</v>
      </c>
      <c r="Z64" s="2">
        <v>3</v>
      </c>
      <c r="AA64" s="2">
        <v>5</v>
      </c>
      <c r="AB64" s="2">
        <v>3</v>
      </c>
      <c r="AC64" s="2">
        <v>4</v>
      </c>
      <c r="AD64" s="2">
        <v>4</v>
      </c>
      <c r="AE64" s="2">
        <v>5</v>
      </c>
      <c r="AF64" s="2">
        <v>5</v>
      </c>
      <c r="AG64" s="2">
        <v>4</v>
      </c>
      <c r="AH64" s="2">
        <v>3</v>
      </c>
      <c r="AI64" s="2">
        <v>4</v>
      </c>
      <c r="AJ64" s="2">
        <v>4</v>
      </c>
      <c r="AK64" s="2">
        <v>5</v>
      </c>
      <c r="AL64" s="2">
        <v>3</v>
      </c>
      <c r="AM64" s="2">
        <v>5</v>
      </c>
      <c r="AN64" s="2">
        <v>4</v>
      </c>
      <c r="AO64" s="2">
        <v>5</v>
      </c>
      <c r="AP64" s="2">
        <v>4</v>
      </c>
      <c r="AQ64" s="2">
        <v>3</v>
      </c>
      <c r="AR64" s="2">
        <v>2</v>
      </c>
      <c r="AS64" s="2">
        <v>2</v>
      </c>
      <c r="AT64" s="2"/>
      <c r="AU64" s="2"/>
      <c r="AV64" s="2"/>
      <c r="AW64" s="2">
        <f>SUMSQ(AW20:AW63)-1</f>
        <v>4.2788195435739871</v>
      </c>
      <c r="AX64" s="2">
        <f t="shared" ref="AX64:CN64" si="4">SUMSQ(AX20:AX63)-1</f>
        <v>3.2709698627787818</v>
      </c>
      <c r="AY64" s="2">
        <f t="shared" si="4"/>
        <v>2.207040015216128</v>
      </c>
      <c r="AZ64" s="2">
        <f t="shared" si="4"/>
        <v>5.260662870404226</v>
      </c>
      <c r="BA64" s="2">
        <f t="shared" si="4"/>
        <v>6.262324645464294</v>
      </c>
      <c r="BB64" s="2">
        <f t="shared" si="4"/>
        <v>6.3772305005180057</v>
      </c>
      <c r="BC64" s="2">
        <f t="shared" si="4"/>
        <v>7.5321837002054384</v>
      </c>
      <c r="BD64" s="2">
        <f t="shared" si="4"/>
        <v>6.2136617606190505</v>
      </c>
      <c r="BE64" s="2">
        <f t="shared" si="4"/>
        <v>6.7348432026323737</v>
      </c>
      <c r="BF64" s="2">
        <f t="shared" si="4"/>
        <v>6.1895925548143245</v>
      </c>
      <c r="BG64" s="2">
        <f t="shared" si="4"/>
        <v>6.8930014103088588</v>
      </c>
      <c r="BH64" s="2">
        <f t="shared" si="4"/>
        <v>6.8016056786931509</v>
      </c>
      <c r="BI64" s="2">
        <f t="shared" si="4"/>
        <v>6.3957255914808018</v>
      </c>
      <c r="BJ64" s="2">
        <f t="shared" si="4"/>
        <v>2.5708997347364906</v>
      </c>
      <c r="BK64" s="2">
        <f t="shared" si="4"/>
        <v>3.510908224335191</v>
      </c>
      <c r="BL64" s="2">
        <f t="shared" si="4"/>
        <v>4.6260315487148569</v>
      </c>
      <c r="BM64" s="2">
        <f t="shared" si="4"/>
        <v>2.3433815337437589</v>
      </c>
      <c r="BN64" s="2">
        <f t="shared" si="4"/>
        <v>2.2891450948737204</v>
      </c>
      <c r="BO64" s="2">
        <f t="shared" si="4"/>
        <v>4.5233680817834987</v>
      </c>
      <c r="BP64" s="2">
        <f t="shared" si="4"/>
        <v>4.2936666018706342</v>
      </c>
      <c r="BQ64" s="2">
        <f t="shared" si="4"/>
        <v>4.1656576290290808</v>
      </c>
      <c r="BR64" s="2">
        <f t="shared" si="4"/>
        <v>3.1676053831319857</v>
      </c>
      <c r="BS64" s="2">
        <f t="shared" si="4"/>
        <v>2.9362515075190414</v>
      </c>
      <c r="BT64" s="2">
        <f t="shared" si="4"/>
        <v>0.8926493051907638</v>
      </c>
      <c r="BU64" s="2">
        <f t="shared" si="4"/>
        <v>5.1954719910158849</v>
      </c>
      <c r="BV64" s="2">
        <f t="shared" si="4"/>
        <v>4.9177918381120893</v>
      </c>
      <c r="BW64" s="2">
        <f t="shared" si="4"/>
        <v>6.9272814915613621</v>
      </c>
      <c r="BX64" s="2">
        <f t="shared" si="4"/>
        <v>6.04709312680962</v>
      </c>
      <c r="BY64" s="2">
        <f t="shared" si="4"/>
        <v>3.3050822129619002</v>
      </c>
      <c r="BZ64" s="2">
        <f t="shared" si="4"/>
        <v>2.1160628999959372</v>
      </c>
      <c r="CA64" s="2">
        <f t="shared" si="4"/>
        <v>3.0500082510129936</v>
      </c>
      <c r="CB64" s="2">
        <f t="shared" si="4"/>
        <v>4.5835736169836672</v>
      </c>
      <c r="CC64" s="2">
        <f t="shared" si="4"/>
        <v>2.1442778442294328</v>
      </c>
      <c r="CD64" s="2">
        <f t="shared" si="4"/>
        <v>5.7137734622193781</v>
      </c>
      <c r="CE64" s="2">
        <f t="shared" si="4"/>
        <v>5.3460782312657393</v>
      </c>
      <c r="CF64" s="2">
        <f t="shared" si="4"/>
        <v>3.3750243755612459</v>
      </c>
      <c r="CG64" s="2">
        <f t="shared" si="4"/>
        <v>2.1069679336892233</v>
      </c>
      <c r="CH64" s="2">
        <f t="shared" si="4"/>
        <v>2.5852520889620001</v>
      </c>
      <c r="CI64" s="2">
        <f t="shared" si="4"/>
        <v>3.2447210797913737</v>
      </c>
      <c r="CJ64" s="2">
        <f t="shared" si="4"/>
        <v>2.3396156606043275</v>
      </c>
      <c r="CK64" s="2">
        <f t="shared" si="4"/>
        <v>3.5392768548299633</v>
      </c>
      <c r="CL64" s="2">
        <f t="shared" si="4"/>
        <v>5.0654329352447833</v>
      </c>
      <c r="CM64" s="2">
        <f t="shared" si="4"/>
        <v>3.3974147165717179</v>
      </c>
      <c r="CN64" s="2">
        <f t="shared" si="4"/>
        <v>3.1356811344252842</v>
      </c>
      <c r="CO64">
        <f>SUM(AW64:CN64)</f>
        <v>187.87310772748634</v>
      </c>
    </row>
    <row r="65" spans="1:94" x14ac:dyDescent="0.2">
      <c r="A65" s="2" t="s">
        <v>108</v>
      </c>
      <c r="B65" s="2">
        <v>3</v>
      </c>
      <c r="C65" s="2">
        <v>4</v>
      </c>
      <c r="D65" s="2">
        <v>3</v>
      </c>
      <c r="E65" s="2">
        <v>2</v>
      </c>
      <c r="F65" s="2">
        <v>1</v>
      </c>
      <c r="G65" s="2">
        <v>3</v>
      </c>
      <c r="H65" s="2">
        <v>3</v>
      </c>
      <c r="I65" s="2">
        <v>2</v>
      </c>
      <c r="J65" s="2">
        <v>3</v>
      </c>
      <c r="K65" s="2">
        <v>3</v>
      </c>
      <c r="L65" s="2">
        <v>3</v>
      </c>
      <c r="M65" s="2">
        <v>3</v>
      </c>
      <c r="N65" s="2">
        <v>4</v>
      </c>
      <c r="O65" s="2">
        <v>2</v>
      </c>
      <c r="P65" s="2">
        <v>3</v>
      </c>
      <c r="Q65" s="2">
        <v>3</v>
      </c>
      <c r="R65" s="2">
        <v>3</v>
      </c>
      <c r="S65" s="2">
        <v>3</v>
      </c>
      <c r="T65" s="2">
        <v>3</v>
      </c>
      <c r="U65" s="2">
        <v>2</v>
      </c>
      <c r="V65" s="2">
        <v>3</v>
      </c>
      <c r="W65" s="2">
        <v>4</v>
      </c>
      <c r="X65" s="2">
        <v>2</v>
      </c>
      <c r="Y65" s="2">
        <v>2</v>
      </c>
      <c r="Z65" s="2">
        <v>2</v>
      </c>
      <c r="AA65" s="2">
        <v>2</v>
      </c>
      <c r="AB65" s="2">
        <v>3</v>
      </c>
      <c r="AC65" s="2">
        <v>2</v>
      </c>
      <c r="AD65" s="2">
        <v>2</v>
      </c>
      <c r="AE65" s="2">
        <v>3</v>
      </c>
      <c r="AF65" s="2">
        <v>3</v>
      </c>
      <c r="AG65" s="2">
        <v>2</v>
      </c>
      <c r="AH65" s="2">
        <v>2</v>
      </c>
      <c r="AI65" s="2">
        <v>3</v>
      </c>
      <c r="AJ65" s="2">
        <v>3</v>
      </c>
      <c r="AK65" s="2">
        <v>2</v>
      </c>
      <c r="AL65" s="2">
        <v>3</v>
      </c>
      <c r="AM65" s="2">
        <v>2</v>
      </c>
      <c r="AN65" s="2">
        <v>2</v>
      </c>
      <c r="AO65" s="2">
        <v>3</v>
      </c>
      <c r="AP65" s="2">
        <v>3</v>
      </c>
      <c r="AQ65" s="2">
        <v>3</v>
      </c>
      <c r="AR65" s="2">
        <v>2</v>
      </c>
      <c r="AS65" s="2">
        <v>3</v>
      </c>
      <c r="AT65" s="2"/>
      <c r="AU65" s="2"/>
      <c r="AV65" s="2"/>
      <c r="AW65" s="2"/>
      <c r="AX65" s="2"/>
      <c r="AY65" s="2"/>
    </row>
    <row r="66" spans="1:94" x14ac:dyDescent="0.2">
      <c r="A66" s="2" t="s">
        <v>109</v>
      </c>
      <c r="B66" s="2">
        <v>3</v>
      </c>
      <c r="C66" s="2">
        <v>3</v>
      </c>
      <c r="D66" s="2">
        <v>3</v>
      </c>
      <c r="E66" s="2">
        <v>3</v>
      </c>
      <c r="F66" s="2">
        <v>3</v>
      </c>
      <c r="G66" s="2">
        <v>4</v>
      </c>
      <c r="H66" s="2">
        <v>4</v>
      </c>
      <c r="I66" s="2">
        <v>4</v>
      </c>
      <c r="J66" s="2">
        <v>4</v>
      </c>
      <c r="K66" s="2">
        <v>4</v>
      </c>
      <c r="L66" s="2">
        <v>4</v>
      </c>
      <c r="M66" s="2">
        <v>4</v>
      </c>
      <c r="N66" s="2">
        <v>4</v>
      </c>
      <c r="O66" s="2">
        <v>3</v>
      </c>
      <c r="P66" s="2">
        <v>2</v>
      </c>
      <c r="Q66" s="2">
        <v>4</v>
      </c>
      <c r="R66" s="2">
        <v>2</v>
      </c>
      <c r="S66" s="2">
        <v>2</v>
      </c>
      <c r="T66" s="2">
        <v>4</v>
      </c>
      <c r="U66" s="2">
        <v>4</v>
      </c>
      <c r="V66" s="2">
        <v>4</v>
      </c>
      <c r="W66" s="2">
        <v>4</v>
      </c>
      <c r="X66" s="2">
        <v>4</v>
      </c>
      <c r="Y66" s="2">
        <v>4</v>
      </c>
      <c r="Z66" s="2">
        <v>5</v>
      </c>
      <c r="AA66" s="2">
        <v>4</v>
      </c>
      <c r="AB66" s="2">
        <v>4</v>
      </c>
      <c r="AC66" s="2">
        <v>3</v>
      </c>
      <c r="AD66" s="2">
        <v>3</v>
      </c>
      <c r="AE66" s="2">
        <v>3</v>
      </c>
      <c r="AF66" s="2">
        <v>4</v>
      </c>
      <c r="AG66" s="2">
        <v>4</v>
      </c>
      <c r="AH66" s="2">
        <v>4</v>
      </c>
      <c r="AI66" s="2">
        <v>4</v>
      </c>
      <c r="AJ66" s="2">
        <v>4</v>
      </c>
      <c r="AK66" s="2">
        <v>4</v>
      </c>
      <c r="AL66" s="2">
        <v>4</v>
      </c>
      <c r="AM66" s="2">
        <v>3</v>
      </c>
      <c r="AN66" s="2">
        <v>3</v>
      </c>
      <c r="AO66" s="2">
        <v>3</v>
      </c>
      <c r="AP66" s="2">
        <v>3</v>
      </c>
      <c r="AQ66" s="2">
        <v>3</v>
      </c>
      <c r="AR66" s="2">
        <v>3</v>
      </c>
      <c r="AS66" s="2">
        <v>3</v>
      </c>
      <c r="AT66" s="2"/>
      <c r="AU66" s="2"/>
      <c r="AV66" s="2" t="s">
        <v>194</v>
      </c>
      <c r="AW66" s="2"/>
      <c r="AX66" s="2"/>
      <c r="AY66" s="2"/>
    </row>
    <row r="67" spans="1:94" x14ac:dyDescent="0.2">
      <c r="A67" s="2" t="s">
        <v>110</v>
      </c>
      <c r="B67" s="2">
        <v>5</v>
      </c>
      <c r="C67" s="2">
        <v>3</v>
      </c>
      <c r="D67" s="2">
        <v>2</v>
      </c>
      <c r="E67" s="2">
        <v>3</v>
      </c>
      <c r="F67" s="2">
        <v>5</v>
      </c>
      <c r="G67" s="2">
        <v>5</v>
      </c>
      <c r="H67" s="2">
        <v>5</v>
      </c>
      <c r="I67" s="2">
        <v>5</v>
      </c>
      <c r="J67" s="2">
        <v>5</v>
      </c>
      <c r="K67" s="2">
        <v>4</v>
      </c>
      <c r="L67" s="2">
        <v>5</v>
      </c>
      <c r="M67" s="2">
        <v>5</v>
      </c>
      <c r="N67" s="2">
        <v>5</v>
      </c>
      <c r="O67" s="2">
        <v>5</v>
      </c>
      <c r="P67" s="2">
        <v>5</v>
      </c>
      <c r="Q67" s="2">
        <v>4</v>
      </c>
      <c r="R67" s="2">
        <v>4</v>
      </c>
      <c r="S67" s="2">
        <v>4</v>
      </c>
      <c r="T67" s="2">
        <v>5</v>
      </c>
      <c r="U67" s="2">
        <v>5</v>
      </c>
      <c r="V67" s="2">
        <v>5</v>
      </c>
      <c r="W67" s="2">
        <v>5</v>
      </c>
      <c r="X67" s="2">
        <v>4</v>
      </c>
      <c r="Y67" s="2">
        <v>5</v>
      </c>
      <c r="Z67" s="2">
        <v>5</v>
      </c>
      <c r="AA67" s="2">
        <v>4</v>
      </c>
      <c r="AB67" s="2">
        <v>4</v>
      </c>
      <c r="AC67" s="2">
        <v>4</v>
      </c>
      <c r="AD67" s="2">
        <v>5</v>
      </c>
      <c r="AE67" s="2">
        <v>5</v>
      </c>
      <c r="AF67" s="2">
        <v>4</v>
      </c>
      <c r="AG67" s="2">
        <v>4</v>
      </c>
      <c r="AH67" s="2">
        <v>4</v>
      </c>
      <c r="AI67" s="2">
        <v>5</v>
      </c>
      <c r="AJ67" s="2">
        <v>5</v>
      </c>
      <c r="AK67" s="2">
        <v>4</v>
      </c>
      <c r="AL67" s="2">
        <v>5</v>
      </c>
      <c r="AM67" s="2">
        <v>5</v>
      </c>
      <c r="AN67" s="2">
        <v>5</v>
      </c>
      <c r="AO67" s="2">
        <v>5</v>
      </c>
      <c r="AP67" s="2">
        <v>4</v>
      </c>
      <c r="AQ67" s="2">
        <v>4</v>
      </c>
      <c r="AR67" s="2">
        <v>4</v>
      </c>
      <c r="AS67" s="2">
        <v>5</v>
      </c>
      <c r="AT67" s="2"/>
      <c r="AU67" s="2"/>
      <c r="AV67" s="2"/>
      <c r="AW67" s="2"/>
      <c r="AX67" s="2"/>
      <c r="AY67" s="2"/>
    </row>
    <row r="68" spans="1:94" x14ac:dyDescent="0.2">
      <c r="A68" s="2" t="s">
        <v>111</v>
      </c>
      <c r="B68" s="2">
        <v>5</v>
      </c>
      <c r="C68" s="2">
        <v>3</v>
      </c>
      <c r="D68" s="2">
        <v>2</v>
      </c>
      <c r="E68" s="2">
        <v>3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4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4</v>
      </c>
      <c r="R68" s="2">
        <v>4</v>
      </c>
      <c r="S68" s="2">
        <v>4</v>
      </c>
      <c r="T68" s="2">
        <v>5</v>
      </c>
      <c r="U68" s="2">
        <v>5</v>
      </c>
      <c r="V68" s="2">
        <v>5</v>
      </c>
      <c r="W68" s="2">
        <v>5</v>
      </c>
      <c r="X68" s="2">
        <v>4</v>
      </c>
      <c r="Y68" s="2">
        <v>5</v>
      </c>
      <c r="Z68" s="2">
        <v>5</v>
      </c>
      <c r="AA68" s="2">
        <v>4</v>
      </c>
      <c r="AB68" s="2">
        <v>4</v>
      </c>
      <c r="AC68" s="2">
        <v>4</v>
      </c>
      <c r="AD68" s="2">
        <v>5</v>
      </c>
      <c r="AE68" s="2">
        <v>5</v>
      </c>
      <c r="AF68" s="2">
        <v>4</v>
      </c>
      <c r="AG68" s="2">
        <v>4</v>
      </c>
      <c r="AH68" s="2">
        <v>4</v>
      </c>
      <c r="AI68" s="2">
        <v>5</v>
      </c>
      <c r="AJ68" s="2">
        <v>5</v>
      </c>
      <c r="AK68" s="2">
        <v>4</v>
      </c>
      <c r="AL68" s="2">
        <v>5</v>
      </c>
      <c r="AM68" s="2">
        <v>5</v>
      </c>
      <c r="AN68" s="2">
        <v>5</v>
      </c>
      <c r="AO68" s="2">
        <v>5</v>
      </c>
      <c r="AP68" s="2">
        <v>4</v>
      </c>
      <c r="AQ68" s="2">
        <v>4</v>
      </c>
      <c r="AR68" s="2">
        <v>4</v>
      </c>
      <c r="AS68" s="2">
        <v>5</v>
      </c>
      <c r="AT68" s="2"/>
      <c r="AU68" s="2"/>
      <c r="AV68" s="2"/>
      <c r="AW68" s="2" t="str">
        <f t="array" ref="AW68:CN68">B1:AS1</f>
        <v>1.Delay in delivering material to construction site</v>
      </c>
      <c r="AX68" s="2" t="str">
        <v>2.Monopoly of material by some suppliers</v>
      </c>
      <c r="AY68" s="2" t="str">
        <v>3.Prices fluctuation</v>
      </c>
      <c r="AZ68" t="str">
        <v>4.Types of material availability at local market</v>
      </c>
      <c r="BA68" t="str">
        <v>5.Lack of consultant’s knowledge of available materials</v>
      </c>
      <c r="BB68" t="str">
        <v>6.Low productivity</v>
      </c>
      <c r="BC68" t="str">
        <v>7.Poor work execution</v>
      </c>
      <c r="BD68" t="str">
        <v>8.Shortage of laborers</v>
      </c>
      <c r="BE68" t="str">
        <v>9.Mistakes happens during construction phase</v>
      </c>
      <c r="BF68" t="str">
        <v>10.Unavailability of equipment</v>
      </c>
      <c r="BG68" t="str">
        <v>11.Lack of engineering experience</v>
      </c>
      <c r="BH68" t="str">
        <v>12.Construction cost underestimation</v>
      </c>
      <c r="BI68" t="str">
        <v>13.Poor site management</v>
      </c>
      <c r="BJ68" t="str">
        <v>14.Delayed payment for completed work</v>
      </c>
      <c r="BK68" t="str">
        <v>15.Cash flow problem during construction</v>
      </c>
      <c r="BL68" t="str">
        <v>16.High rate of interest</v>
      </c>
      <c r="BM68" t="str">
        <v>17.Contractor’s financial difficulties</v>
      </c>
      <c r="BN68" t="str">
        <v>18.Increase in salaries of skilled laborers</v>
      </c>
      <c r="BO68" t="str">
        <v>19.Change design</v>
      </c>
      <c r="BP68" t="str">
        <v>20.Errors and omission in design</v>
      </c>
      <c r="BQ68" t="str">
        <v>21.Incomplete design drawings and specifications at tendering stage</v>
      </c>
      <c r="BR68" t="str">
        <v>22.Delay in preparation and approval of drawing</v>
      </c>
      <c r="BS68" t="str">
        <v>23.Inaccurate quantity take-off</v>
      </c>
      <c r="BT68" t="str">
        <v>24.Long period from planning of project to construction</v>
      </c>
      <c r="BU68" t="str">
        <v>25.Delays in issuing information to the contractor during construction stage</v>
      </c>
      <c r="BV68" t="str">
        <v>26.No practical use of earned value management system</v>
      </c>
      <c r="BW68" t="str">
        <v>27.Lack of cost planning/monitoring during pre and post contract stage</v>
      </c>
      <c r="BX68" t="str">
        <v>28.Poor communication between client, consultant and contractor</v>
      </c>
      <c r="BY68" t="str">
        <v>29.Insufficient coordination between local authority who is responsible about road projects and service authorities</v>
      </c>
      <c r="BZ68" t="str">
        <v>30.Delays in decisions making by the approval authorities</v>
      </c>
      <c r="CA68" t="str">
        <v>31.Change schedule</v>
      </c>
      <c r="CB68" t="str">
        <v>32.Stoppages because of work being rejected by consultant</v>
      </c>
      <c r="CC68" t="str">
        <v>33.Lowest bid price</v>
      </c>
      <c r="CD68" t="str">
        <v>34.Insufficient time for preparation of contract documents</v>
      </c>
      <c r="CE68" t="str">
        <v>35.Discrepancies in contract documents</v>
      </c>
      <c r="CF68" t="str">
        <v>36.Underestimation of time for completion of project</v>
      </c>
      <c r="CG68" t="str">
        <v>37.Extension of time with cost claims</v>
      </c>
      <c r="CH68" t="str">
        <v>38.Scope and specification changes</v>
      </c>
      <c r="CI68" t="str">
        <v>39.Changes in client requirements</v>
      </c>
      <c r="CJ68" t="str">
        <v>40.Frequency of variation orders and additional works</v>
      </c>
      <c r="CK68" t="str">
        <v>41.Rework due to error in execution</v>
      </c>
      <c r="CL68" t="str">
        <v>42.Weather conditions</v>
      </c>
      <c r="CM68" t="str">
        <v>43.Accidents during construction</v>
      </c>
      <c r="CN68" t="str">
        <v>44.Delay in getting NOCs from different government authorities</v>
      </c>
      <c r="CP68" t="s">
        <v>195</v>
      </c>
    </row>
    <row r="69" spans="1:94" x14ac:dyDescent="0.2">
      <c r="A69" s="2" t="s">
        <v>112</v>
      </c>
      <c r="B69" s="2">
        <v>3</v>
      </c>
      <c r="C69" s="2">
        <v>4</v>
      </c>
      <c r="D69" s="2">
        <v>5</v>
      </c>
      <c r="E69" s="2">
        <v>4</v>
      </c>
      <c r="F69" s="2">
        <v>3</v>
      </c>
      <c r="G69" s="2">
        <v>3</v>
      </c>
      <c r="H69" s="2">
        <v>4</v>
      </c>
      <c r="I69" s="2">
        <v>3</v>
      </c>
      <c r="J69" s="2">
        <v>4</v>
      </c>
      <c r="K69" s="2">
        <v>4</v>
      </c>
      <c r="L69" s="2">
        <v>4</v>
      </c>
      <c r="M69" s="2">
        <v>4</v>
      </c>
      <c r="N69" s="2">
        <v>4</v>
      </c>
      <c r="O69" s="2">
        <v>3</v>
      </c>
      <c r="P69" s="2">
        <v>4</v>
      </c>
      <c r="Q69" s="2">
        <v>4</v>
      </c>
      <c r="R69" s="2">
        <v>4</v>
      </c>
      <c r="S69" s="2">
        <v>3</v>
      </c>
      <c r="T69" s="2">
        <v>4</v>
      </c>
      <c r="U69" s="2">
        <v>4</v>
      </c>
      <c r="V69" s="2">
        <v>4</v>
      </c>
      <c r="W69" s="2">
        <v>4</v>
      </c>
      <c r="X69" s="2">
        <v>4</v>
      </c>
      <c r="Y69" s="2">
        <v>3</v>
      </c>
      <c r="Z69" s="2">
        <v>4</v>
      </c>
      <c r="AA69" s="2">
        <v>4</v>
      </c>
      <c r="AB69" s="2">
        <v>4</v>
      </c>
      <c r="AC69" s="2">
        <v>3</v>
      </c>
      <c r="AD69" s="2">
        <v>4</v>
      </c>
      <c r="AE69" s="2">
        <v>4</v>
      </c>
      <c r="AF69" s="2">
        <v>4</v>
      </c>
      <c r="AG69" s="2">
        <v>4</v>
      </c>
      <c r="AH69" s="2">
        <v>3</v>
      </c>
      <c r="AI69" s="2">
        <v>3</v>
      </c>
      <c r="AJ69" s="2">
        <v>4</v>
      </c>
      <c r="AK69" s="2">
        <v>4</v>
      </c>
      <c r="AL69" s="2">
        <v>4</v>
      </c>
      <c r="AM69" s="2">
        <v>5</v>
      </c>
      <c r="AN69" s="2">
        <v>5</v>
      </c>
      <c r="AO69" s="2">
        <v>5</v>
      </c>
      <c r="AP69" s="2">
        <v>5</v>
      </c>
      <c r="AQ69" s="2">
        <v>3</v>
      </c>
      <c r="AR69" s="2">
        <v>4</v>
      </c>
      <c r="AS69" s="2">
        <v>5</v>
      </c>
      <c r="AT69" s="2"/>
      <c r="AU69" s="2"/>
      <c r="AV69" s="2" t="str">
        <f t="array" ref="AV69:AV112">TRANSPOSE(B1:AS1)</f>
        <v>1.Delay in delivering material to construction site</v>
      </c>
      <c r="AW69" s="7">
        <f t="array" ref="AW69:CN112">MINVERSE(AW20:CN63)</f>
        <v>4.9331569092411112</v>
      </c>
      <c r="AX69" s="8">
        <v>-1.8343432491592278</v>
      </c>
      <c r="AY69" s="8">
        <v>0.96535201000072624</v>
      </c>
      <c r="AZ69" s="16">
        <v>-1.4882809309325944</v>
      </c>
      <c r="BA69" s="16">
        <v>0.35179073543732814</v>
      </c>
      <c r="BB69" s="16">
        <v>-0.78259031617944586</v>
      </c>
      <c r="BC69" s="16">
        <v>-0.37606847170382818</v>
      </c>
      <c r="BD69" s="16">
        <v>-0.46934370192823477</v>
      </c>
      <c r="BE69" s="16">
        <v>-0.94051665002192086</v>
      </c>
      <c r="BF69" s="16">
        <v>1.4854942552100219E-2</v>
      </c>
      <c r="BG69" s="16">
        <v>0.4136203427668308</v>
      </c>
      <c r="BH69" s="16">
        <v>-0.37340327212484564</v>
      </c>
      <c r="BI69" s="16">
        <v>1.3106361013923324</v>
      </c>
      <c r="BJ69" s="16">
        <v>0.26580778348280726</v>
      </c>
      <c r="BK69" s="16">
        <v>-1.1535339367744377</v>
      </c>
      <c r="BL69" s="16">
        <v>0.88323217735874393</v>
      </c>
      <c r="BM69" s="16">
        <v>0.58619530332297543</v>
      </c>
      <c r="BN69" s="16">
        <v>-1.0616713739026176</v>
      </c>
      <c r="BO69" s="16">
        <v>1.0715960319800504</v>
      </c>
      <c r="BP69" s="16">
        <v>0.5678350332501122</v>
      </c>
      <c r="BQ69" s="16">
        <v>-1.4036578470490746</v>
      </c>
      <c r="BR69" s="16">
        <v>-0.1734588489526622</v>
      </c>
      <c r="BS69" s="16">
        <v>1.5139225978958715</v>
      </c>
      <c r="BT69" s="16">
        <v>-0.37904033432951428</v>
      </c>
      <c r="BU69" s="16">
        <v>-0.93235603422391833</v>
      </c>
      <c r="BV69" s="16">
        <v>-0.35732479934921746</v>
      </c>
      <c r="BW69" s="16">
        <v>0.6555190791805624</v>
      </c>
      <c r="BX69" s="16">
        <v>5.9520824593824295E-2</v>
      </c>
      <c r="BY69" s="16">
        <v>0.55378092457457684</v>
      </c>
      <c r="BZ69" s="16">
        <v>-0.21222371908036419</v>
      </c>
      <c r="CA69" s="16">
        <v>0.44568136104878642</v>
      </c>
      <c r="CB69" s="16">
        <v>-0.48147077067352489</v>
      </c>
      <c r="CC69" s="16">
        <v>-0.51352879892155689</v>
      </c>
      <c r="CD69" s="16">
        <v>1.2721946603970136</v>
      </c>
      <c r="CE69" s="16">
        <v>-1.2088457195979547</v>
      </c>
      <c r="CF69" s="16">
        <v>-0.24935130601914979</v>
      </c>
      <c r="CG69" s="16">
        <v>-0.34738567901047485</v>
      </c>
      <c r="CH69" s="16">
        <v>0.33276698650102665</v>
      </c>
      <c r="CI69" s="16">
        <v>-4.0724780732562617E-2</v>
      </c>
      <c r="CJ69" s="16">
        <v>-0.22671132352982412</v>
      </c>
      <c r="CK69" s="16">
        <v>-0.65435505358786838</v>
      </c>
      <c r="CL69" s="16">
        <v>-0.46947026997639557</v>
      </c>
      <c r="CM69" s="16">
        <v>-0.16361803041393128</v>
      </c>
      <c r="CN69" s="17">
        <v>0.14142458421603271</v>
      </c>
      <c r="CP69" s="22">
        <f t="array" ref="CP69:CP112">SQRT([1]!DIAG(AW69:CN112))</f>
        <v>2.2210711175559217</v>
      </c>
    </row>
    <row r="70" spans="1:94" x14ac:dyDescent="0.2">
      <c r="A70" s="2" t="s">
        <v>113</v>
      </c>
      <c r="B70" s="2">
        <v>2</v>
      </c>
      <c r="C70" s="2">
        <v>2</v>
      </c>
      <c r="D70" s="2">
        <v>3</v>
      </c>
      <c r="E70" s="2">
        <v>3</v>
      </c>
      <c r="F70" s="2">
        <v>1</v>
      </c>
      <c r="G70" s="2">
        <v>2</v>
      </c>
      <c r="H70" s="2">
        <v>3</v>
      </c>
      <c r="I70" s="2">
        <v>3</v>
      </c>
      <c r="J70" s="2">
        <v>2</v>
      </c>
      <c r="K70" s="2">
        <v>2</v>
      </c>
      <c r="L70" s="2">
        <v>3</v>
      </c>
      <c r="M70" s="2">
        <v>2</v>
      </c>
      <c r="N70" s="2">
        <v>3</v>
      </c>
      <c r="O70" s="2">
        <v>4</v>
      </c>
      <c r="P70" s="2">
        <v>4</v>
      </c>
      <c r="Q70" s="2">
        <v>1</v>
      </c>
      <c r="R70" s="2">
        <v>4</v>
      </c>
      <c r="S70" s="2">
        <v>2</v>
      </c>
      <c r="T70" s="2">
        <v>3</v>
      </c>
      <c r="U70" s="2">
        <v>3</v>
      </c>
      <c r="V70" s="2">
        <v>3</v>
      </c>
      <c r="W70" s="2">
        <v>3</v>
      </c>
      <c r="X70" s="2">
        <v>3</v>
      </c>
      <c r="Y70" s="2">
        <v>4</v>
      </c>
      <c r="Z70" s="2">
        <v>3</v>
      </c>
      <c r="AA70" s="2">
        <v>3</v>
      </c>
      <c r="AB70" s="2">
        <v>3</v>
      </c>
      <c r="AC70" s="2">
        <v>2</v>
      </c>
      <c r="AD70" s="2">
        <v>2</v>
      </c>
      <c r="AE70" s="2">
        <v>5</v>
      </c>
      <c r="AF70" s="2">
        <v>4</v>
      </c>
      <c r="AG70" s="2">
        <v>1</v>
      </c>
      <c r="AH70" s="2">
        <v>4</v>
      </c>
      <c r="AI70" s="2">
        <v>3</v>
      </c>
      <c r="AJ70" s="2">
        <v>3</v>
      </c>
      <c r="AK70" s="2">
        <v>3</v>
      </c>
      <c r="AL70" s="2">
        <v>4</v>
      </c>
      <c r="AM70" s="2">
        <v>4</v>
      </c>
      <c r="AN70" s="2">
        <v>4</v>
      </c>
      <c r="AO70" s="2">
        <v>3</v>
      </c>
      <c r="AP70" s="2">
        <v>3</v>
      </c>
      <c r="AQ70" s="2">
        <v>1</v>
      </c>
      <c r="AR70" s="2">
        <v>1</v>
      </c>
      <c r="AS70" s="2">
        <v>2</v>
      </c>
      <c r="AT70" s="2"/>
      <c r="AU70" s="2"/>
      <c r="AV70" s="2" t="str">
        <v>2.Monopoly of material by some suppliers</v>
      </c>
      <c r="AW70" s="10">
        <v>-1.8343432491592264</v>
      </c>
      <c r="AX70" s="11">
        <v>4.6662669504496552</v>
      </c>
      <c r="AY70" s="11">
        <v>-0.65890638316753092</v>
      </c>
      <c r="AZ70" s="18">
        <v>-0.22575724177274867</v>
      </c>
      <c r="BA70" s="18">
        <v>-0.79702679504285945</v>
      </c>
      <c r="BB70" s="18">
        <v>0.81776698509414492</v>
      </c>
      <c r="BC70" s="18">
        <v>0.18391819133165757</v>
      </c>
      <c r="BD70" s="18">
        <v>-1.4672018707682397</v>
      </c>
      <c r="BE70" s="18">
        <v>0.80561682729249928</v>
      </c>
      <c r="BF70" s="18">
        <v>0.35404374721432119</v>
      </c>
      <c r="BG70" s="18">
        <v>-0.92697581011891317</v>
      </c>
      <c r="BH70" s="18">
        <v>1.5487998300863437</v>
      </c>
      <c r="BI70" s="18">
        <v>-0.73609608219293232</v>
      </c>
      <c r="BJ70" s="18">
        <v>1.1046531794080114</v>
      </c>
      <c r="BK70" s="18">
        <v>-0.48560066929429002</v>
      </c>
      <c r="BL70" s="18">
        <v>-0.60491908781570525</v>
      </c>
      <c r="BM70" s="18">
        <v>-0.79206748562516283</v>
      </c>
      <c r="BN70" s="18">
        <v>0.6913261220498641</v>
      </c>
      <c r="BO70" s="18">
        <v>-1.4743679408075208</v>
      </c>
      <c r="BP70" s="18">
        <v>-0.15550457776079391</v>
      </c>
      <c r="BQ70" s="18">
        <v>1.1202129206349598</v>
      </c>
      <c r="BR70" s="18">
        <v>-0.52756919437663086</v>
      </c>
      <c r="BS70" s="18">
        <v>-0.35003382346139311</v>
      </c>
      <c r="BT70" s="18">
        <v>0.44505787942809433</v>
      </c>
      <c r="BU70" s="18">
        <v>0.21515054294089553</v>
      </c>
      <c r="BV70" s="18">
        <v>0.9087891817312449</v>
      </c>
      <c r="BW70" s="18">
        <v>-0.71254288518129738</v>
      </c>
      <c r="BX70" s="18">
        <v>0.27743135849798239</v>
      </c>
      <c r="BY70" s="18">
        <v>-0.55271471385097559</v>
      </c>
      <c r="BZ70" s="18">
        <v>1.5153047917456053</v>
      </c>
      <c r="CA70" s="18">
        <v>-0.35237561150098401</v>
      </c>
      <c r="CB70" s="18">
        <v>0.27905258303636116</v>
      </c>
      <c r="CC70" s="18">
        <v>-0.21687499543971084</v>
      </c>
      <c r="CD70" s="18">
        <v>0.35518808501325905</v>
      </c>
      <c r="CE70" s="18">
        <v>0.84997763188689346</v>
      </c>
      <c r="CF70" s="18">
        <v>-0.64126702802266711</v>
      </c>
      <c r="CG70" s="18">
        <v>-0.20662832441109075</v>
      </c>
      <c r="CH70" s="18">
        <v>1.1375251406662119</v>
      </c>
      <c r="CI70" s="18">
        <v>-0.81505481028001836</v>
      </c>
      <c r="CJ70" s="18">
        <v>-0.43830383935277667</v>
      </c>
      <c r="CK70" s="18">
        <v>0.36517210171476711</v>
      </c>
      <c r="CL70" s="18">
        <v>0.12528134095416132</v>
      </c>
      <c r="CM70" s="18">
        <v>-0.85827542494962572</v>
      </c>
      <c r="CN70" s="19">
        <v>-0.81836821307321272</v>
      </c>
      <c r="CP70" s="23">
        <v>2.1601543811611372</v>
      </c>
    </row>
    <row r="71" spans="1:94" x14ac:dyDescent="0.2">
      <c r="A71" s="2" t="s">
        <v>114</v>
      </c>
      <c r="B71" s="2">
        <v>4</v>
      </c>
      <c r="C71" s="2">
        <v>5</v>
      </c>
      <c r="D71" s="2">
        <v>4</v>
      </c>
      <c r="E71" s="2">
        <v>3</v>
      </c>
      <c r="F71" s="2">
        <v>4</v>
      </c>
      <c r="G71" s="2">
        <v>4</v>
      </c>
      <c r="H71" s="2">
        <v>4</v>
      </c>
      <c r="I71" s="2">
        <v>4</v>
      </c>
      <c r="J71" s="2">
        <v>4</v>
      </c>
      <c r="K71" s="2">
        <v>4</v>
      </c>
      <c r="L71" s="2">
        <v>5</v>
      </c>
      <c r="M71" s="2">
        <v>5</v>
      </c>
      <c r="N71" s="2">
        <v>5</v>
      </c>
      <c r="O71" s="2">
        <v>3</v>
      </c>
      <c r="P71" s="2">
        <v>4</v>
      </c>
      <c r="Q71" s="2">
        <v>4</v>
      </c>
      <c r="R71" s="2">
        <v>5</v>
      </c>
      <c r="S71" s="2">
        <v>4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>
        <v>5</v>
      </c>
      <c r="Z71" s="2">
        <v>4</v>
      </c>
      <c r="AA71" s="2">
        <v>4</v>
      </c>
      <c r="AB71" s="2">
        <v>4</v>
      </c>
      <c r="AC71" s="2">
        <v>5</v>
      </c>
      <c r="AD71" s="2">
        <v>5</v>
      </c>
      <c r="AE71" s="2">
        <v>4</v>
      </c>
      <c r="AF71" s="2">
        <v>4</v>
      </c>
      <c r="AG71" s="2">
        <v>4</v>
      </c>
      <c r="AH71" s="2">
        <v>3</v>
      </c>
      <c r="AI71" s="2">
        <v>4</v>
      </c>
      <c r="AJ71" s="2">
        <v>4</v>
      </c>
      <c r="AK71" s="2">
        <v>5</v>
      </c>
      <c r="AL71" s="2">
        <v>4</v>
      </c>
      <c r="AM71" s="2">
        <v>4</v>
      </c>
      <c r="AN71" s="2">
        <v>5</v>
      </c>
      <c r="AO71" s="2">
        <v>5</v>
      </c>
      <c r="AP71" s="2">
        <v>4</v>
      </c>
      <c r="AQ71" s="2">
        <v>4</v>
      </c>
      <c r="AR71" s="2">
        <v>3</v>
      </c>
      <c r="AS71" s="2">
        <v>4</v>
      </c>
      <c r="AT71" s="2"/>
      <c r="AU71" s="2"/>
      <c r="AV71" s="2" t="str">
        <v>3.Prices fluctuation</v>
      </c>
      <c r="AW71" s="10">
        <v>0.96535201000072757</v>
      </c>
      <c r="AX71" s="11">
        <v>-0.65890638316753136</v>
      </c>
      <c r="AY71" s="11">
        <v>2.8593085170864416</v>
      </c>
      <c r="AZ71" s="18">
        <v>-1.6482268016732864</v>
      </c>
      <c r="BA71" s="18">
        <v>0.19359694798778496</v>
      </c>
      <c r="BB71" s="18">
        <v>7.6003344199249923E-2</v>
      </c>
      <c r="BC71" s="18">
        <v>-0.41794299339072211</v>
      </c>
      <c r="BD71" s="18">
        <v>0.93138040779830666</v>
      </c>
      <c r="BE71" s="18">
        <v>-1.4167895544098452</v>
      </c>
      <c r="BF71" s="18">
        <v>0.34414764522818708</v>
      </c>
      <c r="BG71" s="18">
        <v>-5.5659711680943233E-2</v>
      </c>
      <c r="BH71" s="18">
        <v>-0.11045324940802979</v>
      </c>
      <c r="BI71" s="18">
        <v>-0.48983821208378842</v>
      </c>
      <c r="BJ71" s="18">
        <v>0.2558062916713667</v>
      </c>
      <c r="BK71" s="18">
        <v>-0.22148847945642661</v>
      </c>
      <c r="BL71" s="18">
        <v>0.3771662951641796</v>
      </c>
      <c r="BM71" s="18">
        <v>-0.23116129758623757</v>
      </c>
      <c r="BN71" s="18">
        <v>-0.37170401694051963</v>
      </c>
      <c r="BO71" s="18">
        <v>-0.28758926522980965</v>
      </c>
      <c r="BP71" s="18">
        <v>-4.8958194586949846E-2</v>
      </c>
      <c r="BQ71" s="18">
        <v>-0.41173604095578409</v>
      </c>
      <c r="BR71" s="18">
        <v>-0.34675729469643585</v>
      </c>
      <c r="BS71" s="18">
        <v>0.89006604025408642</v>
      </c>
      <c r="BT71" s="18">
        <v>-0.40871582104160792</v>
      </c>
      <c r="BU71" s="18">
        <v>0.47165411403964413</v>
      </c>
      <c r="BV71" s="18">
        <v>-0.79731739321207018</v>
      </c>
      <c r="BW71" s="18">
        <v>0.63418435183436273</v>
      </c>
      <c r="BX71" s="18">
        <v>0.20248605386892829</v>
      </c>
      <c r="BY71" s="18">
        <v>-0.54409926783830243</v>
      </c>
      <c r="BZ71" s="18">
        <v>0.7996214150158143</v>
      </c>
      <c r="CA71" s="18">
        <v>-0.38928795006818268</v>
      </c>
      <c r="CB71" s="18">
        <v>0.57936515451006299</v>
      </c>
      <c r="CC71" s="18">
        <v>-0.32395276715852955</v>
      </c>
      <c r="CD71" s="18">
        <v>-0.10721887986856907</v>
      </c>
      <c r="CE71" s="18">
        <v>0.89617006901021312</v>
      </c>
      <c r="CF71" s="18">
        <v>0.11840049362456403</v>
      </c>
      <c r="CG71" s="18">
        <v>-0.2168327181931787</v>
      </c>
      <c r="CH71" s="18">
        <v>-0.31005086283997624</v>
      </c>
      <c r="CI71" s="18">
        <v>0.14523229509560087</v>
      </c>
      <c r="CJ71" s="18">
        <v>0.68332572030924743</v>
      </c>
      <c r="CK71" s="18">
        <v>-0.39916299767634622</v>
      </c>
      <c r="CL71" s="18">
        <v>-0.41314721447939268</v>
      </c>
      <c r="CM71" s="18">
        <v>0.22547461003231825</v>
      </c>
      <c r="CN71" s="19">
        <v>-6.7192710663757149E-2</v>
      </c>
      <c r="CP71" s="23">
        <v>1.6909489989607733</v>
      </c>
    </row>
    <row r="72" spans="1:94" x14ac:dyDescent="0.2">
      <c r="A72" s="2" t="s">
        <v>115</v>
      </c>
      <c r="B72" s="2">
        <v>4</v>
      </c>
      <c r="C72" s="2">
        <v>4</v>
      </c>
      <c r="D72" s="2">
        <v>3</v>
      </c>
      <c r="E72" s="2">
        <v>4</v>
      </c>
      <c r="F72" s="2">
        <v>4</v>
      </c>
      <c r="G72" s="2">
        <v>4</v>
      </c>
      <c r="H72" s="2">
        <v>4</v>
      </c>
      <c r="I72" s="2">
        <v>4</v>
      </c>
      <c r="J72" s="2">
        <v>4</v>
      </c>
      <c r="K72" s="2">
        <v>4</v>
      </c>
      <c r="L72" s="2">
        <v>4</v>
      </c>
      <c r="M72" s="2">
        <v>4</v>
      </c>
      <c r="N72" s="2">
        <v>4</v>
      </c>
      <c r="O72" s="2">
        <v>4</v>
      </c>
      <c r="P72" s="2">
        <v>4</v>
      </c>
      <c r="Q72" s="2">
        <v>4</v>
      </c>
      <c r="R72" s="2">
        <v>4</v>
      </c>
      <c r="S72" s="2">
        <v>4</v>
      </c>
      <c r="T72" s="2">
        <v>4</v>
      </c>
      <c r="U72" s="2">
        <v>4</v>
      </c>
      <c r="V72" s="2">
        <v>4</v>
      </c>
      <c r="W72" s="2">
        <v>4</v>
      </c>
      <c r="X72" s="2">
        <v>4</v>
      </c>
      <c r="Y72" s="2">
        <v>3</v>
      </c>
      <c r="Z72" s="2">
        <v>3</v>
      </c>
      <c r="AA72" s="2">
        <v>3</v>
      </c>
      <c r="AB72" s="2">
        <v>4</v>
      </c>
      <c r="AC72" s="2">
        <v>5</v>
      </c>
      <c r="AD72" s="2">
        <v>4</v>
      </c>
      <c r="AE72" s="2">
        <v>5</v>
      </c>
      <c r="AF72" s="2">
        <v>3</v>
      </c>
      <c r="AG72" s="2">
        <v>4</v>
      </c>
      <c r="AH72" s="2">
        <v>4</v>
      </c>
      <c r="AI72" s="2">
        <v>5</v>
      </c>
      <c r="AJ72" s="2">
        <v>4</v>
      </c>
      <c r="AK72" s="2">
        <v>4</v>
      </c>
      <c r="AL72" s="2">
        <v>4</v>
      </c>
      <c r="AM72" s="2">
        <v>4</v>
      </c>
      <c r="AN72" s="2">
        <v>4</v>
      </c>
      <c r="AO72" s="2">
        <v>5</v>
      </c>
      <c r="AP72" s="2">
        <v>5</v>
      </c>
      <c r="AQ72" s="2">
        <v>4</v>
      </c>
      <c r="AR72" s="2">
        <v>4</v>
      </c>
      <c r="AS72" s="2">
        <v>5</v>
      </c>
      <c r="AT72" s="2"/>
      <c r="AU72" s="2"/>
      <c r="AV72" s="2" t="str">
        <v>4.Types of material availability at local market</v>
      </c>
      <c r="AW72" s="10">
        <v>-1.4882809309325933</v>
      </c>
      <c r="AX72" s="11">
        <v>-0.22575724177274839</v>
      </c>
      <c r="AY72" s="11">
        <v>-1.6482268016732839</v>
      </c>
      <c r="AZ72" s="18">
        <v>5.5415342323172672</v>
      </c>
      <c r="BA72" s="18">
        <v>-1.5471913922534377</v>
      </c>
      <c r="BB72" s="18">
        <v>-0.61961943809946585</v>
      </c>
      <c r="BC72" s="18">
        <v>-1.5502478925908396</v>
      </c>
      <c r="BD72" s="18">
        <v>-1.6392853196595081</v>
      </c>
      <c r="BE72" s="18">
        <v>3.2568993331137945</v>
      </c>
      <c r="BF72" s="18">
        <v>-0.83204043925916471</v>
      </c>
      <c r="BG72" s="18">
        <v>-0.27517178785634711</v>
      </c>
      <c r="BH72" s="18">
        <v>1.0825218748315386</v>
      </c>
      <c r="BI72" s="18">
        <v>0.18577967534017759</v>
      </c>
      <c r="BJ72" s="18">
        <v>0.76180505602376991</v>
      </c>
      <c r="BK72" s="18">
        <v>-1.1194096006595893</v>
      </c>
      <c r="BL72" s="18">
        <v>0.51543172445279994</v>
      </c>
      <c r="BM72" s="18">
        <v>0.97392011526401179</v>
      </c>
      <c r="BN72" s="18">
        <v>-8.4406545802976893E-2</v>
      </c>
      <c r="BO72" s="18">
        <v>-0.21018045780486824</v>
      </c>
      <c r="BP72" s="18">
        <v>0.85452965600052211</v>
      </c>
      <c r="BQ72" s="18">
        <v>-6.3685268774781423E-2</v>
      </c>
      <c r="BR72" s="18">
        <v>0.42453894140039838</v>
      </c>
      <c r="BS72" s="18">
        <v>-1.0439549595588831</v>
      </c>
      <c r="BT72" s="18">
        <v>5.6572590615627277E-2</v>
      </c>
      <c r="BU72" s="18">
        <v>0.1511362834142152</v>
      </c>
      <c r="BV72" s="18">
        <v>0.33250957896398164</v>
      </c>
      <c r="BW72" s="18">
        <v>-0.52334780322196606</v>
      </c>
      <c r="BX72" s="18">
        <v>-0.88680115488260736</v>
      </c>
      <c r="BY72" s="18">
        <v>0.94381500614538605</v>
      </c>
      <c r="BZ72" s="18">
        <v>-0.92025469065647569</v>
      </c>
      <c r="CA72" s="18">
        <v>-0.27901039309940073</v>
      </c>
      <c r="CB72" s="18">
        <v>8.7988152084018043E-3</v>
      </c>
      <c r="CC72" s="18">
        <v>-0.4668113243424335</v>
      </c>
      <c r="CD72" s="18">
        <v>0.38826400329297056</v>
      </c>
      <c r="CE72" s="18">
        <v>-0.29357223092486984</v>
      </c>
      <c r="CF72" s="18">
        <v>-0.90395271675127264</v>
      </c>
      <c r="CG72" s="18">
        <v>0.42400691279612318</v>
      </c>
      <c r="CH72" s="18">
        <v>0.24849317497775353</v>
      </c>
      <c r="CI72" s="18">
        <v>-5.49172763119362E-2</v>
      </c>
      <c r="CJ72" s="18">
        <v>-0.14340851752153685</v>
      </c>
      <c r="CK72" s="18">
        <v>0.41358581232295</v>
      </c>
      <c r="CL72" s="18">
        <v>-0.62696852367309908</v>
      </c>
      <c r="CM72" s="18">
        <v>-0.44896465751351894</v>
      </c>
      <c r="CN72" s="19">
        <v>1.1153062940918166</v>
      </c>
      <c r="CP72" s="23">
        <v>2.3540463530519671</v>
      </c>
    </row>
    <row r="73" spans="1:94" x14ac:dyDescent="0.2">
      <c r="A73" s="2" t="s">
        <v>116</v>
      </c>
      <c r="B73" s="2">
        <v>3</v>
      </c>
      <c r="C73" s="2">
        <v>3</v>
      </c>
      <c r="D73" s="2">
        <v>3</v>
      </c>
      <c r="E73" s="2">
        <v>3</v>
      </c>
      <c r="F73" s="2">
        <v>3</v>
      </c>
      <c r="G73" s="2">
        <v>3</v>
      </c>
      <c r="H73" s="2">
        <v>2</v>
      </c>
      <c r="I73" s="2">
        <v>3</v>
      </c>
      <c r="J73" s="2">
        <v>2</v>
      </c>
      <c r="K73" s="2">
        <v>3</v>
      </c>
      <c r="L73" s="2">
        <v>3</v>
      </c>
      <c r="M73" s="2">
        <v>3</v>
      </c>
      <c r="N73" s="2">
        <v>4</v>
      </c>
      <c r="O73" s="2">
        <v>4</v>
      </c>
      <c r="P73" s="2">
        <v>4</v>
      </c>
      <c r="Q73" s="2">
        <v>4</v>
      </c>
      <c r="R73" s="2">
        <v>5</v>
      </c>
      <c r="S73" s="2">
        <v>4</v>
      </c>
      <c r="T73" s="3"/>
      <c r="U73" s="2">
        <v>2</v>
      </c>
      <c r="V73" s="2">
        <v>2</v>
      </c>
      <c r="W73" s="2">
        <v>3</v>
      </c>
      <c r="X73" s="2">
        <v>3</v>
      </c>
      <c r="Y73" s="2">
        <v>2</v>
      </c>
      <c r="Z73" s="2">
        <v>3</v>
      </c>
      <c r="AA73" s="2">
        <v>3</v>
      </c>
      <c r="AB73" s="2">
        <v>4</v>
      </c>
      <c r="AC73" s="2">
        <v>3</v>
      </c>
      <c r="AD73" s="2">
        <v>3</v>
      </c>
      <c r="AE73" s="2">
        <v>4</v>
      </c>
      <c r="AF73" s="2">
        <v>3</v>
      </c>
      <c r="AG73" s="2">
        <v>3</v>
      </c>
      <c r="AH73" s="2">
        <v>3</v>
      </c>
      <c r="AI73" s="2">
        <v>2</v>
      </c>
      <c r="AJ73" s="2">
        <v>2</v>
      </c>
      <c r="AK73" s="2">
        <v>4</v>
      </c>
      <c r="AL73" s="2">
        <v>5</v>
      </c>
      <c r="AM73" s="2">
        <v>4</v>
      </c>
      <c r="AN73" s="2">
        <v>5</v>
      </c>
      <c r="AO73" s="2">
        <v>5</v>
      </c>
      <c r="AP73" s="2">
        <v>2</v>
      </c>
      <c r="AQ73" s="2">
        <v>2</v>
      </c>
      <c r="AR73" s="2">
        <v>2</v>
      </c>
      <c r="AS73" s="2">
        <v>4</v>
      </c>
      <c r="AT73" s="2"/>
      <c r="AU73" s="2"/>
      <c r="AV73" s="2" t="str">
        <v>5.Lack of consultant’s knowledge of available materials</v>
      </c>
      <c r="AW73" s="10">
        <v>0.35179073543732825</v>
      </c>
      <c r="AX73" s="11">
        <v>-0.79702679504285878</v>
      </c>
      <c r="AY73" s="11">
        <v>0.19359694798778496</v>
      </c>
      <c r="AZ73" s="18">
        <v>-1.547191392253439</v>
      </c>
      <c r="BA73" s="18">
        <v>4.8375601833664961</v>
      </c>
      <c r="BB73" s="18">
        <v>5.2757519273915733E-2</v>
      </c>
      <c r="BC73" s="18">
        <v>1.254637876444112</v>
      </c>
      <c r="BD73" s="18">
        <v>1.1442297348249597</v>
      </c>
      <c r="BE73" s="18">
        <v>-2.5875335166285014</v>
      </c>
      <c r="BF73" s="18">
        <v>0.73299979178992991</v>
      </c>
      <c r="BG73" s="18">
        <v>0.75553487393101171</v>
      </c>
      <c r="BH73" s="18">
        <v>3.5435615189705369E-3</v>
      </c>
      <c r="BI73" s="18">
        <v>-2.0982309779254864</v>
      </c>
      <c r="BJ73" s="18">
        <v>-1.3172304556943228</v>
      </c>
      <c r="BK73" s="18">
        <v>1.3561591715831309</v>
      </c>
      <c r="BL73" s="18">
        <v>-0.34890958304465031</v>
      </c>
      <c r="BM73" s="18">
        <v>9.5013817570714851E-2</v>
      </c>
      <c r="BN73" s="18">
        <v>-0.50630920016738024</v>
      </c>
      <c r="BO73" s="18">
        <v>0.59738837461734384</v>
      </c>
      <c r="BP73" s="18">
        <v>-0.49148734208406641</v>
      </c>
      <c r="BQ73" s="18">
        <v>-0.84732793034449916</v>
      </c>
      <c r="BR73" s="18">
        <v>0.3177207617091255</v>
      </c>
      <c r="BS73" s="18">
        <v>-0.38479575285514195</v>
      </c>
      <c r="BT73" s="18">
        <v>0.54055907181326157</v>
      </c>
      <c r="BU73" s="18">
        <v>-0.49883590550090362</v>
      </c>
      <c r="BV73" s="18">
        <v>-1.1302753616508365</v>
      </c>
      <c r="BW73" s="18">
        <v>0.73970473052115293</v>
      </c>
      <c r="BX73" s="18">
        <v>-0.56418292044043616</v>
      </c>
      <c r="BY73" s="18">
        <v>0.11698058580932572</v>
      </c>
      <c r="BZ73" s="18">
        <v>0.53884345444194814</v>
      </c>
      <c r="CA73" s="18">
        <v>1.6850300907226845</v>
      </c>
      <c r="CB73" s="18">
        <v>-1.1121809279285819</v>
      </c>
      <c r="CC73" s="18">
        <v>-0.87239023953981043</v>
      </c>
      <c r="CD73" s="18">
        <v>-0.17176524772201041</v>
      </c>
      <c r="CE73" s="18">
        <v>-0.53543388701584416</v>
      </c>
      <c r="CF73" s="18">
        <v>1.2646247079883994</v>
      </c>
      <c r="CG73" s="18">
        <v>-0.99707430837849853</v>
      </c>
      <c r="CH73" s="18">
        <v>-0.39851507398701375</v>
      </c>
      <c r="CI73" s="18">
        <v>-0.94575183079497038</v>
      </c>
      <c r="CJ73" s="18">
        <v>1.3078889851809448</v>
      </c>
      <c r="CK73" s="18">
        <v>-7.8146536785720103E-2</v>
      </c>
      <c r="CL73" s="18">
        <v>-0.67555315780363989</v>
      </c>
      <c r="CM73" s="18">
        <v>0.75455759613429629</v>
      </c>
      <c r="CN73" s="19">
        <v>-0.26793733917443729</v>
      </c>
      <c r="CP73" s="23">
        <v>2.1994454263214842</v>
      </c>
    </row>
    <row r="74" spans="1:94" x14ac:dyDescent="0.2">
      <c r="A74" s="2" t="s">
        <v>117</v>
      </c>
      <c r="B74" s="2">
        <v>1</v>
      </c>
      <c r="C74" s="2">
        <v>1</v>
      </c>
      <c r="D74" s="2">
        <v>5</v>
      </c>
      <c r="E74" s="2">
        <v>1</v>
      </c>
      <c r="F74" s="2">
        <v>1</v>
      </c>
      <c r="G74" s="2">
        <v>5</v>
      </c>
      <c r="H74" s="2">
        <v>5</v>
      </c>
      <c r="I74" s="2">
        <v>5</v>
      </c>
      <c r="J74" s="2">
        <v>5</v>
      </c>
      <c r="K74" s="2">
        <v>5</v>
      </c>
      <c r="L74" s="2">
        <v>5</v>
      </c>
      <c r="M74" s="2">
        <v>5</v>
      </c>
      <c r="N74" s="2">
        <v>5</v>
      </c>
      <c r="O74" s="2">
        <v>4</v>
      </c>
      <c r="P74" s="2">
        <v>4</v>
      </c>
      <c r="Q74" s="2">
        <v>4</v>
      </c>
      <c r="R74" s="2">
        <v>4</v>
      </c>
      <c r="S74" s="2">
        <v>4</v>
      </c>
      <c r="T74" s="2">
        <v>5</v>
      </c>
      <c r="U74" s="2">
        <v>5</v>
      </c>
      <c r="V74" s="2">
        <v>5</v>
      </c>
      <c r="W74" s="2">
        <v>5</v>
      </c>
      <c r="X74" s="2">
        <v>5</v>
      </c>
      <c r="Y74" s="2">
        <v>5</v>
      </c>
      <c r="Z74" s="2">
        <v>5</v>
      </c>
      <c r="AA74" s="2">
        <v>3</v>
      </c>
      <c r="AB74" s="2">
        <v>3</v>
      </c>
      <c r="AC74" s="2">
        <v>3</v>
      </c>
      <c r="AD74" s="2">
        <v>5</v>
      </c>
      <c r="AE74" s="2">
        <v>5</v>
      </c>
      <c r="AF74" s="2">
        <v>3</v>
      </c>
      <c r="AG74" s="2">
        <v>3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5</v>
      </c>
      <c r="AN74" s="2">
        <v>5</v>
      </c>
      <c r="AO74" s="2">
        <v>5</v>
      </c>
      <c r="AP74" s="2">
        <v>5</v>
      </c>
      <c r="AQ74" s="2">
        <v>1</v>
      </c>
      <c r="AR74" s="2">
        <v>1</v>
      </c>
      <c r="AS74" s="2">
        <v>1</v>
      </c>
      <c r="AT74" s="2"/>
      <c r="AU74" s="2"/>
      <c r="AV74" s="2" t="str">
        <v>6.Low productivity</v>
      </c>
      <c r="AW74" s="10">
        <v>-0.78259031617943986</v>
      </c>
      <c r="AX74" s="11">
        <v>0.8177669850941417</v>
      </c>
      <c r="AY74" s="11">
        <v>7.6003344199251893E-2</v>
      </c>
      <c r="AZ74" s="18">
        <v>-0.61961943809946896</v>
      </c>
      <c r="BA74" s="18">
        <v>5.2757519273920597E-2</v>
      </c>
      <c r="BB74" s="18">
        <v>7.7868400184146465</v>
      </c>
      <c r="BC74" s="18">
        <v>-4.2837303181442392</v>
      </c>
      <c r="BD74" s="18">
        <v>-2.8846825482246476</v>
      </c>
      <c r="BE74" s="18">
        <v>0.21770226263543657</v>
      </c>
      <c r="BF74" s="18">
        <v>0.56931936670381988</v>
      </c>
      <c r="BG74" s="18">
        <v>-8.7303948726064992E-2</v>
      </c>
      <c r="BH74" s="18">
        <v>-0.82445321868330768</v>
      </c>
      <c r="BI74" s="18">
        <v>-0.87377871638456261</v>
      </c>
      <c r="BJ74" s="18">
        <v>0.69238678945797949</v>
      </c>
      <c r="BK74" s="18">
        <v>0.3624986070364874</v>
      </c>
      <c r="BL74" s="18">
        <v>-0.73263632687029268</v>
      </c>
      <c r="BM74" s="18">
        <v>-0.4992074676800351</v>
      </c>
      <c r="BN74" s="18">
        <v>-1.667376123137056E-2</v>
      </c>
      <c r="BO74" s="18">
        <v>-0.28911210083328026</v>
      </c>
      <c r="BP74" s="18">
        <v>-0.22110069399384283</v>
      </c>
      <c r="BQ74" s="18">
        <v>0.64400300389293541</v>
      </c>
      <c r="BR74" s="18">
        <v>1.7524576787499298E-2</v>
      </c>
      <c r="BS74" s="18">
        <v>-0.41503049814025011</v>
      </c>
      <c r="BT74" s="18">
        <v>0.63081736681109601</v>
      </c>
      <c r="BU74" s="18">
        <v>-6.3165998562321087E-3</v>
      </c>
      <c r="BV74" s="18">
        <v>1.0912418553667993</v>
      </c>
      <c r="BW74" s="18">
        <v>-1.40143909668237</v>
      </c>
      <c r="BX74" s="18">
        <v>1.2824898841526648</v>
      </c>
      <c r="BY74" s="18">
        <v>-1.7372081611191608</v>
      </c>
      <c r="BZ74" s="18">
        <v>0.89394754717784564</v>
      </c>
      <c r="CA74" s="18">
        <v>-0.28458497320642412</v>
      </c>
      <c r="CB74" s="18">
        <v>5.2513470637621733E-2</v>
      </c>
      <c r="CC74" s="18">
        <v>1.2270388809688328</v>
      </c>
      <c r="CD74" s="18">
        <v>-0.85066805949694613</v>
      </c>
      <c r="CE74" s="18">
        <v>1.0502921176759519</v>
      </c>
      <c r="CF74" s="18">
        <v>-0.58681785721181323</v>
      </c>
      <c r="CG74" s="18">
        <v>-0.69566645660102611</v>
      </c>
      <c r="CH74" s="18">
        <v>-0.14680366889866961</v>
      </c>
      <c r="CI74" s="18">
        <v>1.1551677315358042</v>
      </c>
      <c r="CJ74" s="18">
        <v>-0.94651984370484299</v>
      </c>
      <c r="CK74" s="18">
        <v>0.53248490026889228</v>
      </c>
      <c r="CL74" s="18">
        <v>1.2440991908080088</v>
      </c>
      <c r="CM74" s="18">
        <v>-8.7164983856784575E-2</v>
      </c>
      <c r="CN74" s="19">
        <v>0.53226314085028636</v>
      </c>
      <c r="CP74" s="23">
        <v>2.7904909995222429</v>
      </c>
    </row>
    <row r="75" spans="1:94" x14ac:dyDescent="0.2">
      <c r="A75" s="2" t="s">
        <v>118</v>
      </c>
      <c r="B75" s="2">
        <v>4</v>
      </c>
      <c r="C75" s="2">
        <v>4</v>
      </c>
      <c r="D75" s="2">
        <v>1</v>
      </c>
      <c r="E75" s="2">
        <v>3</v>
      </c>
      <c r="F75" s="2">
        <v>3</v>
      </c>
      <c r="G75" s="2">
        <v>4</v>
      </c>
      <c r="H75" s="2">
        <v>4</v>
      </c>
      <c r="I75" s="2">
        <v>5</v>
      </c>
      <c r="J75" s="2">
        <v>4</v>
      </c>
      <c r="K75" s="2">
        <v>5</v>
      </c>
      <c r="L75" s="2">
        <v>3</v>
      </c>
      <c r="M75" s="2">
        <v>5</v>
      </c>
      <c r="N75" s="2">
        <v>5</v>
      </c>
      <c r="O75" s="2">
        <v>3</v>
      </c>
      <c r="P75" s="2">
        <v>5</v>
      </c>
      <c r="Q75" s="2">
        <v>3</v>
      </c>
      <c r="R75" s="2">
        <v>4</v>
      </c>
      <c r="S75" s="2">
        <v>2</v>
      </c>
      <c r="T75" s="2">
        <v>5</v>
      </c>
      <c r="U75" s="2">
        <v>5</v>
      </c>
      <c r="V75" s="2">
        <v>4</v>
      </c>
      <c r="W75" s="2">
        <v>5</v>
      </c>
      <c r="X75" s="2">
        <v>4</v>
      </c>
      <c r="Y75" s="2">
        <v>3</v>
      </c>
      <c r="Z75" s="2">
        <v>5</v>
      </c>
      <c r="AA75" s="2">
        <v>3</v>
      </c>
      <c r="AB75" s="2">
        <v>5</v>
      </c>
      <c r="AC75" s="2">
        <v>3</v>
      </c>
      <c r="AD75" s="2">
        <v>4</v>
      </c>
      <c r="AE75" s="2">
        <v>4</v>
      </c>
      <c r="AF75" s="2">
        <v>3</v>
      </c>
      <c r="AG75" s="2">
        <v>4</v>
      </c>
      <c r="AH75" s="2">
        <v>5</v>
      </c>
      <c r="AI75" s="2">
        <v>5</v>
      </c>
      <c r="AJ75" s="2">
        <v>5</v>
      </c>
      <c r="AK75" s="2">
        <v>3</v>
      </c>
      <c r="AL75" s="2">
        <v>2</v>
      </c>
      <c r="AM75" s="2">
        <v>5</v>
      </c>
      <c r="AN75" s="2">
        <v>5</v>
      </c>
      <c r="AO75" s="2">
        <v>5</v>
      </c>
      <c r="AP75" s="2">
        <v>4</v>
      </c>
      <c r="AQ75" s="2">
        <v>3</v>
      </c>
      <c r="AR75" s="2">
        <v>3</v>
      </c>
      <c r="AS75" s="2">
        <v>4</v>
      </c>
      <c r="AT75" s="2"/>
      <c r="AU75" s="2"/>
      <c r="AV75" s="2" t="str">
        <v>7.Poor work execution</v>
      </c>
      <c r="AW75" s="10">
        <v>-0.37606847170383562</v>
      </c>
      <c r="AX75" s="11">
        <v>0.18391819133166198</v>
      </c>
      <c r="AY75" s="11">
        <v>-0.41794299339072438</v>
      </c>
      <c r="AZ75" s="18">
        <v>-1.5502478925908361</v>
      </c>
      <c r="BA75" s="18">
        <v>1.2546378764441075</v>
      </c>
      <c r="BB75" s="18">
        <v>-4.283730318144241</v>
      </c>
      <c r="BC75" s="18">
        <v>9.1593471578002319</v>
      </c>
      <c r="BD75" s="18">
        <v>2.8935379402748982</v>
      </c>
      <c r="BE75" s="18">
        <v>-3.2849677375421233</v>
      </c>
      <c r="BF75" s="18">
        <v>-0.6671809478216929</v>
      </c>
      <c r="BG75" s="18">
        <v>-0.77631811855952126</v>
      </c>
      <c r="BH75" s="18">
        <v>0.98355740420154436</v>
      </c>
      <c r="BI75" s="18">
        <v>-1.3585219732936957</v>
      </c>
      <c r="BJ75" s="18">
        <v>-2.1907791686931253</v>
      </c>
      <c r="BK75" s="18">
        <v>2.2325285042286929</v>
      </c>
      <c r="BL75" s="18">
        <v>0.25679323728506609</v>
      </c>
      <c r="BM75" s="18">
        <v>-0.88386507392342295</v>
      </c>
      <c r="BN75" s="18">
        <v>0.84219587617053826</v>
      </c>
      <c r="BO75" s="18">
        <v>-0.51226619076603108</v>
      </c>
      <c r="BP75" s="18">
        <v>-6.8116730665278111E-2</v>
      </c>
      <c r="BQ75" s="18">
        <v>0.93531588939483368</v>
      </c>
      <c r="BR75" s="18">
        <v>-0.37731798007075895</v>
      </c>
      <c r="BS75" s="18">
        <v>0.72323553530876805</v>
      </c>
      <c r="BT75" s="18">
        <v>0.31936075051197166</v>
      </c>
      <c r="BU75" s="18">
        <v>-0.83816272684567261</v>
      </c>
      <c r="BV75" s="18">
        <v>-1.1814920945923724</v>
      </c>
      <c r="BW75" s="18">
        <v>0.89227930268360844</v>
      </c>
      <c r="BX75" s="18">
        <v>-0.60516543103738585</v>
      </c>
      <c r="BY75" s="18">
        <v>0.52633305460007618</v>
      </c>
      <c r="BZ75" s="18">
        <v>-0.812886917230219</v>
      </c>
      <c r="CA75" s="18">
        <v>1.7140640781191314</v>
      </c>
      <c r="CB75" s="18">
        <v>-1.7554354979591791</v>
      </c>
      <c r="CC75" s="18">
        <v>-0.40061900422099173</v>
      </c>
      <c r="CD75" s="18">
        <v>-0.47164642814801966</v>
      </c>
      <c r="CE75" s="18">
        <v>-0.3257962083445558</v>
      </c>
      <c r="CF75" s="18">
        <v>1.1304671055999709</v>
      </c>
      <c r="CG75" s="18">
        <v>9.2709247970479164E-2</v>
      </c>
      <c r="CH75" s="18">
        <v>-0.4916159748833831</v>
      </c>
      <c r="CI75" s="18">
        <v>-1.9824164923343961</v>
      </c>
      <c r="CJ75" s="18">
        <v>1.7807308038013103</v>
      </c>
      <c r="CK75" s="18">
        <v>-1.1845388362389229</v>
      </c>
      <c r="CL75" s="18">
        <v>-0.30867939899931784</v>
      </c>
      <c r="CM75" s="18">
        <v>0.57813134766568297</v>
      </c>
      <c r="CN75" s="19">
        <v>-0.90281210395173783</v>
      </c>
      <c r="CP75" s="23">
        <v>3.026441335595361</v>
      </c>
    </row>
    <row r="76" spans="1:94" x14ac:dyDescent="0.2">
      <c r="A76" s="2" t="s">
        <v>119</v>
      </c>
      <c r="B76" s="2">
        <v>4</v>
      </c>
      <c r="C76" s="2">
        <v>4</v>
      </c>
      <c r="D76" s="2">
        <v>1</v>
      </c>
      <c r="E76" s="2">
        <v>3</v>
      </c>
      <c r="F76" s="2">
        <v>3</v>
      </c>
      <c r="G76" s="2">
        <v>4</v>
      </c>
      <c r="H76" s="2">
        <v>4</v>
      </c>
      <c r="I76" s="2">
        <v>3</v>
      </c>
      <c r="J76" s="2">
        <v>4</v>
      </c>
      <c r="K76" s="2">
        <v>5</v>
      </c>
      <c r="L76" s="2">
        <v>3</v>
      </c>
      <c r="M76" s="2">
        <v>5</v>
      </c>
      <c r="N76" s="2">
        <v>5</v>
      </c>
      <c r="O76" s="2">
        <v>3</v>
      </c>
      <c r="P76" s="2">
        <v>4</v>
      </c>
      <c r="Q76" s="2">
        <v>2</v>
      </c>
      <c r="R76" s="2">
        <v>4</v>
      </c>
      <c r="S76" s="2">
        <v>2</v>
      </c>
      <c r="T76" s="2">
        <v>3</v>
      </c>
      <c r="U76" s="2">
        <v>3</v>
      </c>
      <c r="V76" s="2">
        <v>4</v>
      </c>
      <c r="W76" s="2">
        <v>5</v>
      </c>
      <c r="X76" s="2">
        <v>4</v>
      </c>
      <c r="Y76" s="2">
        <v>3</v>
      </c>
      <c r="Z76" s="2">
        <v>5</v>
      </c>
      <c r="AA76" s="2">
        <v>3</v>
      </c>
      <c r="AB76" s="2">
        <v>5</v>
      </c>
      <c r="AC76" s="2">
        <v>4</v>
      </c>
      <c r="AD76" s="2">
        <v>4</v>
      </c>
      <c r="AE76" s="2">
        <v>4</v>
      </c>
      <c r="AF76" s="2">
        <v>4</v>
      </c>
      <c r="AG76" s="2">
        <v>5</v>
      </c>
      <c r="AH76" s="2">
        <v>2</v>
      </c>
      <c r="AI76" s="2">
        <v>2</v>
      </c>
      <c r="AJ76" s="2">
        <v>2</v>
      </c>
      <c r="AK76" s="2">
        <v>5</v>
      </c>
      <c r="AL76" s="2">
        <v>3</v>
      </c>
      <c r="AM76" s="2">
        <v>4</v>
      </c>
      <c r="AN76" s="2">
        <v>4</v>
      </c>
      <c r="AO76" s="2">
        <v>4</v>
      </c>
      <c r="AP76" s="2">
        <v>4</v>
      </c>
      <c r="AQ76" s="2">
        <v>3</v>
      </c>
      <c r="AR76" s="2">
        <v>3</v>
      </c>
      <c r="AS76" s="2">
        <v>4</v>
      </c>
      <c r="AT76" s="2"/>
      <c r="AU76" s="2"/>
      <c r="AV76" s="2" t="str">
        <v>8.Shortage of laborers</v>
      </c>
      <c r="AW76" s="10">
        <v>-0.46934370192824071</v>
      </c>
      <c r="AX76" s="11">
        <v>-1.4672018707682357</v>
      </c>
      <c r="AY76" s="11">
        <v>0.93138040779830489</v>
      </c>
      <c r="AZ76" s="18">
        <v>-1.6392853196595036</v>
      </c>
      <c r="BA76" s="18">
        <v>1.1442297348249546</v>
      </c>
      <c r="BB76" s="18">
        <v>-2.884682548224645</v>
      </c>
      <c r="BC76" s="18">
        <v>2.893537940274896</v>
      </c>
      <c r="BD76" s="18">
        <v>8.9273847194304548</v>
      </c>
      <c r="BE76" s="18">
        <v>-3.5209381664392989</v>
      </c>
      <c r="BF76" s="18">
        <v>-2.2027822753376363</v>
      </c>
      <c r="BG76" s="18">
        <v>-0.77496217877852713</v>
      </c>
      <c r="BH76" s="18">
        <v>-1.8220228953730406</v>
      </c>
      <c r="BI76" s="18">
        <v>-0.69265304782774917</v>
      </c>
      <c r="BJ76" s="18">
        <v>-2.2472315555876481</v>
      </c>
      <c r="BK76" s="18">
        <v>2.1905224909708254</v>
      </c>
      <c r="BL76" s="18">
        <v>1.3807303111932845</v>
      </c>
      <c r="BM76" s="18">
        <v>-1.0086148717292649</v>
      </c>
      <c r="BN76" s="18">
        <v>0.20601145616740868</v>
      </c>
      <c r="BO76" s="18">
        <v>-0.69485752371065768</v>
      </c>
      <c r="BP76" s="18">
        <v>-1.2558403967817722</v>
      </c>
      <c r="BQ76" s="18">
        <v>1.7499717079544805</v>
      </c>
      <c r="BR76" s="18">
        <v>0.38128263076825986</v>
      </c>
      <c r="BS76" s="18">
        <v>1.1991063625354672</v>
      </c>
      <c r="BT76" s="18">
        <v>0.25578576928741642</v>
      </c>
      <c r="BU76" s="18">
        <v>-0.82214108240930461</v>
      </c>
      <c r="BV76" s="18">
        <v>-2.1354785018918592</v>
      </c>
      <c r="BW76" s="18">
        <v>2.1952070826430354</v>
      </c>
      <c r="BX76" s="18">
        <v>-6.6805468484687311E-2</v>
      </c>
      <c r="BY76" s="18">
        <v>0.24203886569102659</v>
      </c>
      <c r="BZ76" s="18">
        <v>-0.96202541685827292</v>
      </c>
      <c r="CA76" s="18">
        <v>0.43927500947523279</v>
      </c>
      <c r="CB76" s="18">
        <v>-0.41840455273468019</v>
      </c>
      <c r="CC76" s="18">
        <v>0.48685112532520142</v>
      </c>
      <c r="CD76" s="18">
        <v>-2.5314790560225986</v>
      </c>
      <c r="CE76" s="18">
        <v>1.1653832591018998</v>
      </c>
      <c r="CF76" s="18">
        <v>2.6967626684241814</v>
      </c>
      <c r="CG76" s="18">
        <v>-0.54110053861801699</v>
      </c>
      <c r="CH76" s="18">
        <v>-1.9085418526287943</v>
      </c>
      <c r="CI76" s="18">
        <v>0.36334519250284197</v>
      </c>
      <c r="CJ76" s="18">
        <v>1.5002508215156345</v>
      </c>
      <c r="CK76" s="18">
        <v>-0.22913458871748288</v>
      </c>
      <c r="CL76" s="18">
        <v>-0.23617409384065749</v>
      </c>
      <c r="CM76" s="18">
        <v>0.45916795276714201</v>
      </c>
      <c r="CN76" s="19">
        <v>-0.32491311165091596</v>
      </c>
      <c r="CP76" s="23">
        <v>2.9878729423170682</v>
      </c>
    </row>
    <row r="77" spans="1:94" x14ac:dyDescent="0.2">
      <c r="A77" s="2" t="s">
        <v>120</v>
      </c>
      <c r="B77" s="2">
        <v>3</v>
      </c>
      <c r="C77" s="2">
        <v>1</v>
      </c>
      <c r="D77" s="2">
        <v>1</v>
      </c>
      <c r="E77" s="2">
        <v>2</v>
      </c>
      <c r="F77" s="2">
        <v>1</v>
      </c>
      <c r="G77" s="2">
        <v>1</v>
      </c>
      <c r="H77" s="2">
        <v>1</v>
      </c>
      <c r="I77" s="2">
        <v>3</v>
      </c>
      <c r="J77" s="2">
        <v>1</v>
      </c>
      <c r="K77" s="2">
        <v>5</v>
      </c>
      <c r="L77" s="2">
        <v>1</v>
      </c>
      <c r="M77" s="2">
        <v>3</v>
      </c>
      <c r="N77" s="2">
        <v>1</v>
      </c>
      <c r="O77" s="2">
        <v>5</v>
      </c>
      <c r="P77" s="2">
        <v>4</v>
      </c>
      <c r="Q77" s="2">
        <v>2</v>
      </c>
      <c r="R77" s="2">
        <v>5</v>
      </c>
      <c r="S77" s="2">
        <v>5</v>
      </c>
      <c r="T77" s="2">
        <v>1</v>
      </c>
      <c r="U77" s="2">
        <v>1</v>
      </c>
      <c r="V77" s="2">
        <v>3</v>
      </c>
      <c r="W77" s="2">
        <v>5</v>
      </c>
      <c r="X77" s="2">
        <v>3</v>
      </c>
      <c r="Y77" s="2">
        <v>3</v>
      </c>
      <c r="Z77" s="2">
        <v>2</v>
      </c>
      <c r="AA77" s="2">
        <v>3</v>
      </c>
      <c r="AB77" s="2">
        <v>3</v>
      </c>
      <c r="AC77" s="2">
        <v>5</v>
      </c>
      <c r="AD77" s="2">
        <v>5</v>
      </c>
      <c r="AE77" s="2">
        <v>5</v>
      </c>
      <c r="AF77" s="2">
        <v>5</v>
      </c>
      <c r="AG77" s="2">
        <v>2</v>
      </c>
      <c r="AH77" s="2">
        <v>5</v>
      </c>
      <c r="AI77" s="2">
        <v>2</v>
      </c>
      <c r="AJ77" s="2">
        <v>2</v>
      </c>
      <c r="AK77" s="2">
        <v>1</v>
      </c>
      <c r="AL77" s="2">
        <v>4</v>
      </c>
      <c r="AM77" s="2">
        <v>5</v>
      </c>
      <c r="AN77" s="2">
        <v>5</v>
      </c>
      <c r="AO77" s="2">
        <v>5</v>
      </c>
      <c r="AP77" s="2">
        <v>1</v>
      </c>
      <c r="AQ77" s="2">
        <v>2</v>
      </c>
      <c r="AR77" s="2">
        <v>2</v>
      </c>
      <c r="AS77" s="2">
        <v>5</v>
      </c>
      <c r="AT77" s="2"/>
      <c r="AU77" s="2"/>
      <c r="AV77" s="2" t="str">
        <v>9.Mistakes happens during construction phase</v>
      </c>
      <c r="AW77" s="10">
        <v>-0.94051665002192064</v>
      </c>
      <c r="AX77" s="11">
        <v>0.80561682729249884</v>
      </c>
      <c r="AY77" s="11">
        <v>-1.4167895544098448</v>
      </c>
      <c r="AZ77" s="18">
        <v>3.2568993331137959</v>
      </c>
      <c r="BA77" s="18">
        <v>-2.5875335166284992</v>
      </c>
      <c r="BB77" s="18">
        <v>0.21770226263544598</v>
      </c>
      <c r="BC77" s="18">
        <v>-3.2849677375421318</v>
      </c>
      <c r="BD77" s="18">
        <v>-3.5209381664393087</v>
      </c>
      <c r="BE77" s="18">
        <v>9.6847344464693617</v>
      </c>
      <c r="BF77" s="18">
        <v>-2.043250344051073</v>
      </c>
      <c r="BG77" s="18">
        <v>-1.0920784746776828</v>
      </c>
      <c r="BH77" s="18">
        <v>0.35893367789907993</v>
      </c>
      <c r="BI77" s="18">
        <v>0.77641654239531732</v>
      </c>
      <c r="BJ77" s="18">
        <v>2.3188243060231324</v>
      </c>
      <c r="BK77" s="18">
        <v>-2.8114272993417471</v>
      </c>
      <c r="BL77" s="18">
        <v>-0.34049110796567617</v>
      </c>
      <c r="BM77" s="18">
        <v>2.9183419594519702</v>
      </c>
      <c r="BN77" s="18">
        <v>0.21371067354436801</v>
      </c>
      <c r="BO77" s="18">
        <v>-1.5339791859990186</v>
      </c>
      <c r="BP77" s="18">
        <v>0.67451236262224823</v>
      </c>
      <c r="BQ77" s="18">
        <v>1.3098504197517964</v>
      </c>
      <c r="BR77" s="18">
        <v>-0.68546780064366175</v>
      </c>
      <c r="BS77" s="18">
        <v>-1.5408565092807265</v>
      </c>
      <c r="BT77" s="18">
        <v>-0.60273783856079766</v>
      </c>
      <c r="BU77" s="18">
        <v>1.3153632813690987</v>
      </c>
      <c r="BV77" s="18">
        <v>1.1886254251550239</v>
      </c>
      <c r="BW77" s="18">
        <v>-1.5426208203949414</v>
      </c>
      <c r="BX77" s="18">
        <v>-0.76408496155014438</v>
      </c>
      <c r="BY77" s="18">
        <v>-0.13561522225944367</v>
      </c>
      <c r="BZ77" s="18">
        <v>-0.23163740406685535</v>
      </c>
      <c r="CA77" s="18">
        <v>-1.1307805308058787</v>
      </c>
      <c r="CB77" s="18">
        <v>0.32998326377938214</v>
      </c>
      <c r="CC77" s="18">
        <v>0.49802199414207565</v>
      </c>
      <c r="CD77" s="18">
        <v>0.83196797275394085</v>
      </c>
      <c r="CE77" s="18">
        <v>-0.37355966190670242</v>
      </c>
      <c r="CF77" s="18">
        <v>-2.525967163283112</v>
      </c>
      <c r="CG77" s="18">
        <v>0.57906169830934184</v>
      </c>
      <c r="CH77" s="18">
        <v>0.76490868516200983</v>
      </c>
      <c r="CI77" s="18">
        <v>0.98194971917318719</v>
      </c>
      <c r="CJ77" s="18">
        <v>-1.7732121180021048</v>
      </c>
      <c r="CK77" s="18">
        <v>1.1714816993509174</v>
      </c>
      <c r="CL77" s="18">
        <v>0.71088158375455279</v>
      </c>
      <c r="CM77" s="18">
        <v>-1.1776889554945666</v>
      </c>
      <c r="CN77" s="19">
        <v>1.777698240278651</v>
      </c>
      <c r="CP77" s="23">
        <v>3.1120305985753678</v>
      </c>
    </row>
    <row r="78" spans="1:94" x14ac:dyDescent="0.2">
      <c r="A78" s="2" t="s">
        <v>121</v>
      </c>
      <c r="B78" s="2">
        <v>5</v>
      </c>
      <c r="C78" s="2">
        <v>3</v>
      </c>
      <c r="D78" s="2">
        <v>3</v>
      </c>
      <c r="E78" s="2">
        <v>3</v>
      </c>
      <c r="F78" s="2">
        <v>2</v>
      </c>
      <c r="G78" s="2">
        <v>5</v>
      </c>
      <c r="H78" s="2">
        <v>4</v>
      </c>
      <c r="I78" s="2">
        <v>4</v>
      </c>
      <c r="J78" s="2">
        <v>4</v>
      </c>
      <c r="K78" s="2">
        <v>4</v>
      </c>
      <c r="L78" s="2">
        <v>4</v>
      </c>
      <c r="M78" s="2">
        <v>5</v>
      </c>
      <c r="N78" s="2">
        <v>4</v>
      </c>
      <c r="O78" s="2">
        <v>3</v>
      </c>
      <c r="P78" s="2">
        <v>3</v>
      </c>
      <c r="Q78" s="2">
        <v>2</v>
      </c>
      <c r="R78" s="2">
        <v>3</v>
      </c>
      <c r="S78" s="2">
        <v>1</v>
      </c>
      <c r="T78" s="2">
        <v>5</v>
      </c>
      <c r="U78" s="2">
        <v>5</v>
      </c>
      <c r="V78" s="2">
        <v>5</v>
      </c>
      <c r="W78" s="2">
        <v>5</v>
      </c>
      <c r="X78" s="2">
        <v>5</v>
      </c>
      <c r="Y78" s="2">
        <v>5</v>
      </c>
      <c r="Z78" s="2">
        <v>5</v>
      </c>
      <c r="AA78" s="2">
        <v>4</v>
      </c>
      <c r="AB78" s="2">
        <v>5</v>
      </c>
      <c r="AC78" s="2">
        <v>4</v>
      </c>
      <c r="AD78" s="2">
        <v>4</v>
      </c>
      <c r="AE78" s="2">
        <v>5</v>
      </c>
      <c r="AF78" s="2">
        <v>5</v>
      </c>
      <c r="AG78" s="2">
        <v>4</v>
      </c>
      <c r="AH78" s="2">
        <v>5</v>
      </c>
      <c r="AI78" s="2">
        <v>5</v>
      </c>
      <c r="AJ78" s="2">
        <v>5</v>
      </c>
      <c r="AK78" s="2">
        <v>5</v>
      </c>
      <c r="AL78" s="2">
        <v>4</v>
      </c>
      <c r="AM78" s="2">
        <v>5</v>
      </c>
      <c r="AN78" s="2">
        <v>5</v>
      </c>
      <c r="AO78" s="2">
        <v>5</v>
      </c>
      <c r="AP78" s="2">
        <v>5</v>
      </c>
      <c r="AQ78" s="2">
        <v>3</v>
      </c>
      <c r="AR78" s="2">
        <v>3</v>
      </c>
      <c r="AS78" s="2">
        <v>4</v>
      </c>
      <c r="AT78" s="2"/>
      <c r="AU78" s="2"/>
      <c r="AV78" s="2" t="str">
        <v>10.Unavailability of equipment</v>
      </c>
      <c r="AW78" s="10">
        <v>1.4854942552103127E-2</v>
      </c>
      <c r="AX78" s="11">
        <v>0.35404374721431886</v>
      </c>
      <c r="AY78" s="11">
        <v>0.34414764522818769</v>
      </c>
      <c r="AZ78" s="18">
        <v>-0.83204043925916837</v>
      </c>
      <c r="BA78" s="18">
        <v>0.73299979178993269</v>
      </c>
      <c r="BB78" s="18">
        <v>0.56931936670382011</v>
      </c>
      <c r="BC78" s="18">
        <v>-0.66718094782169102</v>
      </c>
      <c r="BD78" s="18">
        <v>-2.2027822753376367</v>
      </c>
      <c r="BE78" s="18">
        <v>-2.0432503440510783</v>
      </c>
      <c r="BF78" s="18">
        <v>6.5047779081018113</v>
      </c>
      <c r="BG78" s="18">
        <v>-0.10367116736730245</v>
      </c>
      <c r="BH78" s="18">
        <v>-1.9314949076342651</v>
      </c>
      <c r="BI78" s="18">
        <v>1.2051206059336774</v>
      </c>
      <c r="BJ78" s="18">
        <v>0.23156241179683809</v>
      </c>
      <c r="BK78" s="18">
        <v>-0.54908342952520151</v>
      </c>
      <c r="BL78" s="18">
        <v>-0.55859026958816982</v>
      </c>
      <c r="BM78" s="18">
        <v>-1.4109428050489965</v>
      </c>
      <c r="BN78" s="18">
        <v>-6.4066421735184939E-2</v>
      </c>
      <c r="BO78" s="18">
        <v>1.2125747246231036</v>
      </c>
      <c r="BP78" s="18">
        <v>-0.60691356695724741</v>
      </c>
      <c r="BQ78" s="18">
        <v>0.11094805512690634</v>
      </c>
      <c r="BR78" s="18">
        <v>0.3736543196033742</v>
      </c>
      <c r="BS78" s="18">
        <v>-0.42939440718587096</v>
      </c>
      <c r="BT78" s="18">
        <v>0.63841951527437302</v>
      </c>
      <c r="BU78" s="18">
        <v>0.34624633214085548</v>
      </c>
      <c r="BV78" s="18">
        <v>0.35708073171256044</v>
      </c>
      <c r="BW78" s="18">
        <v>-1.3548438817025217</v>
      </c>
      <c r="BX78" s="18">
        <v>-0.82926481997373691</v>
      </c>
      <c r="BY78" s="18">
        <v>0.1054116351982663</v>
      </c>
      <c r="BZ78" s="18">
        <v>1.4773386953061762</v>
      </c>
      <c r="CA78" s="18">
        <v>9.0607325336790334E-3</v>
      </c>
      <c r="CB78" s="18">
        <v>0.29116446456825901</v>
      </c>
      <c r="CC78" s="18">
        <v>-1.0484154380717372</v>
      </c>
      <c r="CD78" s="18">
        <v>1.0995656727979619</v>
      </c>
      <c r="CE78" s="18">
        <v>0.20532293960476158</v>
      </c>
      <c r="CF78" s="18">
        <v>0.89711899148237662</v>
      </c>
      <c r="CG78" s="18">
        <v>-0.25838678543140875</v>
      </c>
      <c r="CH78" s="18">
        <v>0.61407912320232305</v>
      </c>
      <c r="CI78" s="18">
        <v>-0.92939586450767631</v>
      </c>
      <c r="CJ78" s="18">
        <v>-0.30191767089156263</v>
      </c>
      <c r="CK78" s="18">
        <v>-0.12345428919533269</v>
      </c>
      <c r="CL78" s="18">
        <v>-1.0806063098084819</v>
      </c>
      <c r="CM78" s="18">
        <v>1.1618500832748719</v>
      </c>
      <c r="CN78" s="19">
        <v>-1.2771322953524296</v>
      </c>
      <c r="CP78" s="23">
        <v>2.5504466095375946</v>
      </c>
    </row>
    <row r="79" spans="1:94" x14ac:dyDescent="0.2">
      <c r="A79" s="2" t="s">
        <v>122</v>
      </c>
      <c r="B79" s="2">
        <v>5</v>
      </c>
      <c r="C79" s="2">
        <v>3</v>
      </c>
      <c r="D79" s="2">
        <v>2</v>
      </c>
      <c r="E79" s="2">
        <v>3</v>
      </c>
      <c r="F79" s="2">
        <v>5</v>
      </c>
      <c r="G79" s="2">
        <v>3</v>
      </c>
      <c r="H79" s="2">
        <v>3</v>
      </c>
      <c r="I79" s="2">
        <v>3</v>
      </c>
      <c r="J79" s="2">
        <v>4</v>
      </c>
      <c r="K79" s="2">
        <v>4</v>
      </c>
      <c r="L79" s="2">
        <v>5</v>
      </c>
      <c r="M79" s="2">
        <v>4</v>
      </c>
      <c r="N79" s="2">
        <v>5</v>
      </c>
      <c r="O79" s="2">
        <v>4</v>
      </c>
      <c r="P79" s="2">
        <v>3</v>
      </c>
      <c r="Q79" s="2">
        <v>3</v>
      </c>
      <c r="R79" s="2">
        <v>3</v>
      </c>
      <c r="S79" s="2">
        <v>4</v>
      </c>
      <c r="T79" s="2">
        <v>5</v>
      </c>
      <c r="U79" s="2">
        <v>5</v>
      </c>
      <c r="V79" s="2">
        <v>5</v>
      </c>
      <c r="W79" s="2">
        <v>4</v>
      </c>
      <c r="X79" s="2">
        <v>5</v>
      </c>
      <c r="Y79" s="2">
        <v>5</v>
      </c>
      <c r="Z79" s="2">
        <v>4</v>
      </c>
      <c r="AA79" s="2">
        <v>4</v>
      </c>
      <c r="AB79" s="2">
        <v>4</v>
      </c>
      <c r="AC79" s="2">
        <v>4</v>
      </c>
      <c r="AD79" s="2">
        <v>4</v>
      </c>
      <c r="AE79" s="2">
        <v>5</v>
      </c>
      <c r="AF79" s="2">
        <v>4</v>
      </c>
      <c r="AG79" s="2">
        <v>3</v>
      </c>
      <c r="AH79" s="2">
        <v>3</v>
      </c>
      <c r="AI79" s="2">
        <v>3</v>
      </c>
      <c r="AJ79" s="2">
        <v>5</v>
      </c>
      <c r="AK79" s="2">
        <v>5</v>
      </c>
      <c r="AL79" s="2">
        <v>5</v>
      </c>
      <c r="AM79" s="2">
        <v>4</v>
      </c>
      <c r="AN79" s="2">
        <v>4</v>
      </c>
      <c r="AO79" s="2">
        <v>4</v>
      </c>
      <c r="AP79" s="2">
        <v>5</v>
      </c>
      <c r="AQ79" s="2">
        <v>3</v>
      </c>
      <c r="AR79" s="2">
        <v>3</v>
      </c>
      <c r="AS79" s="2">
        <v>5</v>
      </c>
      <c r="AT79" s="2"/>
      <c r="AU79" s="2"/>
      <c r="AV79" s="2" t="str">
        <v>11.Lack of engineering experience</v>
      </c>
      <c r="AW79" s="10">
        <v>0.41362034276683451</v>
      </c>
      <c r="AX79" s="11">
        <v>-0.9269758101189165</v>
      </c>
      <c r="AY79" s="11">
        <v>-5.5659711680942275E-2</v>
      </c>
      <c r="AZ79" s="18">
        <v>-0.27517178785634822</v>
      </c>
      <c r="BA79" s="18">
        <v>0.75553487393101237</v>
      </c>
      <c r="BB79" s="18">
        <v>-8.73039487260754E-2</v>
      </c>
      <c r="BC79" s="18">
        <v>-0.77631811855951283</v>
      </c>
      <c r="BD79" s="18">
        <v>-0.77496217877852125</v>
      </c>
      <c r="BE79" s="18">
        <v>-1.0920784746776884</v>
      </c>
      <c r="BF79" s="18">
        <v>-0.10367116736730354</v>
      </c>
      <c r="BG79" s="18">
        <v>6.5330068359506281</v>
      </c>
      <c r="BH79" s="18">
        <v>-0.96861882416513645</v>
      </c>
      <c r="BI79" s="18">
        <v>-1.7934911213465692</v>
      </c>
      <c r="BJ79" s="18">
        <v>-0.81001636440864011</v>
      </c>
      <c r="BK79" s="18">
        <v>0.27478073123901131</v>
      </c>
      <c r="BL79" s="18">
        <v>-0.46545876615508469</v>
      </c>
      <c r="BM79" s="18">
        <v>7.9562619487407275E-3</v>
      </c>
      <c r="BN79" s="18">
        <v>-0.7690159779216249</v>
      </c>
      <c r="BO79" s="18">
        <v>1.0106142533669098</v>
      </c>
      <c r="BP79" s="18">
        <v>6.7281736007062734E-2</v>
      </c>
      <c r="BQ79" s="18">
        <v>-2.6290295167859212</v>
      </c>
      <c r="BR79" s="18">
        <v>1.5394074741039789</v>
      </c>
      <c r="BS79" s="18">
        <v>0.68849293108677201</v>
      </c>
      <c r="BT79" s="18">
        <v>-0.35613083981227522</v>
      </c>
      <c r="BU79" s="18">
        <v>-0.4528956422150906</v>
      </c>
      <c r="BV79" s="18">
        <v>-0.28158647613875548</v>
      </c>
      <c r="BW79" s="18">
        <v>0.5688180060037924</v>
      </c>
      <c r="BX79" s="18">
        <v>-0.46662335235843444</v>
      </c>
      <c r="BY79" s="18">
        <v>-0.17266289846179986</v>
      </c>
      <c r="BZ79" s="18">
        <v>5.2021341412385708E-2</v>
      </c>
      <c r="CA79" s="18">
        <v>0.71560303117716417</v>
      </c>
      <c r="CB79" s="18">
        <v>0.80565848325328904</v>
      </c>
      <c r="CC79" s="18">
        <v>-0.63730306211386167</v>
      </c>
      <c r="CD79" s="18">
        <v>0.82348484708793668</v>
      </c>
      <c r="CE79" s="18">
        <v>-1.4178292147328233</v>
      </c>
      <c r="CF79" s="18">
        <v>-0.33070115855291171</v>
      </c>
      <c r="CG79" s="18">
        <v>-0.10618334089193834</v>
      </c>
      <c r="CH79" s="18">
        <v>1.1947636719514201</v>
      </c>
      <c r="CI79" s="18">
        <v>0.48218495972829245</v>
      </c>
      <c r="CJ79" s="18">
        <v>4.3725113668135376E-2</v>
      </c>
      <c r="CK79" s="18">
        <v>-0.8797040236582877</v>
      </c>
      <c r="CL79" s="18">
        <v>-0.49172249320028616</v>
      </c>
      <c r="CM79" s="18">
        <v>-4.9026511376454127E-2</v>
      </c>
      <c r="CN79" s="19">
        <v>0.5333943070608963</v>
      </c>
      <c r="CP79" s="23">
        <v>2.5559747330422944</v>
      </c>
    </row>
    <row r="80" spans="1:94" x14ac:dyDescent="0.2">
      <c r="A80" s="2" t="s">
        <v>123</v>
      </c>
      <c r="B80" s="2">
        <v>2</v>
      </c>
      <c r="C80" s="2">
        <v>2</v>
      </c>
      <c r="D80" s="2">
        <v>2</v>
      </c>
      <c r="E80" s="2">
        <v>2</v>
      </c>
      <c r="F80" s="2">
        <v>1</v>
      </c>
      <c r="G80" s="2">
        <v>3</v>
      </c>
      <c r="H80" s="2">
        <v>3</v>
      </c>
      <c r="I80" s="2">
        <v>1</v>
      </c>
      <c r="J80" s="2">
        <v>1</v>
      </c>
      <c r="K80" s="2">
        <v>1</v>
      </c>
      <c r="L80" s="2">
        <v>1</v>
      </c>
      <c r="M80" s="2">
        <v>2</v>
      </c>
      <c r="N80" s="2">
        <v>3</v>
      </c>
      <c r="O80" s="2">
        <v>3</v>
      </c>
      <c r="P80" s="2">
        <v>3</v>
      </c>
      <c r="Q80" s="2">
        <v>1</v>
      </c>
      <c r="R80" s="2">
        <v>3</v>
      </c>
      <c r="S80" s="2">
        <v>1</v>
      </c>
      <c r="T80" s="2">
        <v>2</v>
      </c>
      <c r="U80" s="2">
        <v>1</v>
      </c>
      <c r="V80" s="2">
        <v>2</v>
      </c>
      <c r="W80" s="2">
        <v>3</v>
      </c>
      <c r="X80" s="2">
        <v>3</v>
      </c>
      <c r="Y80" s="2">
        <v>4</v>
      </c>
      <c r="Z80" s="2">
        <v>2</v>
      </c>
      <c r="AA80" s="2">
        <v>1</v>
      </c>
      <c r="AB80" s="2">
        <v>2</v>
      </c>
      <c r="AC80" s="2">
        <v>1</v>
      </c>
      <c r="AD80" s="2">
        <v>3</v>
      </c>
      <c r="AE80" s="2">
        <v>4</v>
      </c>
      <c r="AF80" s="2">
        <v>2</v>
      </c>
      <c r="AG80" s="2">
        <v>1</v>
      </c>
      <c r="AH80" s="2">
        <v>2</v>
      </c>
      <c r="AI80" s="2">
        <v>1</v>
      </c>
      <c r="AJ80" s="2">
        <v>2</v>
      </c>
      <c r="AK80" s="2">
        <v>3</v>
      </c>
      <c r="AL80" s="2">
        <v>3</v>
      </c>
      <c r="AM80" s="2">
        <v>5</v>
      </c>
      <c r="AN80" s="2">
        <v>5</v>
      </c>
      <c r="AO80" s="2">
        <v>4</v>
      </c>
      <c r="AP80" s="2">
        <v>4</v>
      </c>
      <c r="AQ80" s="2">
        <v>1</v>
      </c>
      <c r="AR80" s="2">
        <v>2</v>
      </c>
      <c r="AS80" s="2">
        <v>3</v>
      </c>
      <c r="AT80" s="2"/>
      <c r="AU80" s="2"/>
      <c r="AV80" s="2" t="str">
        <v>12.Construction cost underestimation</v>
      </c>
      <c r="AW80" s="10">
        <v>-0.37340327212484786</v>
      </c>
      <c r="AX80" s="11">
        <v>1.5487998300863439</v>
      </c>
      <c r="AY80" s="11">
        <v>-0.11045324940803088</v>
      </c>
      <c r="AZ80" s="18">
        <v>1.0825218748315386</v>
      </c>
      <c r="BA80" s="18">
        <v>3.5435615189683581E-3</v>
      </c>
      <c r="BB80" s="18">
        <v>-0.8244532186833079</v>
      </c>
      <c r="BC80" s="18">
        <v>0.98355740420154392</v>
      </c>
      <c r="BD80" s="18">
        <v>-1.8220228953730382</v>
      </c>
      <c r="BE80" s="18">
        <v>0.35893367789908071</v>
      </c>
      <c r="BF80" s="18">
        <v>-1.9314949076342631</v>
      </c>
      <c r="BG80" s="18">
        <v>-0.96861882416513778</v>
      </c>
      <c r="BH80" s="18">
        <v>7.5961569016390342</v>
      </c>
      <c r="BI80" s="18">
        <v>-2.798318322713091</v>
      </c>
      <c r="BJ80" s="18">
        <v>1.0066187580070927</v>
      </c>
      <c r="BK80" s="18">
        <v>0.11955320396952683</v>
      </c>
      <c r="BL80" s="18">
        <v>-0.81333555564649151</v>
      </c>
      <c r="BM80" s="18">
        <v>0.56369741559692044</v>
      </c>
      <c r="BN80" s="18">
        <v>0.37890435072289669</v>
      </c>
      <c r="BO80" s="18">
        <v>-1.315247996616655</v>
      </c>
      <c r="BP80" s="18">
        <v>1.1430523081208401</v>
      </c>
      <c r="BQ80" s="18">
        <v>-1.1094034046451051</v>
      </c>
      <c r="BR80" s="18">
        <v>-1.2040428724997894</v>
      </c>
      <c r="BS80" s="18">
        <v>-5.801653116966618E-2</v>
      </c>
      <c r="BT80" s="18">
        <v>-0.1472669084282999</v>
      </c>
      <c r="BU80" s="18">
        <v>0.62448201709035422</v>
      </c>
      <c r="BV80" s="18">
        <v>-0.15832325205017578</v>
      </c>
      <c r="BW80" s="18">
        <v>0.70573811426482513</v>
      </c>
      <c r="BX80" s="18">
        <v>-0.16229603784419416</v>
      </c>
      <c r="BY80" s="18">
        <v>-0.67610598268730393</v>
      </c>
      <c r="BZ80" s="18">
        <v>0.95995865232854627</v>
      </c>
      <c r="CA80" s="18">
        <v>-0.1702741836228939</v>
      </c>
      <c r="CB80" s="18">
        <v>0.68495688282459688</v>
      </c>
      <c r="CC80" s="18">
        <v>-0.93479961723926575</v>
      </c>
      <c r="CD80" s="18">
        <v>0.26230209075293759</v>
      </c>
      <c r="CE80" s="18">
        <v>0.38821721662408082</v>
      </c>
      <c r="CF80" s="18">
        <v>-1.9926487378393674</v>
      </c>
      <c r="CG80" s="18">
        <v>0.86876785033479031</v>
      </c>
      <c r="CH80" s="18">
        <v>-0.38185833422405974</v>
      </c>
      <c r="CI80" s="18">
        <v>-0.96558870940896946</v>
      </c>
      <c r="CJ80" s="18">
        <v>0.87552571781062249</v>
      </c>
      <c r="CK80" s="18">
        <v>9.3841832005487052E-3</v>
      </c>
      <c r="CL80" s="18">
        <v>-0.52652567553063001</v>
      </c>
      <c r="CM80" s="18">
        <v>-1.3508592655912883</v>
      </c>
      <c r="CN80" s="19">
        <v>0.16385880691627577</v>
      </c>
      <c r="CP80" s="23">
        <v>2.7561126431332652</v>
      </c>
    </row>
    <row r="81" spans="1:94" x14ac:dyDescent="0.2">
      <c r="A81" s="2" t="s">
        <v>124</v>
      </c>
      <c r="B81" s="2">
        <v>3</v>
      </c>
      <c r="C81" s="2">
        <v>4</v>
      </c>
      <c r="D81" s="2">
        <v>2</v>
      </c>
      <c r="E81" s="2">
        <v>2</v>
      </c>
      <c r="F81" s="2">
        <v>3</v>
      </c>
      <c r="G81" s="2">
        <v>4</v>
      </c>
      <c r="H81" s="2">
        <v>4</v>
      </c>
      <c r="I81" s="2">
        <v>4</v>
      </c>
      <c r="J81" s="2">
        <v>5</v>
      </c>
      <c r="K81" s="2">
        <v>3</v>
      </c>
      <c r="L81" s="2">
        <v>5</v>
      </c>
      <c r="M81" s="2">
        <v>4</v>
      </c>
      <c r="N81" s="2">
        <v>5</v>
      </c>
      <c r="O81" s="2">
        <v>5</v>
      </c>
      <c r="P81" s="2">
        <v>5</v>
      </c>
      <c r="Q81" s="2">
        <v>3</v>
      </c>
      <c r="R81" s="2">
        <v>2</v>
      </c>
      <c r="S81" s="2">
        <v>2</v>
      </c>
      <c r="T81" s="2">
        <v>4</v>
      </c>
      <c r="U81" s="2">
        <v>4</v>
      </c>
      <c r="V81" s="2">
        <v>4</v>
      </c>
      <c r="W81" s="2">
        <v>4</v>
      </c>
      <c r="X81" s="2">
        <v>4</v>
      </c>
      <c r="Y81" s="2">
        <v>3</v>
      </c>
      <c r="Z81" s="2">
        <v>4</v>
      </c>
      <c r="AA81" s="2">
        <v>3</v>
      </c>
      <c r="AB81" s="2">
        <v>4</v>
      </c>
      <c r="AC81" s="2">
        <v>5</v>
      </c>
      <c r="AD81" s="2">
        <v>5</v>
      </c>
      <c r="AE81" s="2">
        <v>5</v>
      </c>
      <c r="AF81" s="2">
        <v>4</v>
      </c>
      <c r="AG81" s="2">
        <v>3</v>
      </c>
      <c r="AH81" s="2">
        <v>3</v>
      </c>
      <c r="AI81" s="2">
        <v>3</v>
      </c>
      <c r="AJ81" s="2">
        <v>3</v>
      </c>
      <c r="AK81" s="2">
        <v>3</v>
      </c>
      <c r="AL81" s="2">
        <v>3</v>
      </c>
      <c r="AM81" s="2">
        <v>3</v>
      </c>
      <c r="AN81" s="2">
        <v>4</v>
      </c>
      <c r="AO81" s="2">
        <v>5</v>
      </c>
      <c r="AP81" s="2">
        <v>3</v>
      </c>
      <c r="AQ81" s="2">
        <v>2</v>
      </c>
      <c r="AR81" s="2">
        <v>3</v>
      </c>
      <c r="AS81" s="2">
        <v>4</v>
      </c>
      <c r="AT81" s="2"/>
      <c r="AU81" s="2"/>
      <c r="AV81" s="2" t="str">
        <v>13.Poor site management</v>
      </c>
      <c r="AW81" s="10">
        <v>1.3106361013923327</v>
      </c>
      <c r="AX81" s="11">
        <v>-0.73609608219293277</v>
      </c>
      <c r="AY81" s="11">
        <v>-0.48983821208378769</v>
      </c>
      <c r="AZ81" s="18">
        <v>0.18577967534017686</v>
      </c>
      <c r="BA81" s="18">
        <v>-2.0982309779254855</v>
      </c>
      <c r="BB81" s="18">
        <v>-0.87377871638456028</v>
      </c>
      <c r="BC81" s="18">
        <v>-1.3585219732936937</v>
      </c>
      <c r="BD81" s="18">
        <v>-0.69265304782775072</v>
      </c>
      <c r="BE81" s="18">
        <v>0.77641654239531921</v>
      </c>
      <c r="BF81" s="18">
        <v>1.2051206059336754</v>
      </c>
      <c r="BG81" s="18">
        <v>-1.7934911213465696</v>
      </c>
      <c r="BH81" s="18">
        <v>-2.7983183227130928</v>
      </c>
      <c r="BI81" s="18">
        <v>6.6721007999025712</v>
      </c>
      <c r="BJ81" s="18">
        <v>-3.1649432516424034E-2</v>
      </c>
      <c r="BK81" s="18">
        <v>-0.96094302492356931</v>
      </c>
      <c r="BL81" s="18">
        <v>0.50417855292876002</v>
      </c>
      <c r="BM81" s="18">
        <v>7.0775988728978917E-2</v>
      </c>
      <c r="BN81" s="18">
        <v>-0.31537720692920013</v>
      </c>
      <c r="BO81" s="18">
        <v>0.86076943382078863</v>
      </c>
      <c r="BP81" s="18">
        <v>0.63330282884224098</v>
      </c>
      <c r="BQ81" s="18">
        <v>-0.10470469958390276</v>
      </c>
      <c r="BR81" s="18">
        <v>0.50830537543112331</v>
      </c>
      <c r="BS81" s="18">
        <v>-9.3782439570023121E-2</v>
      </c>
      <c r="BT81" s="18">
        <v>-0.17532954057216463</v>
      </c>
      <c r="BU81" s="18">
        <v>-0.9973772652782974</v>
      </c>
      <c r="BV81" s="18">
        <v>1.1105035684238702</v>
      </c>
      <c r="BW81" s="18">
        <v>-1.0289623773050949</v>
      </c>
      <c r="BX81" s="18">
        <v>0.68822732570972656</v>
      </c>
      <c r="BY81" s="18">
        <v>0.93061034374723706</v>
      </c>
      <c r="BZ81" s="18">
        <v>-1.04524438978287</v>
      </c>
      <c r="CA81" s="18">
        <v>-1.0566063592292212</v>
      </c>
      <c r="CB81" s="18">
        <v>0.35548602534599644</v>
      </c>
      <c r="CC81" s="18">
        <v>0.72531319185545307</v>
      </c>
      <c r="CD81" s="18">
        <v>0.92314279530336241</v>
      </c>
      <c r="CE81" s="18">
        <v>-0.95277554798452169</v>
      </c>
      <c r="CF81" s="18">
        <v>-0.22346583897658387</v>
      </c>
      <c r="CG81" s="18">
        <v>1.1358473672262048</v>
      </c>
      <c r="CH81" s="18">
        <v>0.58459310432390443</v>
      </c>
      <c r="CI81" s="18">
        <v>0.11563039427227383</v>
      </c>
      <c r="CJ81" s="18">
        <v>-1.6016050416687919</v>
      </c>
      <c r="CK81" s="18">
        <v>-0.30520638851969162</v>
      </c>
      <c r="CL81" s="18">
        <v>0.5573358627609708</v>
      </c>
      <c r="CM81" s="18">
        <v>3.1530267223158666E-2</v>
      </c>
      <c r="CN81" s="19">
        <v>-0.48401893505645111</v>
      </c>
      <c r="CP81" s="23">
        <v>2.5830409984943272</v>
      </c>
    </row>
    <row r="82" spans="1:94" x14ac:dyDescent="0.2">
      <c r="A82" s="2" t="s">
        <v>125</v>
      </c>
      <c r="B82" s="2">
        <v>2</v>
      </c>
      <c r="C82" s="2">
        <v>2</v>
      </c>
      <c r="D82" s="2">
        <v>3</v>
      </c>
      <c r="E82" s="2">
        <v>4</v>
      </c>
      <c r="F82" s="2">
        <v>5</v>
      </c>
      <c r="G82" s="2">
        <v>5</v>
      </c>
      <c r="H82" s="2">
        <v>5</v>
      </c>
      <c r="I82" s="2">
        <v>4</v>
      </c>
      <c r="J82" s="2">
        <v>5</v>
      </c>
      <c r="K82" s="2">
        <v>5</v>
      </c>
      <c r="L82" s="2">
        <v>4</v>
      </c>
      <c r="M82" s="2">
        <v>4</v>
      </c>
      <c r="N82" s="2">
        <v>5</v>
      </c>
      <c r="O82" s="2">
        <v>4</v>
      </c>
      <c r="P82" s="2">
        <v>4</v>
      </c>
      <c r="Q82" s="2">
        <v>4</v>
      </c>
      <c r="R82" s="2">
        <v>4</v>
      </c>
      <c r="S82" s="2">
        <v>3</v>
      </c>
      <c r="T82" s="2">
        <v>3</v>
      </c>
      <c r="U82" s="2">
        <v>4</v>
      </c>
      <c r="V82" s="2">
        <v>4</v>
      </c>
      <c r="W82" s="2">
        <v>2</v>
      </c>
      <c r="X82" s="2">
        <v>4</v>
      </c>
      <c r="Y82" s="2">
        <v>4</v>
      </c>
      <c r="Z82" s="2">
        <v>4</v>
      </c>
      <c r="AA82" s="2">
        <v>4</v>
      </c>
      <c r="AB82" s="2">
        <v>5</v>
      </c>
      <c r="AC82" s="2">
        <v>5</v>
      </c>
      <c r="AD82" s="2">
        <v>5</v>
      </c>
      <c r="AE82" s="2">
        <v>4</v>
      </c>
      <c r="AF82" s="2">
        <v>5</v>
      </c>
      <c r="AG82" s="2">
        <v>5</v>
      </c>
      <c r="AH82" s="2">
        <v>5</v>
      </c>
      <c r="AI82" s="2">
        <v>4</v>
      </c>
      <c r="AJ82" s="2">
        <v>4</v>
      </c>
      <c r="AK82" s="2">
        <v>4</v>
      </c>
      <c r="AL82" s="2">
        <v>4</v>
      </c>
      <c r="AM82" s="2">
        <v>5</v>
      </c>
      <c r="AN82" s="2">
        <v>5</v>
      </c>
      <c r="AO82" s="2">
        <v>4</v>
      </c>
      <c r="AP82" s="2">
        <v>4</v>
      </c>
      <c r="AQ82" s="2">
        <v>2</v>
      </c>
      <c r="AR82" s="2">
        <v>2</v>
      </c>
      <c r="AS82" s="2">
        <v>3</v>
      </c>
      <c r="AT82" s="2"/>
      <c r="AU82" s="2"/>
      <c r="AV82" s="2" t="str">
        <v>14.Delayed payment for completed work</v>
      </c>
      <c r="AW82" s="10">
        <v>0.26580778348280948</v>
      </c>
      <c r="AX82" s="11">
        <v>1.1046531794080112</v>
      </c>
      <c r="AY82" s="11">
        <v>0.25580629167136576</v>
      </c>
      <c r="AZ82" s="18">
        <v>0.76180505602377036</v>
      </c>
      <c r="BA82" s="18">
        <v>-1.3172304556943244</v>
      </c>
      <c r="BB82" s="18">
        <v>0.69238678945798193</v>
      </c>
      <c r="BC82" s="18">
        <v>-2.1907791686931279</v>
      </c>
      <c r="BD82" s="18">
        <v>-2.2472315555876534</v>
      </c>
      <c r="BE82" s="18">
        <v>2.3188243060231324</v>
      </c>
      <c r="BF82" s="18">
        <v>0.23156241179684081</v>
      </c>
      <c r="BG82" s="18">
        <v>-0.81001636440863811</v>
      </c>
      <c r="BH82" s="18">
        <v>1.0066187580070931</v>
      </c>
      <c r="BI82" s="18">
        <v>-3.1649432516422361E-2</v>
      </c>
      <c r="BJ82" s="18">
        <v>5.9230372661545649</v>
      </c>
      <c r="BK82" s="18">
        <v>-3.3230452654966021</v>
      </c>
      <c r="BL82" s="18">
        <v>-1.0260412021582488</v>
      </c>
      <c r="BM82" s="18">
        <v>0.480093332665956</v>
      </c>
      <c r="BN82" s="18">
        <v>-0.49118375896540523</v>
      </c>
      <c r="BO82" s="18">
        <v>-0.65223919939289698</v>
      </c>
      <c r="BP82" s="18">
        <v>0.11949732685039874</v>
      </c>
      <c r="BQ82" s="18">
        <v>0.28031338417912266</v>
      </c>
      <c r="BR82" s="18">
        <v>-0.81491994412699931</v>
      </c>
      <c r="BS82" s="18">
        <v>0.38898178724512256</v>
      </c>
      <c r="BT82" s="18">
        <v>-0.6083458436758975</v>
      </c>
      <c r="BU82" s="18">
        <v>0.60775682079115967</v>
      </c>
      <c r="BV82" s="18">
        <v>1.3850272516560795</v>
      </c>
      <c r="BW82" s="18">
        <v>-0.56971686368707497</v>
      </c>
      <c r="BX82" s="18">
        <v>-0.69757212903630861</v>
      </c>
      <c r="BY82" s="18">
        <v>0.62300246285265992</v>
      </c>
      <c r="BZ82" s="18">
        <v>-1.4434993364004131E-2</v>
      </c>
      <c r="CA82" s="18">
        <v>-1.5167948940954705</v>
      </c>
      <c r="CB82" s="18">
        <v>0.42383059534543294</v>
      </c>
      <c r="CC82" s="18">
        <v>-9.2819475845997094E-3</v>
      </c>
      <c r="CD82" s="18">
        <v>0.55897992228497217</v>
      </c>
      <c r="CE82" s="18">
        <v>1.1473969417128496</v>
      </c>
      <c r="CF82" s="18">
        <v>-0.69182711481953008</v>
      </c>
      <c r="CG82" s="18">
        <v>-0.61351417180232204</v>
      </c>
      <c r="CH82" s="18">
        <v>0.14530877535190873</v>
      </c>
      <c r="CI82" s="18">
        <v>0.78297096548395528</v>
      </c>
      <c r="CJ82" s="18">
        <v>-0.87906161402868055</v>
      </c>
      <c r="CK82" s="18">
        <v>0.57635669552673763</v>
      </c>
      <c r="CL82" s="18">
        <v>1.5791341092178439</v>
      </c>
      <c r="CM82" s="18">
        <v>-0.68706473067918927</v>
      </c>
      <c r="CN82" s="19">
        <v>-1.3315118313892922</v>
      </c>
      <c r="CP82" s="23">
        <v>2.4337290864339369</v>
      </c>
    </row>
    <row r="83" spans="1:94" x14ac:dyDescent="0.2">
      <c r="A83" s="2" t="s">
        <v>126</v>
      </c>
      <c r="B83" s="2">
        <v>4</v>
      </c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5</v>
      </c>
      <c r="I83" s="2">
        <v>5</v>
      </c>
      <c r="J83" s="2">
        <v>3</v>
      </c>
      <c r="K83" s="2">
        <v>3</v>
      </c>
      <c r="L83" s="2">
        <v>4</v>
      </c>
      <c r="M83" s="2">
        <v>5</v>
      </c>
      <c r="N83" s="2">
        <v>5</v>
      </c>
      <c r="O83" s="2">
        <v>4</v>
      </c>
      <c r="P83" s="2">
        <v>1</v>
      </c>
      <c r="Q83" s="2">
        <v>1</v>
      </c>
      <c r="R83" s="2">
        <v>1</v>
      </c>
      <c r="S83" s="2">
        <v>3</v>
      </c>
      <c r="T83" s="2">
        <v>5</v>
      </c>
      <c r="U83" s="2">
        <v>4</v>
      </c>
      <c r="V83" s="2">
        <v>5</v>
      </c>
      <c r="W83" s="2">
        <v>3</v>
      </c>
      <c r="X83" s="2">
        <v>1</v>
      </c>
      <c r="Y83" s="2">
        <v>1</v>
      </c>
      <c r="Z83" s="2">
        <v>3</v>
      </c>
      <c r="AA83" s="2">
        <v>2</v>
      </c>
      <c r="AB83" s="2">
        <v>3</v>
      </c>
      <c r="AC83" s="2">
        <v>4</v>
      </c>
      <c r="AD83" s="2">
        <v>4</v>
      </c>
      <c r="AE83" s="2">
        <v>4</v>
      </c>
      <c r="AF83" s="2">
        <v>4</v>
      </c>
      <c r="AG83" s="2">
        <v>4</v>
      </c>
      <c r="AH83" s="2">
        <v>4</v>
      </c>
      <c r="AI83" s="2">
        <v>3</v>
      </c>
      <c r="AJ83" s="2">
        <v>2</v>
      </c>
      <c r="AK83" s="2">
        <v>1</v>
      </c>
      <c r="AL83" s="2">
        <v>1</v>
      </c>
      <c r="AM83" s="2">
        <v>5</v>
      </c>
      <c r="AN83" s="2">
        <v>5</v>
      </c>
      <c r="AO83" s="2">
        <v>5</v>
      </c>
      <c r="AP83" s="2">
        <v>2</v>
      </c>
      <c r="AQ83" s="2">
        <v>1</v>
      </c>
      <c r="AR83" s="2">
        <v>1</v>
      </c>
      <c r="AS83" s="2">
        <v>3</v>
      </c>
      <c r="AT83" s="2"/>
      <c r="AU83" s="2"/>
      <c r="AV83" s="2" t="str">
        <v>15.Cash flow problem during construction</v>
      </c>
      <c r="AW83" s="10">
        <v>-1.1535339367744391</v>
      </c>
      <c r="AX83" s="11">
        <v>-0.48560066929429074</v>
      </c>
      <c r="AY83" s="11">
        <v>-0.22148847945642636</v>
      </c>
      <c r="AZ83" s="18">
        <v>-1.1194096006595895</v>
      </c>
      <c r="BA83" s="18">
        <v>1.3561591715831325</v>
      </c>
      <c r="BB83" s="18">
        <v>0.36249860703648484</v>
      </c>
      <c r="BC83" s="18">
        <v>2.2325285042286929</v>
      </c>
      <c r="BD83" s="18">
        <v>2.1905224909708312</v>
      </c>
      <c r="BE83" s="18">
        <v>-2.8114272993417515</v>
      </c>
      <c r="BF83" s="18">
        <v>-0.54908342952520228</v>
      </c>
      <c r="BG83" s="18">
        <v>0.27478073123901375</v>
      </c>
      <c r="BH83" s="18">
        <v>0.11955320396952585</v>
      </c>
      <c r="BI83" s="18">
        <v>-0.9609430249235692</v>
      </c>
      <c r="BJ83" s="18">
        <v>-3.3230452654966034</v>
      </c>
      <c r="BK83" s="18">
        <v>6.7691036097783908</v>
      </c>
      <c r="BL83" s="18">
        <v>-0.85136728373362158</v>
      </c>
      <c r="BM83" s="18">
        <v>-2.6510305518354369</v>
      </c>
      <c r="BN83" s="18">
        <v>1.2665981106117812</v>
      </c>
      <c r="BO83" s="18">
        <v>0.63342246202857633</v>
      </c>
      <c r="BP83" s="18">
        <v>-1.4716044571254798</v>
      </c>
      <c r="BQ83" s="18">
        <v>0.63215473870164907</v>
      </c>
      <c r="BR83" s="18">
        <v>0.14212548826756533</v>
      </c>
      <c r="BS83" s="18">
        <v>0.39179225777991133</v>
      </c>
      <c r="BT83" s="18">
        <v>0.50870125019833823</v>
      </c>
      <c r="BU83" s="18">
        <v>-0.49950294415180752</v>
      </c>
      <c r="BV83" s="18">
        <v>-0.78034420976024788</v>
      </c>
      <c r="BW83" s="18">
        <v>-0.16637239526215677</v>
      </c>
      <c r="BX83" s="18">
        <v>0.56842173400818463</v>
      </c>
      <c r="BY83" s="18">
        <v>-1.3187365223922105</v>
      </c>
      <c r="BZ83" s="18">
        <v>-0.38032000052535769</v>
      </c>
      <c r="CA83" s="18">
        <v>1.1880645494134132</v>
      </c>
      <c r="CB83" s="18">
        <v>-0.97620698163713915</v>
      </c>
      <c r="CC83" s="18">
        <v>0.76803512654064043</v>
      </c>
      <c r="CD83" s="18">
        <v>-2.805140311567599</v>
      </c>
      <c r="CE83" s="18">
        <v>1.3340182770930191</v>
      </c>
      <c r="CF83" s="18">
        <v>1.9928926504385303</v>
      </c>
      <c r="CG83" s="18">
        <v>-0.58739743346713846</v>
      </c>
      <c r="CH83" s="18">
        <v>-0.63224627918093479</v>
      </c>
      <c r="CI83" s="18">
        <v>-0.58083443378036692</v>
      </c>
      <c r="CJ83" s="18">
        <v>0.86376969795111214</v>
      </c>
      <c r="CK83" s="18">
        <v>-0.74952272662824004</v>
      </c>
      <c r="CL83" s="18">
        <v>1.0942280318326858</v>
      </c>
      <c r="CM83" s="18">
        <v>-0.10068720257068436</v>
      </c>
      <c r="CN83" s="19">
        <v>0.14834266656351774</v>
      </c>
      <c r="CP83" s="23">
        <v>2.6017501051750513</v>
      </c>
    </row>
    <row r="84" spans="1:94" x14ac:dyDescent="0.2">
      <c r="A84" s="2" t="s">
        <v>127</v>
      </c>
      <c r="B84" s="2">
        <v>4</v>
      </c>
      <c r="C84" s="2">
        <v>5</v>
      </c>
      <c r="D84" s="2">
        <v>3</v>
      </c>
      <c r="E84" s="2">
        <v>4</v>
      </c>
      <c r="F84" s="2">
        <v>4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4</v>
      </c>
      <c r="M84" s="2">
        <v>4</v>
      </c>
      <c r="N84" s="2">
        <v>4</v>
      </c>
      <c r="O84" s="2">
        <v>5</v>
      </c>
      <c r="P84" s="2">
        <v>5</v>
      </c>
      <c r="Q84" s="2">
        <v>5</v>
      </c>
      <c r="R84" s="2">
        <v>5</v>
      </c>
      <c r="S84" s="2">
        <v>3</v>
      </c>
      <c r="T84" s="2">
        <v>5</v>
      </c>
      <c r="U84" s="2">
        <v>5</v>
      </c>
      <c r="V84" s="2">
        <v>4</v>
      </c>
      <c r="W84" s="2">
        <v>4</v>
      </c>
      <c r="X84" s="2">
        <v>5</v>
      </c>
      <c r="Y84" s="2">
        <v>4</v>
      </c>
      <c r="Z84" s="2">
        <v>5</v>
      </c>
      <c r="AA84" s="2">
        <v>3</v>
      </c>
      <c r="AB84" s="2">
        <v>4</v>
      </c>
      <c r="AC84" s="2">
        <v>4</v>
      </c>
      <c r="AD84" s="2">
        <v>4</v>
      </c>
      <c r="AE84" s="2">
        <v>4</v>
      </c>
      <c r="AF84" s="2">
        <v>5</v>
      </c>
      <c r="AG84" s="2">
        <v>5</v>
      </c>
      <c r="AH84" s="2">
        <v>4</v>
      </c>
      <c r="AI84" s="2">
        <v>4</v>
      </c>
      <c r="AJ84" s="2">
        <v>3</v>
      </c>
      <c r="AK84" s="2">
        <v>4</v>
      </c>
      <c r="AL84" s="2">
        <v>5</v>
      </c>
      <c r="AM84" s="2">
        <v>4</v>
      </c>
      <c r="AN84" s="2">
        <v>4</v>
      </c>
      <c r="AO84" s="2">
        <v>4</v>
      </c>
      <c r="AP84" s="2">
        <v>2</v>
      </c>
      <c r="AQ84" s="2">
        <v>4</v>
      </c>
      <c r="AR84" s="2">
        <v>3</v>
      </c>
      <c r="AS84" s="2">
        <v>3</v>
      </c>
      <c r="AT84" s="2"/>
      <c r="AU84" s="2"/>
      <c r="AV84" s="2" t="str">
        <v>16.High rate of interest</v>
      </c>
      <c r="AW84" s="10">
        <v>0.8832321773587416</v>
      </c>
      <c r="AX84" s="11">
        <v>-0.6049190878157038</v>
      </c>
      <c r="AY84" s="11">
        <v>0.37716629516418021</v>
      </c>
      <c r="AZ84" s="18">
        <v>0.5154317244527995</v>
      </c>
      <c r="BA84" s="18">
        <v>-0.34890958304464859</v>
      </c>
      <c r="BB84" s="18">
        <v>-0.73263632687029223</v>
      </c>
      <c r="BC84" s="18">
        <v>0.25679323728506864</v>
      </c>
      <c r="BD84" s="18">
        <v>1.3807303111932869</v>
      </c>
      <c r="BE84" s="18">
        <v>-0.340491107965677</v>
      </c>
      <c r="BF84" s="18">
        <v>-0.55859026958816893</v>
      </c>
      <c r="BG84" s="18">
        <v>-0.46545876615508802</v>
      </c>
      <c r="BH84" s="18">
        <v>-0.81333555564649085</v>
      </c>
      <c r="BI84" s="18">
        <v>0.50417855292875591</v>
      </c>
      <c r="BJ84" s="18">
        <v>-1.0260412021582497</v>
      </c>
      <c r="BK84" s="18">
        <v>-0.85136728373362147</v>
      </c>
      <c r="BL84" s="18">
        <v>3.8063698756142386</v>
      </c>
      <c r="BM84" s="18">
        <v>0.19187029049654319</v>
      </c>
      <c r="BN84" s="18">
        <v>-0.55859259811572104</v>
      </c>
      <c r="BO84" s="18">
        <v>-0.63233026733247621</v>
      </c>
      <c r="BP84" s="18">
        <v>0.45014189610018401</v>
      </c>
      <c r="BQ84" s="18">
        <v>0.2521991019713607</v>
      </c>
      <c r="BR84" s="18">
        <v>0.26729432439913153</v>
      </c>
      <c r="BS84" s="18">
        <v>-7.8648670866138179E-2</v>
      </c>
      <c r="BT84" s="18">
        <v>1.105435404989597E-2</v>
      </c>
      <c r="BU84" s="18">
        <v>-0.39944784616364004</v>
      </c>
      <c r="BV84" s="18">
        <v>-0.59918797755222741</v>
      </c>
      <c r="BW84" s="18">
        <v>0.79266888553453874</v>
      </c>
      <c r="BX84" s="18">
        <v>-0.20278041328641341</v>
      </c>
      <c r="BY84" s="18">
        <v>0.49405112794437228</v>
      </c>
      <c r="BZ84" s="18">
        <v>-0.3803094336361833</v>
      </c>
      <c r="CA84" s="18">
        <v>0.14697535511779433</v>
      </c>
      <c r="CB84" s="18">
        <v>-0.6600851316387617</v>
      </c>
      <c r="CC84" s="18">
        <v>0.36299204812901875</v>
      </c>
      <c r="CD84" s="18">
        <v>-1.0225519315063984</v>
      </c>
      <c r="CE84" s="18">
        <v>-0.18763010030564495</v>
      </c>
      <c r="CF84" s="18">
        <v>0.74477805705804212</v>
      </c>
      <c r="CG84" s="18">
        <v>-0.35092206710399715</v>
      </c>
      <c r="CH84" s="18">
        <v>0.21913394571220443</v>
      </c>
      <c r="CI84" s="18">
        <v>-0.41303965037733298</v>
      </c>
      <c r="CJ84" s="18">
        <v>0.51372542022198131</v>
      </c>
      <c r="CK84" s="18">
        <v>-0.29359469447172648</v>
      </c>
      <c r="CL84" s="18">
        <v>-1.1147573632784715</v>
      </c>
      <c r="CM84" s="18">
        <v>-1.3724480573355697E-2</v>
      </c>
      <c r="CN84" s="19">
        <v>0.80819113431636624</v>
      </c>
      <c r="CP84" s="23">
        <v>1.9509920234624842</v>
      </c>
    </row>
    <row r="85" spans="1:94" x14ac:dyDescent="0.2">
      <c r="A85" s="2" t="s">
        <v>128</v>
      </c>
      <c r="B85" s="2">
        <v>3</v>
      </c>
      <c r="C85" s="2">
        <v>4</v>
      </c>
      <c r="D85" s="2">
        <v>4</v>
      </c>
      <c r="E85" s="2">
        <v>3</v>
      </c>
      <c r="F85" s="2">
        <v>2</v>
      </c>
      <c r="G85" s="2">
        <v>4</v>
      </c>
      <c r="H85" s="2">
        <v>4</v>
      </c>
      <c r="I85" s="2">
        <v>4</v>
      </c>
      <c r="J85" s="2">
        <v>4</v>
      </c>
      <c r="K85" s="2">
        <v>4</v>
      </c>
      <c r="L85" s="2">
        <v>3</v>
      </c>
      <c r="M85" s="2">
        <v>3</v>
      </c>
      <c r="N85" s="2">
        <v>3</v>
      </c>
      <c r="O85" s="2">
        <v>3</v>
      </c>
      <c r="P85" s="2">
        <v>2</v>
      </c>
      <c r="Q85" s="2">
        <v>1</v>
      </c>
      <c r="R85" s="2">
        <v>4</v>
      </c>
      <c r="S85" s="2">
        <v>1</v>
      </c>
      <c r="T85" s="2">
        <v>4</v>
      </c>
      <c r="U85" s="2">
        <v>2</v>
      </c>
      <c r="V85" s="2">
        <v>3</v>
      </c>
      <c r="W85" s="2">
        <v>3</v>
      </c>
      <c r="X85" s="2">
        <v>1</v>
      </c>
      <c r="Y85" s="2">
        <v>4</v>
      </c>
      <c r="Z85" s="2">
        <v>1</v>
      </c>
      <c r="AA85" s="2">
        <v>2</v>
      </c>
      <c r="AB85" s="2">
        <v>4</v>
      </c>
      <c r="AC85" s="2">
        <v>3</v>
      </c>
      <c r="AD85" s="2">
        <v>3</v>
      </c>
      <c r="AE85" s="2">
        <v>4</v>
      </c>
      <c r="AF85" s="2">
        <v>3</v>
      </c>
      <c r="AG85" s="2">
        <v>1</v>
      </c>
      <c r="AH85" s="2">
        <v>3</v>
      </c>
      <c r="AI85" s="2">
        <v>3</v>
      </c>
      <c r="AJ85" s="2">
        <v>4</v>
      </c>
      <c r="AK85" s="2">
        <v>4</v>
      </c>
      <c r="AL85" s="2">
        <v>4</v>
      </c>
      <c r="AM85" s="2">
        <v>4</v>
      </c>
      <c r="AN85" s="2">
        <v>5</v>
      </c>
      <c r="AO85" s="2">
        <v>4</v>
      </c>
      <c r="AP85" s="2">
        <v>3</v>
      </c>
      <c r="AQ85" s="2">
        <v>2</v>
      </c>
      <c r="AR85" s="2">
        <v>2</v>
      </c>
      <c r="AS85" s="2">
        <v>4</v>
      </c>
      <c r="AT85" s="2"/>
      <c r="AU85" s="2"/>
      <c r="AV85" s="2" t="str">
        <v>17.Contractor’s financial difficulties</v>
      </c>
      <c r="AW85" s="10">
        <v>0.58619530332297543</v>
      </c>
      <c r="AX85" s="11">
        <v>-0.79206748562516238</v>
      </c>
      <c r="AY85" s="11">
        <v>-0.23116129758623735</v>
      </c>
      <c r="AZ85" s="18">
        <v>0.9739201152640119</v>
      </c>
      <c r="BA85" s="18">
        <v>9.5013817570715031E-2</v>
      </c>
      <c r="BB85" s="18">
        <v>-0.49920746768003366</v>
      </c>
      <c r="BC85" s="18">
        <v>-0.88386507392342473</v>
      </c>
      <c r="BD85" s="18">
        <v>-1.0086148717292676</v>
      </c>
      <c r="BE85" s="18">
        <v>2.9183419594519706</v>
      </c>
      <c r="BF85" s="18">
        <v>-1.4109428050489945</v>
      </c>
      <c r="BG85" s="18">
        <v>7.9562619487407067E-3</v>
      </c>
      <c r="BH85" s="18">
        <v>0.56369741559692044</v>
      </c>
      <c r="BI85" s="18">
        <v>7.077598872897839E-2</v>
      </c>
      <c r="BJ85" s="18">
        <v>0.48009333266595916</v>
      </c>
      <c r="BK85" s="18">
        <v>-2.6510305518354382</v>
      </c>
      <c r="BL85" s="18">
        <v>0.19187029049654317</v>
      </c>
      <c r="BM85" s="18">
        <v>4.2134326905656039</v>
      </c>
      <c r="BN85" s="18">
        <v>-0.78030776488643483</v>
      </c>
      <c r="BO85" s="18">
        <v>1.6068907954032888E-2</v>
      </c>
      <c r="BP85" s="18">
        <v>1.1303621593108266</v>
      </c>
      <c r="BQ85" s="18">
        <v>-0.73559442011137877</v>
      </c>
      <c r="BR85" s="18">
        <v>-0.18783139056307249</v>
      </c>
      <c r="BS85" s="18">
        <v>-0.92641852660775348</v>
      </c>
      <c r="BT85" s="18">
        <v>-0.95194631730533852</v>
      </c>
      <c r="BU85" s="18">
        <v>0.6215091193049791</v>
      </c>
      <c r="BV85" s="18">
        <v>0.33883804321507427</v>
      </c>
      <c r="BW85" s="18">
        <v>-0.19666733222628596</v>
      </c>
      <c r="BX85" s="18">
        <v>-0.77059865374127512</v>
      </c>
      <c r="BY85" s="18">
        <v>0.81346861066454057</v>
      </c>
      <c r="BZ85" s="18">
        <v>-0.37023614767990987</v>
      </c>
      <c r="CA85" s="18">
        <v>0.13971916930638595</v>
      </c>
      <c r="CB85" s="18">
        <v>-0.22717652688776335</v>
      </c>
      <c r="CC85" s="18">
        <v>-1.8833500115826927E-3</v>
      </c>
      <c r="CD85" s="18">
        <v>0.66227479228739505</v>
      </c>
      <c r="CE85" s="18">
        <v>-1.25237802064076</v>
      </c>
      <c r="CF85" s="18">
        <v>-0.81588337722456894</v>
      </c>
      <c r="CG85" s="18">
        <v>0.18495782015358853</v>
      </c>
      <c r="CH85" s="18">
        <v>9.0820362104915134E-2</v>
      </c>
      <c r="CI85" s="18">
        <v>0.29955861520484245</v>
      </c>
      <c r="CJ85" s="18">
        <v>7.4939516013636437E-2</v>
      </c>
      <c r="CK85" s="18">
        <v>9.4680842662355463E-2</v>
      </c>
      <c r="CL85" s="18">
        <v>-0.57374866964660409</v>
      </c>
      <c r="CM85" s="18">
        <v>0.46746175141126567</v>
      </c>
      <c r="CN85" s="19">
        <v>0.52252362973692756</v>
      </c>
      <c r="CP85" s="23">
        <v>2.0526647779327249</v>
      </c>
    </row>
    <row r="86" spans="1:94" x14ac:dyDescent="0.2">
      <c r="A86" s="2" t="s">
        <v>129</v>
      </c>
      <c r="B86" s="2">
        <v>4</v>
      </c>
      <c r="C86" s="2">
        <v>3</v>
      </c>
      <c r="D86" s="2">
        <v>3</v>
      </c>
      <c r="E86" s="2">
        <v>3</v>
      </c>
      <c r="F86" s="2">
        <v>1</v>
      </c>
      <c r="G86" s="2">
        <v>3</v>
      </c>
      <c r="H86" s="2">
        <v>4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3</v>
      </c>
      <c r="P86" s="2">
        <v>4</v>
      </c>
      <c r="Q86" s="2">
        <v>1</v>
      </c>
      <c r="R86" s="2">
        <v>5</v>
      </c>
      <c r="S86" s="2">
        <v>4</v>
      </c>
      <c r="T86" s="2">
        <v>4</v>
      </c>
      <c r="U86" s="2">
        <v>4</v>
      </c>
      <c r="V86" s="2">
        <v>4</v>
      </c>
      <c r="W86" s="2">
        <v>4</v>
      </c>
      <c r="X86" s="2">
        <v>4</v>
      </c>
      <c r="Y86" s="2">
        <v>2</v>
      </c>
      <c r="Z86" s="2">
        <v>3</v>
      </c>
      <c r="AA86" s="2">
        <v>4</v>
      </c>
      <c r="AB86" s="2">
        <v>2</v>
      </c>
      <c r="AC86" s="2">
        <v>3</v>
      </c>
      <c r="AD86" s="2">
        <v>4</v>
      </c>
      <c r="AE86" s="2">
        <v>5</v>
      </c>
      <c r="AF86" s="2">
        <v>2</v>
      </c>
      <c r="AG86" s="2">
        <v>3</v>
      </c>
      <c r="AH86" s="2">
        <v>1</v>
      </c>
      <c r="AI86" s="2">
        <v>3</v>
      </c>
      <c r="AJ86" s="2">
        <v>3</v>
      </c>
      <c r="AK86" s="2">
        <v>4</v>
      </c>
      <c r="AL86" s="2">
        <v>4</v>
      </c>
      <c r="AM86" s="2">
        <v>2</v>
      </c>
      <c r="AN86" s="2">
        <v>3</v>
      </c>
      <c r="AO86" s="2">
        <v>3</v>
      </c>
      <c r="AP86" s="2">
        <v>4</v>
      </c>
      <c r="AQ86" s="2">
        <v>1</v>
      </c>
      <c r="AR86" s="2">
        <v>1</v>
      </c>
      <c r="AS86" s="2">
        <v>4</v>
      </c>
      <c r="AT86" s="2"/>
      <c r="AU86" s="2"/>
      <c r="AV86" s="2" t="str">
        <v>18.Increase in salaries of skilled laborers</v>
      </c>
      <c r="AW86" s="10">
        <v>-1.0616713739026182</v>
      </c>
      <c r="AX86" s="11">
        <v>0.69132612204986488</v>
      </c>
      <c r="AY86" s="11">
        <v>-0.37170401694051941</v>
      </c>
      <c r="AZ86" s="18">
        <v>-8.4406545802976726E-2</v>
      </c>
      <c r="BA86" s="18">
        <v>-0.50630920016737946</v>
      </c>
      <c r="BB86" s="18">
        <v>-1.6673761231368406E-2</v>
      </c>
      <c r="BC86" s="18">
        <v>0.84219587617053682</v>
      </c>
      <c r="BD86" s="18">
        <v>0.20601145616740554</v>
      </c>
      <c r="BE86" s="18">
        <v>0.21371067354436776</v>
      </c>
      <c r="BF86" s="18">
        <v>-6.4066421735182941E-2</v>
      </c>
      <c r="BG86" s="18">
        <v>-0.76901597792162224</v>
      </c>
      <c r="BH86" s="18">
        <v>0.37890435072289552</v>
      </c>
      <c r="BI86" s="18">
        <v>-0.31537720692920096</v>
      </c>
      <c r="BJ86" s="18">
        <v>-0.49118375896540412</v>
      </c>
      <c r="BK86" s="18">
        <v>1.2665981106117814</v>
      </c>
      <c r="BL86" s="18">
        <v>-0.55859259811572248</v>
      </c>
      <c r="BM86" s="18">
        <v>-0.78030776488643439</v>
      </c>
      <c r="BN86" s="18">
        <v>3.0353129874753089</v>
      </c>
      <c r="BO86" s="18">
        <v>-0.62841876908644412</v>
      </c>
      <c r="BP86" s="18">
        <v>-0.33101761192937057</v>
      </c>
      <c r="BQ86" s="18">
        <v>1.8009959154021244</v>
      </c>
      <c r="BR86" s="18">
        <v>-0.84224613570120788</v>
      </c>
      <c r="BS86" s="18">
        <v>-2.2336606552599704E-2</v>
      </c>
      <c r="BT86" s="18">
        <v>3.3606696223578885E-3</v>
      </c>
      <c r="BU86" s="18">
        <v>0.67476397947391165</v>
      </c>
      <c r="BV86" s="18">
        <v>-1.1532030066570189</v>
      </c>
      <c r="BW86" s="18">
        <v>0.57392648046162986</v>
      </c>
      <c r="BX86" s="18">
        <v>-0.15567955610502651</v>
      </c>
      <c r="BY86" s="18">
        <v>-1.1037210162599753</v>
      </c>
      <c r="BZ86" s="18">
        <v>0.24493218499844424</v>
      </c>
      <c r="CA86" s="18">
        <v>-0.22903898031205588</v>
      </c>
      <c r="CB86" s="18">
        <v>-0.31254304610837663</v>
      </c>
      <c r="CC86" s="18">
        <v>0.19310691470611085</v>
      </c>
      <c r="CD86" s="18">
        <v>-1.0345072196821308</v>
      </c>
      <c r="CE86" s="18">
        <v>1.5943244106353243</v>
      </c>
      <c r="CF86" s="18">
        <v>0.54835369936696232</v>
      </c>
      <c r="CG86" s="18">
        <v>0.17498252495970026</v>
      </c>
      <c r="CH86" s="18">
        <v>0.19489780997563297</v>
      </c>
      <c r="CI86" s="18">
        <v>-0.71343671352889015</v>
      </c>
      <c r="CJ86" s="18">
        <v>-3.576504206402982E-2</v>
      </c>
      <c r="CK86" s="18">
        <v>-0.24122892580233865</v>
      </c>
      <c r="CL86" s="18">
        <v>-9.1858439735910749E-2</v>
      </c>
      <c r="CM86" s="18">
        <v>-0.23084489037927985</v>
      </c>
      <c r="CN86" s="19">
        <v>-0.11321904895447077</v>
      </c>
      <c r="CP86" s="23">
        <v>1.7422149659199089</v>
      </c>
    </row>
    <row r="87" spans="1:94" x14ac:dyDescent="0.2">
      <c r="A87" s="2" t="s">
        <v>130</v>
      </c>
      <c r="B87" s="2">
        <v>2</v>
      </c>
      <c r="C87" s="2">
        <v>2</v>
      </c>
      <c r="D87" s="2">
        <v>3</v>
      </c>
      <c r="E87" s="2">
        <v>2</v>
      </c>
      <c r="F87" s="2">
        <v>3</v>
      </c>
      <c r="G87" s="2">
        <v>3</v>
      </c>
      <c r="H87" s="2">
        <v>3</v>
      </c>
      <c r="I87" s="2">
        <v>3</v>
      </c>
      <c r="J87" s="2">
        <v>4</v>
      </c>
      <c r="K87" s="2">
        <v>3</v>
      </c>
      <c r="L87" s="2">
        <v>4</v>
      </c>
      <c r="M87" s="2">
        <v>5</v>
      </c>
      <c r="N87" s="2">
        <v>4</v>
      </c>
      <c r="O87" s="2">
        <v>3</v>
      </c>
      <c r="P87" s="2">
        <v>4</v>
      </c>
      <c r="Q87" s="2">
        <v>3</v>
      </c>
      <c r="R87" s="2">
        <v>4</v>
      </c>
      <c r="S87" s="2">
        <v>2</v>
      </c>
      <c r="T87" s="2">
        <v>4</v>
      </c>
      <c r="U87" s="2">
        <v>4</v>
      </c>
      <c r="V87" s="2">
        <v>5</v>
      </c>
      <c r="W87" s="2">
        <v>3</v>
      </c>
      <c r="X87" s="2">
        <v>3</v>
      </c>
      <c r="Y87" s="2">
        <v>3</v>
      </c>
      <c r="Z87" s="2">
        <v>4</v>
      </c>
      <c r="AA87" s="2">
        <v>3</v>
      </c>
      <c r="AB87" s="2">
        <v>4</v>
      </c>
      <c r="AC87" s="2">
        <v>4</v>
      </c>
      <c r="AD87" s="2">
        <v>3</v>
      </c>
      <c r="AE87" s="2">
        <v>4</v>
      </c>
      <c r="AF87" s="2">
        <v>3</v>
      </c>
      <c r="AG87" s="2">
        <v>3</v>
      </c>
      <c r="AH87" s="2">
        <v>2</v>
      </c>
      <c r="AI87" s="2">
        <v>4</v>
      </c>
      <c r="AJ87" s="2">
        <v>3</v>
      </c>
      <c r="AK87" s="2">
        <v>4</v>
      </c>
      <c r="AL87" s="2">
        <v>3</v>
      </c>
      <c r="AM87" s="2">
        <v>4</v>
      </c>
      <c r="AN87" s="2">
        <v>4</v>
      </c>
      <c r="AO87" s="2">
        <v>3</v>
      </c>
      <c r="AP87" s="2">
        <v>4</v>
      </c>
      <c r="AQ87" s="2">
        <v>3</v>
      </c>
      <c r="AR87" s="2">
        <v>2</v>
      </c>
      <c r="AS87" s="2">
        <v>2</v>
      </c>
      <c r="AT87" s="2"/>
      <c r="AU87" s="2"/>
      <c r="AV87" s="2" t="str">
        <v>19.Change design</v>
      </c>
      <c r="AW87" s="10">
        <v>1.0715960319800519</v>
      </c>
      <c r="AX87" s="11">
        <v>-1.4743679408075221</v>
      </c>
      <c r="AY87" s="11">
        <v>-0.28758926522980977</v>
      </c>
      <c r="AZ87" s="18">
        <v>-0.21018045780486838</v>
      </c>
      <c r="BA87" s="18">
        <v>0.5973883746173434</v>
      </c>
      <c r="BB87" s="18">
        <v>-0.28911210083328714</v>
      </c>
      <c r="BC87" s="18">
        <v>-0.51226619076602464</v>
      </c>
      <c r="BD87" s="18">
        <v>-0.69485752371065113</v>
      </c>
      <c r="BE87" s="18">
        <v>-1.5339791859990206</v>
      </c>
      <c r="BF87" s="18">
        <v>1.2125747246231</v>
      </c>
      <c r="BG87" s="18">
        <v>1.0106142533669071</v>
      </c>
      <c r="BH87" s="18">
        <v>-1.3152479966166535</v>
      </c>
      <c r="BI87" s="18">
        <v>0.86076943382078974</v>
      </c>
      <c r="BJ87" s="18">
        <v>-0.6522391993928992</v>
      </c>
      <c r="BK87" s="18">
        <v>0.63342246202857622</v>
      </c>
      <c r="BL87" s="18">
        <v>-0.63233026733247322</v>
      </c>
      <c r="BM87" s="18">
        <v>1.6068907954033072E-2</v>
      </c>
      <c r="BN87" s="18">
        <v>-0.62841876908644456</v>
      </c>
      <c r="BO87" s="18">
        <v>4.9321208432189065</v>
      </c>
      <c r="BP87" s="18">
        <v>-1.6640204503203582</v>
      </c>
      <c r="BQ87" s="18">
        <v>-2.2875339573309312</v>
      </c>
      <c r="BR87" s="18">
        <v>0.1459690777169613</v>
      </c>
      <c r="BS87" s="18">
        <v>0.62968839630485962</v>
      </c>
      <c r="BT87" s="18">
        <v>-0.13413191189830154</v>
      </c>
      <c r="BU87" s="18">
        <v>-0.57620467254361052</v>
      </c>
      <c r="BV87" s="18">
        <v>0.24721657216355497</v>
      </c>
      <c r="BW87" s="18">
        <v>-5.7180862304719436E-2</v>
      </c>
      <c r="BX87" s="18">
        <v>0.9570584500471605</v>
      </c>
      <c r="BY87" s="18">
        <v>0.57590854997229135</v>
      </c>
      <c r="BZ87" s="18">
        <v>-0.45332130668179088</v>
      </c>
      <c r="CA87" s="18">
        <v>0.45604405133744208</v>
      </c>
      <c r="CB87" s="18">
        <v>-0.48622370231789758</v>
      </c>
      <c r="CC87" s="18">
        <v>-6.3971919418420231E-2</v>
      </c>
      <c r="CD87" s="18">
        <v>0.63884496250753553</v>
      </c>
      <c r="CE87" s="18">
        <v>-1.1752907344766717</v>
      </c>
      <c r="CF87" s="18">
        <v>9.3269977677571406E-2</v>
      </c>
      <c r="CG87" s="18">
        <v>0.10818581112104805</v>
      </c>
      <c r="CH87" s="18">
        <v>0.397655460996931</v>
      </c>
      <c r="CI87" s="18">
        <v>-0.48661493613066503</v>
      </c>
      <c r="CJ87" s="18">
        <v>-0.16485787979914676</v>
      </c>
      <c r="CK87" s="18">
        <v>-0.25859121820406994</v>
      </c>
      <c r="CL87" s="18">
        <v>0.54971338029089212</v>
      </c>
      <c r="CM87" s="18">
        <v>0.52566926525398117</v>
      </c>
      <c r="CN87" s="19">
        <v>-0.45157660509575215</v>
      </c>
      <c r="CP87" s="23">
        <v>2.2208378696381477</v>
      </c>
    </row>
    <row r="88" spans="1:94" x14ac:dyDescent="0.2">
      <c r="A88" s="2" t="s">
        <v>131</v>
      </c>
      <c r="B88" s="2">
        <v>4</v>
      </c>
      <c r="C88" s="2">
        <v>4</v>
      </c>
      <c r="D88" s="2">
        <v>3</v>
      </c>
      <c r="E88" s="2">
        <v>4</v>
      </c>
      <c r="F88" s="2">
        <v>4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4</v>
      </c>
      <c r="N88" s="2">
        <v>4</v>
      </c>
      <c r="O88" s="2">
        <v>4</v>
      </c>
      <c r="P88" s="2">
        <v>4</v>
      </c>
      <c r="Q88" s="2">
        <v>4</v>
      </c>
      <c r="R88" s="2">
        <v>4</v>
      </c>
      <c r="S88" s="2">
        <v>4</v>
      </c>
      <c r="T88" s="2">
        <v>4</v>
      </c>
      <c r="U88" s="2">
        <v>4</v>
      </c>
      <c r="V88" s="2">
        <v>4</v>
      </c>
      <c r="W88" s="2">
        <v>4</v>
      </c>
      <c r="X88" s="2">
        <v>4</v>
      </c>
      <c r="Y88" s="2">
        <v>4</v>
      </c>
      <c r="Z88" s="2">
        <v>4</v>
      </c>
      <c r="AA88" s="2">
        <v>4</v>
      </c>
      <c r="AB88" s="2">
        <v>4</v>
      </c>
      <c r="AC88" s="2">
        <v>4</v>
      </c>
      <c r="AD88" s="2">
        <v>4</v>
      </c>
      <c r="AE88" s="2">
        <v>4</v>
      </c>
      <c r="AF88" s="2">
        <v>4</v>
      </c>
      <c r="AG88" s="2">
        <v>4</v>
      </c>
      <c r="AH88" s="2">
        <v>2</v>
      </c>
      <c r="AI88" s="2">
        <v>4</v>
      </c>
      <c r="AJ88" s="2">
        <v>4</v>
      </c>
      <c r="AK88" s="2">
        <v>4</v>
      </c>
      <c r="AL88" s="2">
        <v>4</v>
      </c>
      <c r="AM88" s="2">
        <v>4</v>
      </c>
      <c r="AN88" s="2">
        <v>4</v>
      </c>
      <c r="AO88" s="2">
        <v>4</v>
      </c>
      <c r="AP88" s="2">
        <v>4</v>
      </c>
      <c r="AQ88" s="2">
        <v>4</v>
      </c>
      <c r="AR88" s="2">
        <v>4</v>
      </c>
      <c r="AS88" s="2">
        <v>4</v>
      </c>
      <c r="AT88" s="2"/>
      <c r="AU88" s="2"/>
      <c r="AV88" s="2" t="str">
        <v>20.Errors and omission in design</v>
      </c>
      <c r="AW88" s="10">
        <v>0.56783503325011164</v>
      </c>
      <c r="AX88" s="11">
        <v>-0.15550457776079385</v>
      </c>
      <c r="AY88" s="11">
        <v>-4.8958194586949458E-2</v>
      </c>
      <c r="AZ88" s="18">
        <v>0.85452965600052244</v>
      </c>
      <c r="BA88" s="18">
        <v>-0.4914873420840653</v>
      </c>
      <c r="BB88" s="18">
        <v>-0.22110069399384322</v>
      </c>
      <c r="BC88" s="18">
        <v>-6.8116730665278957E-2</v>
      </c>
      <c r="BD88" s="18">
        <v>-1.2558403967817724</v>
      </c>
      <c r="BE88" s="18">
        <v>0.67451236262225056</v>
      </c>
      <c r="BF88" s="18">
        <v>-0.60691356695724852</v>
      </c>
      <c r="BG88" s="18">
        <v>6.7281736007060361E-2</v>
      </c>
      <c r="BH88" s="18">
        <v>1.1430523081208426</v>
      </c>
      <c r="BI88" s="18">
        <v>0.6333028288422401</v>
      </c>
      <c r="BJ88" s="18">
        <v>0.11949732685039931</v>
      </c>
      <c r="BK88" s="18">
        <v>-1.4716044571254814</v>
      </c>
      <c r="BL88" s="18">
        <v>0.45014189610018507</v>
      </c>
      <c r="BM88" s="18">
        <v>1.130362159310828</v>
      </c>
      <c r="BN88" s="18">
        <v>-0.3310176119293699</v>
      </c>
      <c r="BO88" s="18">
        <v>-1.6640204503203604</v>
      </c>
      <c r="BP88" s="18">
        <v>4.754887035962132</v>
      </c>
      <c r="BQ88" s="18">
        <v>-2.128905985486429</v>
      </c>
      <c r="BR88" s="18">
        <v>0.68762168276051705</v>
      </c>
      <c r="BS88" s="18">
        <v>-1.154853134203262</v>
      </c>
      <c r="BT88" s="18">
        <v>-0.34476863133691199</v>
      </c>
      <c r="BU88" s="18">
        <v>-0.60829762544385102</v>
      </c>
      <c r="BV88" s="18">
        <v>0.15924547189356936</v>
      </c>
      <c r="BW88" s="18">
        <v>0.46760290801272214</v>
      </c>
      <c r="BX88" s="18">
        <v>-0.47500547335447185</v>
      </c>
      <c r="BY88" s="18">
        <v>0.7553195192201474</v>
      </c>
      <c r="BZ88" s="18">
        <v>-0.19101297439928847</v>
      </c>
      <c r="CA88" s="18">
        <v>8.0753764235220446E-2</v>
      </c>
      <c r="CB88" s="18">
        <v>-0.18068978938454994</v>
      </c>
      <c r="CC88" s="18">
        <v>-0.55534757141527713</v>
      </c>
      <c r="CD88" s="18">
        <v>1.0307711108416537</v>
      </c>
      <c r="CE88" s="18">
        <v>-1.124485992064139</v>
      </c>
      <c r="CF88" s="18">
        <v>-1.3398592105467004</v>
      </c>
      <c r="CG88" s="18">
        <v>0.95787947854158273</v>
      </c>
      <c r="CH88" s="18">
        <v>0.61829403156191209</v>
      </c>
      <c r="CI88" s="18">
        <v>-7.0622193181947499E-2</v>
      </c>
      <c r="CJ88" s="18">
        <v>-0.23304937502035059</v>
      </c>
      <c r="CK88" s="18">
        <v>0.17053571218684394</v>
      </c>
      <c r="CL88" s="18">
        <v>-1.4030920953875852</v>
      </c>
      <c r="CM88" s="18">
        <v>0.56339843417915336</v>
      </c>
      <c r="CN88" s="19">
        <v>0.19385685916057557</v>
      </c>
      <c r="CP88" s="23">
        <v>2.1805703464832615</v>
      </c>
    </row>
    <row r="89" spans="1:94" x14ac:dyDescent="0.2">
      <c r="A89" s="2" t="s">
        <v>132</v>
      </c>
      <c r="B89" s="2">
        <v>3</v>
      </c>
      <c r="C89" s="2">
        <v>4</v>
      </c>
      <c r="D89" s="2">
        <v>4</v>
      </c>
      <c r="E89" s="2">
        <v>4</v>
      </c>
      <c r="F89" s="2">
        <v>4</v>
      </c>
      <c r="G89" s="2">
        <v>4</v>
      </c>
      <c r="H89" s="2">
        <v>5</v>
      </c>
      <c r="I89" s="2">
        <v>4</v>
      </c>
      <c r="J89" s="2">
        <v>3</v>
      </c>
      <c r="K89" s="2">
        <v>4</v>
      </c>
      <c r="L89" s="2">
        <v>4</v>
      </c>
      <c r="M89" s="2">
        <v>5</v>
      </c>
      <c r="N89" s="2">
        <v>5</v>
      </c>
      <c r="O89" s="2">
        <v>4</v>
      </c>
      <c r="P89" s="2">
        <v>4</v>
      </c>
      <c r="Q89" s="2">
        <v>4</v>
      </c>
      <c r="R89" s="2">
        <v>5</v>
      </c>
      <c r="S89" s="2">
        <v>3</v>
      </c>
      <c r="T89" s="2">
        <v>5</v>
      </c>
      <c r="U89" s="2">
        <v>4</v>
      </c>
      <c r="V89" s="2">
        <v>3</v>
      </c>
      <c r="W89" s="2">
        <v>3</v>
      </c>
      <c r="X89" s="2">
        <v>4</v>
      </c>
      <c r="Y89" s="2">
        <v>4</v>
      </c>
      <c r="Z89" s="2">
        <v>5</v>
      </c>
      <c r="AA89" s="2">
        <v>4</v>
      </c>
      <c r="AB89" s="2">
        <v>4</v>
      </c>
      <c r="AC89" s="2">
        <v>5</v>
      </c>
      <c r="AD89" s="2">
        <v>4</v>
      </c>
      <c r="AE89" s="2">
        <v>4</v>
      </c>
      <c r="AF89" s="2">
        <v>4</v>
      </c>
      <c r="AG89" s="2">
        <v>4</v>
      </c>
      <c r="AH89" s="2">
        <v>4</v>
      </c>
      <c r="AI89" s="2">
        <v>4</v>
      </c>
      <c r="AJ89" s="2">
        <v>5</v>
      </c>
      <c r="AK89" s="2">
        <v>4</v>
      </c>
      <c r="AL89" s="2">
        <v>4</v>
      </c>
      <c r="AM89" s="2">
        <v>5</v>
      </c>
      <c r="AN89" s="2">
        <v>5</v>
      </c>
      <c r="AO89" s="2">
        <v>4</v>
      </c>
      <c r="AP89" s="2">
        <v>3</v>
      </c>
      <c r="AQ89" s="2">
        <v>3</v>
      </c>
      <c r="AR89" s="2">
        <v>3</v>
      </c>
      <c r="AS89" s="2">
        <v>5</v>
      </c>
      <c r="AT89" s="2"/>
      <c r="AU89" s="2"/>
      <c r="AV89" s="2" t="str">
        <v>21.Incomplete design drawings and specifications at tendering stage</v>
      </c>
      <c r="AW89" s="10">
        <v>-1.4036578470490757</v>
      </c>
      <c r="AX89" s="11">
        <v>1.120212920634962</v>
      </c>
      <c r="AY89" s="11">
        <v>-0.41173604095578331</v>
      </c>
      <c r="AZ89" s="18">
        <v>-6.3685268774782491E-2</v>
      </c>
      <c r="BA89" s="18">
        <v>-0.84732793034449905</v>
      </c>
      <c r="BB89" s="18">
        <v>0.64400300389294496</v>
      </c>
      <c r="BC89" s="18">
        <v>0.93531588939482535</v>
      </c>
      <c r="BD89" s="18">
        <v>1.7499717079544728</v>
      </c>
      <c r="BE89" s="18">
        <v>1.3098504197517933</v>
      </c>
      <c r="BF89" s="18">
        <v>0.11094805512691301</v>
      </c>
      <c r="BG89" s="18">
        <v>-2.6290295167859146</v>
      </c>
      <c r="BH89" s="18">
        <v>-1.109403404645112</v>
      </c>
      <c r="BI89" s="18">
        <v>-0.10470469958390281</v>
      </c>
      <c r="BJ89" s="18">
        <v>0.28031338417912333</v>
      </c>
      <c r="BK89" s="18">
        <v>0.63215473870165251</v>
      </c>
      <c r="BL89" s="18">
        <v>0.25219910197135648</v>
      </c>
      <c r="BM89" s="18">
        <v>-0.73559442011138154</v>
      </c>
      <c r="BN89" s="18">
        <v>1.800995915402124</v>
      </c>
      <c r="BO89" s="18">
        <v>-2.2875339573309277</v>
      </c>
      <c r="BP89" s="18">
        <v>-2.1289059854864312</v>
      </c>
      <c r="BQ89" s="18">
        <v>7.4933191312725551</v>
      </c>
      <c r="BR89" s="18">
        <v>-1.2632109050182512</v>
      </c>
      <c r="BS89" s="18">
        <v>-0.36646747797345397</v>
      </c>
      <c r="BT89" s="18">
        <v>2.3883935683839036E-2</v>
      </c>
      <c r="BU89" s="18">
        <v>1.0510236221470435</v>
      </c>
      <c r="BV89" s="18">
        <v>-0.46978217253912152</v>
      </c>
      <c r="BW89" s="18">
        <v>-1.6670102147092623</v>
      </c>
      <c r="BX89" s="18">
        <v>-0.99195181253645137</v>
      </c>
      <c r="BY89" s="18">
        <v>-0.41520931362967595</v>
      </c>
      <c r="BZ89" s="18">
        <v>-0.14287478663641459</v>
      </c>
      <c r="CA89" s="18">
        <v>0.22156228329483291</v>
      </c>
      <c r="CB89" s="18">
        <v>-1.5301093939062025</v>
      </c>
      <c r="CC89" s="18">
        <v>1.9570418587937237</v>
      </c>
      <c r="CD89" s="18">
        <v>-3.0276262082539191</v>
      </c>
      <c r="CE89" s="18">
        <v>2.7563210312081736</v>
      </c>
      <c r="CF89" s="18">
        <v>2.6149795171152403</v>
      </c>
      <c r="CG89" s="18">
        <v>-1.461496329248219</v>
      </c>
      <c r="CH89" s="18">
        <v>-1.047649283941265</v>
      </c>
      <c r="CI89" s="18">
        <v>-9.4167324469839941E-2</v>
      </c>
      <c r="CJ89" s="18">
        <v>-0.34885935303096893</v>
      </c>
      <c r="CK89" s="18">
        <v>0.54052249221645976</v>
      </c>
      <c r="CL89" s="18">
        <v>1.4784184756056944</v>
      </c>
      <c r="CM89" s="18">
        <v>-0.87847586996119209</v>
      </c>
      <c r="CN89" s="19">
        <v>0.19364644853568991</v>
      </c>
      <c r="CP89" s="23">
        <v>2.7373927616022797</v>
      </c>
    </row>
    <row r="90" spans="1:94" x14ac:dyDescent="0.2">
      <c r="A90" s="2" t="s">
        <v>133</v>
      </c>
      <c r="B90" s="2">
        <v>2</v>
      </c>
      <c r="C90" s="2">
        <v>2</v>
      </c>
      <c r="D90" s="2">
        <v>2</v>
      </c>
      <c r="E90" s="2">
        <v>3</v>
      </c>
      <c r="F90" s="2">
        <v>2</v>
      </c>
      <c r="G90" s="2">
        <v>4</v>
      </c>
      <c r="H90" s="2">
        <v>3</v>
      </c>
      <c r="I90" s="2">
        <v>3</v>
      </c>
      <c r="J90" s="2">
        <v>3</v>
      </c>
      <c r="K90" s="2">
        <v>3</v>
      </c>
      <c r="L90" s="2">
        <v>2</v>
      </c>
      <c r="M90" s="2">
        <v>3</v>
      </c>
      <c r="N90" s="2">
        <v>2</v>
      </c>
      <c r="O90" s="2">
        <v>4</v>
      </c>
      <c r="P90" s="2">
        <v>3</v>
      </c>
      <c r="Q90" s="2">
        <v>2</v>
      </c>
      <c r="R90" s="2">
        <v>1</v>
      </c>
      <c r="S90" s="2">
        <v>2</v>
      </c>
      <c r="T90" s="2">
        <v>4</v>
      </c>
      <c r="U90" s="2">
        <v>5</v>
      </c>
      <c r="V90" s="2">
        <v>5</v>
      </c>
      <c r="W90" s="2">
        <v>4</v>
      </c>
      <c r="X90" s="2">
        <v>4</v>
      </c>
      <c r="Y90" s="2">
        <v>5</v>
      </c>
      <c r="Z90" s="2">
        <v>4</v>
      </c>
      <c r="AA90" s="2">
        <v>5</v>
      </c>
      <c r="AB90" s="2">
        <v>5</v>
      </c>
      <c r="AC90" s="2">
        <v>5</v>
      </c>
      <c r="AD90" s="2">
        <v>4</v>
      </c>
      <c r="AE90" s="2">
        <v>4</v>
      </c>
      <c r="AF90" s="2">
        <v>2</v>
      </c>
      <c r="AG90" s="2">
        <v>2</v>
      </c>
      <c r="AH90" s="2">
        <v>3</v>
      </c>
      <c r="AI90" s="2">
        <v>1</v>
      </c>
      <c r="AJ90" s="2">
        <v>1</v>
      </c>
      <c r="AK90" s="2">
        <v>4</v>
      </c>
      <c r="AL90" s="2">
        <v>4</v>
      </c>
      <c r="AM90" s="2">
        <v>5</v>
      </c>
      <c r="AN90" s="2">
        <v>5</v>
      </c>
      <c r="AO90" s="2">
        <v>4</v>
      </c>
      <c r="AP90" s="2">
        <v>1</v>
      </c>
      <c r="AQ90" s="2">
        <v>1</v>
      </c>
      <c r="AR90" s="2">
        <v>1</v>
      </c>
      <c r="AS90" s="2">
        <v>4</v>
      </c>
      <c r="AT90" s="2"/>
      <c r="AU90" s="2"/>
      <c r="AV90" s="2" t="str">
        <v>22.Delay in preparation and approval of drawing</v>
      </c>
      <c r="AW90" s="10">
        <v>-0.17345884895266137</v>
      </c>
      <c r="AX90" s="11">
        <v>-0.52756919437663097</v>
      </c>
      <c r="AY90" s="11">
        <v>-0.34675729469643518</v>
      </c>
      <c r="AZ90" s="18">
        <v>0.42453894140039877</v>
      </c>
      <c r="BA90" s="18">
        <v>0.31772076170912511</v>
      </c>
      <c r="BB90" s="18">
        <v>1.7524576787496526E-2</v>
      </c>
      <c r="BC90" s="18">
        <v>-0.37731798007075851</v>
      </c>
      <c r="BD90" s="18">
        <v>0.38128263076826152</v>
      </c>
      <c r="BE90" s="18">
        <v>-0.68546780064365942</v>
      </c>
      <c r="BF90" s="18">
        <v>0.37365431960337281</v>
      </c>
      <c r="BG90" s="18">
        <v>1.5394074741039756</v>
      </c>
      <c r="BH90" s="18">
        <v>-1.2040428724997891</v>
      </c>
      <c r="BI90" s="18">
        <v>0.50830537543112431</v>
      </c>
      <c r="BJ90" s="18">
        <v>-0.8149199441269982</v>
      </c>
      <c r="BK90" s="18">
        <v>0.14212548826756111</v>
      </c>
      <c r="BL90" s="18">
        <v>0.26729432439913298</v>
      </c>
      <c r="BM90" s="18">
        <v>-0.18783139056307044</v>
      </c>
      <c r="BN90" s="18">
        <v>-0.84224613570120832</v>
      </c>
      <c r="BO90" s="18">
        <v>0.14596907771695958</v>
      </c>
      <c r="BP90" s="18">
        <v>0.68762168276051827</v>
      </c>
      <c r="BQ90" s="18">
        <v>-1.2632109050182505</v>
      </c>
      <c r="BR90" s="18">
        <v>3.5191803789627389</v>
      </c>
      <c r="BS90" s="18">
        <v>-1.0574484088745106</v>
      </c>
      <c r="BT90" s="18">
        <v>0.34552318317835501</v>
      </c>
      <c r="BU90" s="18">
        <v>-0.98276799435672557</v>
      </c>
      <c r="BV90" s="18">
        <v>-0.51305894356784276</v>
      </c>
      <c r="BW90" s="18">
        <v>0.19719011337176004</v>
      </c>
      <c r="BX90" s="18">
        <v>-6.0184619525536047E-2</v>
      </c>
      <c r="BY90" s="18">
        <v>0.62345727190644828</v>
      </c>
      <c r="BZ90" s="18">
        <v>-0.69768551852439364</v>
      </c>
      <c r="CA90" s="18">
        <v>0.77049050187355106</v>
      </c>
      <c r="CB90" s="18">
        <v>2.1791700141134993E-2</v>
      </c>
      <c r="CC90" s="18">
        <v>-0.48363246623829542</v>
      </c>
      <c r="CD90" s="18">
        <v>0.48777120871512752</v>
      </c>
      <c r="CE90" s="18">
        <v>-0.98807731281172728</v>
      </c>
      <c r="CF90" s="18">
        <v>0.44590156713408446</v>
      </c>
      <c r="CG90" s="18">
        <v>0.45744019018115517</v>
      </c>
      <c r="CH90" s="18">
        <v>-0.27405373655011517</v>
      </c>
      <c r="CI90" s="18">
        <v>0.59077652267734582</v>
      </c>
      <c r="CJ90" s="18">
        <v>-0.7913947818768452</v>
      </c>
      <c r="CK90" s="18">
        <v>-2.8089848877397666E-2</v>
      </c>
      <c r="CL90" s="18">
        <v>-0.92551797592758123</v>
      </c>
      <c r="CM90" s="18">
        <v>1.056951464398139</v>
      </c>
      <c r="CN90" s="19">
        <v>-0.41579236729169805</v>
      </c>
      <c r="CP90" s="23">
        <v>1.8759478614723648</v>
      </c>
    </row>
    <row r="91" spans="1:94" x14ac:dyDescent="0.2">
      <c r="A91" s="2" t="s">
        <v>134</v>
      </c>
      <c r="B91" s="2">
        <v>4</v>
      </c>
      <c r="C91" s="2">
        <v>4</v>
      </c>
      <c r="D91" s="2">
        <v>1</v>
      </c>
      <c r="E91" s="2">
        <v>3</v>
      </c>
      <c r="F91" s="2">
        <v>3</v>
      </c>
      <c r="G91" s="2">
        <v>4</v>
      </c>
      <c r="H91" s="2">
        <v>4</v>
      </c>
      <c r="I91" s="2">
        <v>5</v>
      </c>
      <c r="J91" s="2">
        <v>4</v>
      </c>
      <c r="K91" s="2">
        <v>5</v>
      </c>
      <c r="L91" s="2">
        <v>3</v>
      </c>
      <c r="M91" s="2">
        <v>5</v>
      </c>
      <c r="N91" s="2">
        <v>5</v>
      </c>
      <c r="O91" s="2">
        <v>3</v>
      </c>
      <c r="P91" s="2">
        <v>5</v>
      </c>
      <c r="Q91" s="2">
        <v>3</v>
      </c>
      <c r="R91" s="2">
        <v>4</v>
      </c>
      <c r="S91" s="2">
        <v>2</v>
      </c>
      <c r="T91" s="2">
        <v>5</v>
      </c>
      <c r="U91" s="2">
        <v>5</v>
      </c>
      <c r="V91" s="2">
        <v>4</v>
      </c>
      <c r="W91" s="2">
        <v>5</v>
      </c>
      <c r="X91" s="2">
        <v>4</v>
      </c>
      <c r="Y91" s="2">
        <v>3</v>
      </c>
      <c r="Z91" s="2">
        <v>5</v>
      </c>
      <c r="AA91" s="2">
        <v>3</v>
      </c>
      <c r="AB91" s="2">
        <v>5</v>
      </c>
      <c r="AC91" s="2">
        <v>3</v>
      </c>
      <c r="AD91" s="2">
        <v>4</v>
      </c>
      <c r="AE91" s="2">
        <v>4</v>
      </c>
      <c r="AF91" s="2">
        <v>3</v>
      </c>
      <c r="AG91" s="2">
        <v>4</v>
      </c>
      <c r="AH91" s="2">
        <v>5</v>
      </c>
      <c r="AI91" s="2">
        <v>5</v>
      </c>
      <c r="AJ91" s="2">
        <v>5</v>
      </c>
      <c r="AK91" s="2">
        <v>3</v>
      </c>
      <c r="AL91" s="2">
        <v>2</v>
      </c>
      <c r="AM91" s="2">
        <v>5</v>
      </c>
      <c r="AN91" s="2">
        <v>5</v>
      </c>
      <c r="AO91" s="2">
        <v>5</v>
      </c>
      <c r="AP91" s="2">
        <v>4</v>
      </c>
      <c r="AQ91" s="2">
        <v>3</v>
      </c>
      <c r="AR91" s="2">
        <v>3</v>
      </c>
      <c r="AS91" s="2">
        <v>4</v>
      </c>
      <c r="AT91" s="2"/>
      <c r="AU91" s="2"/>
      <c r="AV91" s="2" t="str">
        <v>23.Inaccurate quantity take-off</v>
      </c>
      <c r="AW91" s="10">
        <v>1.5139225978958715</v>
      </c>
      <c r="AX91" s="11">
        <v>-0.35003382346139372</v>
      </c>
      <c r="AY91" s="11">
        <v>0.89006604025408498</v>
      </c>
      <c r="AZ91" s="18">
        <v>-1.043954959558882</v>
      </c>
      <c r="BA91" s="18">
        <v>-0.38479575285514367</v>
      </c>
      <c r="BB91" s="18">
        <v>-0.41503049814025339</v>
      </c>
      <c r="BC91" s="18">
        <v>0.72323553530877205</v>
      </c>
      <c r="BD91" s="18">
        <v>1.1991063625354701</v>
      </c>
      <c r="BE91" s="18">
        <v>-1.5408565092807249</v>
      </c>
      <c r="BF91" s="18">
        <v>-0.42939440718587174</v>
      </c>
      <c r="BG91" s="18">
        <v>0.68849293108677057</v>
      </c>
      <c r="BH91" s="18">
        <v>-5.8016531169667575E-2</v>
      </c>
      <c r="BI91" s="18">
        <v>-9.378243957002054E-2</v>
      </c>
      <c r="BJ91" s="18">
        <v>0.38898178724512139</v>
      </c>
      <c r="BK91" s="18">
        <v>0.39179225777991072</v>
      </c>
      <c r="BL91" s="18">
        <v>-7.8648670866137041E-2</v>
      </c>
      <c r="BM91" s="18">
        <v>-0.92641852660775337</v>
      </c>
      <c r="BN91" s="18">
        <v>-2.2336606552599798E-2</v>
      </c>
      <c r="BO91" s="18">
        <v>0.62968839630485929</v>
      </c>
      <c r="BP91" s="18">
        <v>-1.1548531342032602</v>
      </c>
      <c r="BQ91" s="18">
        <v>-0.3664674779734538</v>
      </c>
      <c r="BR91" s="18">
        <v>-1.0574484088745093</v>
      </c>
      <c r="BS91" s="18">
        <v>4.2038845776918707</v>
      </c>
      <c r="BT91" s="18">
        <v>-0.47484410236783103</v>
      </c>
      <c r="BU91" s="18">
        <v>-0.73089744505694532</v>
      </c>
      <c r="BV91" s="18">
        <v>-0.79421358622118732</v>
      </c>
      <c r="BW91" s="18">
        <v>0.45596649321031907</v>
      </c>
      <c r="BX91" s="18">
        <v>0.71662313366215535</v>
      </c>
      <c r="BY91" s="18">
        <v>-0.75968609812491505</v>
      </c>
      <c r="BZ91" s="18">
        <v>0.32513186019553425</v>
      </c>
      <c r="CA91" s="18">
        <v>-0.65245188089933692</v>
      </c>
      <c r="CB91" s="18">
        <v>5.5026268476655676E-2</v>
      </c>
      <c r="CC91" s="18">
        <v>0.18007641563298835</v>
      </c>
      <c r="CD91" s="18">
        <v>0.33469984522814633</v>
      </c>
      <c r="CE91" s="18">
        <v>0.62563934884558758</v>
      </c>
      <c r="CF91" s="18">
        <v>-0.22901519346018981</v>
      </c>
      <c r="CG91" s="18">
        <v>-0.39957641316361586</v>
      </c>
      <c r="CH91" s="18">
        <v>0.60399755263962962</v>
      </c>
      <c r="CI91" s="18">
        <v>-0.35953457127047123</v>
      </c>
      <c r="CJ91" s="18">
        <v>0.3545670802909287</v>
      </c>
      <c r="CK91" s="18">
        <v>-1.1268311962066382</v>
      </c>
      <c r="CL91" s="18">
        <v>3.1995649191562024E-2</v>
      </c>
      <c r="CM91" s="18">
        <v>-0.65638915427572264</v>
      </c>
      <c r="CN91" s="19">
        <v>0.35720100668187749</v>
      </c>
      <c r="CP91" s="23">
        <v>2.0503376740653891</v>
      </c>
    </row>
    <row r="92" spans="1:94" x14ac:dyDescent="0.2">
      <c r="A92" s="2" t="s">
        <v>135</v>
      </c>
      <c r="B92" s="2">
        <v>3</v>
      </c>
      <c r="C92" s="2">
        <v>3</v>
      </c>
      <c r="D92" s="2">
        <v>4</v>
      </c>
      <c r="E92" s="2">
        <v>3</v>
      </c>
      <c r="F92" s="2">
        <v>2</v>
      </c>
      <c r="G92" s="2">
        <v>4</v>
      </c>
      <c r="H92" s="2">
        <v>4</v>
      </c>
      <c r="I92" s="2">
        <v>3</v>
      </c>
      <c r="J92" s="2">
        <v>3</v>
      </c>
      <c r="K92" s="2">
        <v>4</v>
      </c>
      <c r="L92" s="2">
        <v>4</v>
      </c>
      <c r="M92" s="2">
        <v>4</v>
      </c>
      <c r="N92" s="2">
        <v>4</v>
      </c>
      <c r="O92" s="2">
        <v>4</v>
      </c>
      <c r="P92" s="2">
        <v>5</v>
      </c>
      <c r="Q92" s="2">
        <v>3</v>
      </c>
      <c r="R92" s="2">
        <v>5</v>
      </c>
      <c r="S92" s="2">
        <v>2</v>
      </c>
      <c r="T92" s="2">
        <v>4</v>
      </c>
      <c r="U92" s="2">
        <v>3</v>
      </c>
      <c r="V92" s="2">
        <v>3</v>
      </c>
      <c r="W92" s="2">
        <v>4</v>
      </c>
      <c r="X92" s="2">
        <v>4</v>
      </c>
      <c r="Y92" s="2">
        <v>5</v>
      </c>
      <c r="Z92" s="2">
        <v>4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4</v>
      </c>
      <c r="AG92" s="2">
        <v>4</v>
      </c>
      <c r="AH92" s="2">
        <v>5</v>
      </c>
      <c r="AI92" s="2">
        <v>4</v>
      </c>
      <c r="AJ92" s="2">
        <v>4</v>
      </c>
      <c r="AK92" s="2">
        <v>5</v>
      </c>
      <c r="AL92" s="2">
        <v>5</v>
      </c>
      <c r="AM92" s="2">
        <v>4</v>
      </c>
      <c r="AN92" s="2">
        <v>2</v>
      </c>
      <c r="AO92" s="2">
        <v>5</v>
      </c>
      <c r="AP92" s="2">
        <v>5</v>
      </c>
      <c r="AQ92" s="2">
        <v>2</v>
      </c>
      <c r="AR92" s="2">
        <v>3</v>
      </c>
      <c r="AS92" s="2">
        <v>4</v>
      </c>
      <c r="AT92" s="2"/>
      <c r="AU92" s="2"/>
      <c r="AV92" s="2" t="str">
        <v>24.Long period from planning of project to construction</v>
      </c>
      <c r="AW92" s="10">
        <v>-0.37904033432951445</v>
      </c>
      <c r="AX92" s="11">
        <v>0.44505787942809466</v>
      </c>
      <c r="AY92" s="11">
        <v>-0.40871582104160786</v>
      </c>
      <c r="AZ92" s="18">
        <v>5.6572590615627825E-2</v>
      </c>
      <c r="BA92" s="18">
        <v>0.54055907181326146</v>
      </c>
      <c r="BB92" s="18">
        <v>0.63081736681109646</v>
      </c>
      <c r="BC92" s="18">
        <v>0.31936075051197116</v>
      </c>
      <c r="BD92" s="18">
        <v>0.2557857692874162</v>
      </c>
      <c r="BE92" s="18">
        <v>-0.6027378385607961</v>
      </c>
      <c r="BF92" s="18">
        <v>0.63841951527437157</v>
      </c>
      <c r="BG92" s="18">
        <v>-0.35613083981227583</v>
      </c>
      <c r="BH92" s="18">
        <v>-0.14726690842829837</v>
      </c>
      <c r="BI92" s="18">
        <v>-0.17532954057216485</v>
      </c>
      <c r="BJ92" s="18">
        <v>-0.60834584367589672</v>
      </c>
      <c r="BK92" s="18">
        <v>0.50870125019833745</v>
      </c>
      <c r="BL92" s="18">
        <v>1.1054354049895423E-2</v>
      </c>
      <c r="BM92" s="18">
        <v>-0.9519463173053373</v>
      </c>
      <c r="BN92" s="18">
        <v>3.3606696223580689E-3</v>
      </c>
      <c r="BO92" s="18">
        <v>-0.13413191189830204</v>
      </c>
      <c r="BP92" s="18">
        <v>-0.3447686313369111</v>
      </c>
      <c r="BQ92" s="18">
        <v>2.3883935683838634E-2</v>
      </c>
      <c r="BR92" s="18">
        <v>0.34552318317835484</v>
      </c>
      <c r="BS92" s="18">
        <v>-0.4748441023678312</v>
      </c>
      <c r="BT92" s="18">
        <v>2.1638606316688587</v>
      </c>
      <c r="BU92" s="18">
        <v>-0.87277416619788728</v>
      </c>
      <c r="BV92" s="18">
        <v>-0.13380354156501767</v>
      </c>
      <c r="BW92" s="18">
        <v>0.10044501356710193</v>
      </c>
      <c r="BX92" s="18">
        <v>0.45917361185802352</v>
      </c>
      <c r="BY92" s="18">
        <v>-0.3174673555186121</v>
      </c>
      <c r="BZ92" s="18">
        <v>0.11712274672220591</v>
      </c>
      <c r="CA92" s="18">
        <v>0.13116686180241416</v>
      </c>
      <c r="CB92" s="18">
        <v>0.42044599913729563</v>
      </c>
      <c r="CC92" s="18">
        <v>-0.48632102216854861</v>
      </c>
      <c r="CD92" s="18">
        <v>0.61157383451512526</v>
      </c>
      <c r="CE92" s="18">
        <v>-0.36931282078580885</v>
      </c>
      <c r="CF92" s="18">
        <v>-0.34195675659184305</v>
      </c>
      <c r="CG92" s="18">
        <v>0.1028644781532035</v>
      </c>
      <c r="CH92" s="18">
        <v>-0.33497401392194037</v>
      </c>
      <c r="CI92" s="18">
        <v>-0.21229799752599821</v>
      </c>
      <c r="CJ92" s="18">
        <v>0.15820548088594838</v>
      </c>
      <c r="CK92" s="18">
        <v>0.17996272437639585</v>
      </c>
      <c r="CL92" s="18">
        <v>-0.1858948325340955</v>
      </c>
      <c r="CM92" s="18">
        <v>-0.23105916095468038</v>
      </c>
      <c r="CN92" s="19">
        <v>0.12948682717135995</v>
      </c>
      <c r="CP92" s="23">
        <v>1.4710066728838651</v>
      </c>
    </row>
    <row r="93" spans="1:94" x14ac:dyDescent="0.2">
      <c r="A93" s="2" t="s">
        <v>136</v>
      </c>
      <c r="B93" s="2">
        <v>4</v>
      </c>
      <c r="C93" s="2">
        <v>3</v>
      </c>
      <c r="D93" s="2">
        <v>3</v>
      </c>
      <c r="E93" s="2">
        <v>3</v>
      </c>
      <c r="F93" s="2">
        <v>3</v>
      </c>
      <c r="G93" s="2">
        <v>4</v>
      </c>
      <c r="H93" s="2">
        <v>4</v>
      </c>
      <c r="I93" s="2">
        <v>4</v>
      </c>
      <c r="J93" s="2">
        <v>3</v>
      </c>
      <c r="K93" s="2">
        <v>3</v>
      </c>
      <c r="L93" s="2">
        <v>4</v>
      </c>
      <c r="M93" s="2">
        <v>3</v>
      </c>
      <c r="N93" s="2">
        <v>4</v>
      </c>
      <c r="O93" s="2">
        <v>5</v>
      </c>
      <c r="P93" s="2">
        <v>5</v>
      </c>
      <c r="Q93" s="2">
        <v>5</v>
      </c>
      <c r="R93" s="2">
        <v>5</v>
      </c>
      <c r="S93" s="2">
        <v>3</v>
      </c>
      <c r="T93" s="2">
        <v>3</v>
      </c>
      <c r="U93" s="2">
        <v>3</v>
      </c>
      <c r="V93" s="2">
        <v>3</v>
      </c>
      <c r="W93" s="2">
        <v>4</v>
      </c>
      <c r="X93" s="2">
        <v>3</v>
      </c>
      <c r="Y93" s="2">
        <v>3</v>
      </c>
      <c r="Z93" s="2">
        <v>4</v>
      </c>
      <c r="AA93" s="2">
        <v>3</v>
      </c>
      <c r="AB93" s="2">
        <v>3</v>
      </c>
      <c r="AC93" s="2">
        <v>5</v>
      </c>
      <c r="AD93" s="2">
        <v>5</v>
      </c>
      <c r="AE93" s="2">
        <v>5</v>
      </c>
      <c r="AF93" s="2">
        <v>4</v>
      </c>
      <c r="AG93" s="2">
        <v>4</v>
      </c>
      <c r="AH93" s="2">
        <v>4</v>
      </c>
      <c r="AI93" s="2">
        <v>4</v>
      </c>
      <c r="AJ93" s="2">
        <v>4</v>
      </c>
      <c r="AK93" s="2">
        <v>4</v>
      </c>
      <c r="AL93" s="2">
        <v>3</v>
      </c>
      <c r="AM93" s="2">
        <v>3</v>
      </c>
      <c r="AN93" s="2">
        <v>3</v>
      </c>
      <c r="AO93" s="2">
        <v>3</v>
      </c>
      <c r="AP93" s="2">
        <v>3</v>
      </c>
      <c r="AQ93" s="2">
        <v>2</v>
      </c>
      <c r="AR93" s="2">
        <v>2</v>
      </c>
      <c r="AS93" s="2">
        <v>3</v>
      </c>
      <c r="AT93" s="2"/>
      <c r="AU93" s="2"/>
      <c r="AV93" s="2" t="str">
        <v>25.Delays in issuing information to the contractor during construction stage</v>
      </c>
      <c r="AW93" s="10">
        <v>-0.93235603422391644</v>
      </c>
      <c r="AX93" s="11">
        <v>0.21515054294089406</v>
      </c>
      <c r="AY93" s="11">
        <v>0.47165411403964491</v>
      </c>
      <c r="AZ93" s="18">
        <v>0.15113628341421242</v>
      </c>
      <c r="BA93" s="18">
        <v>-0.49883590550090184</v>
      </c>
      <c r="BB93" s="18">
        <v>-6.3165998562302013E-3</v>
      </c>
      <c r="BC93" s="18">
        <v>-0.83816272684567361</v>
      </c>
      <c r="BD93" s="18">
        <v>-0.8221410824093055</v>
      </c>
      <c r="BE93" s="18">
        <v>1.3153632813690932</v>
      </c>
      <c r="BF93" s="18">
        <v>0.3462463321408577</v>
      </c>
      <c r="BG93" s="18">
        <v>-0.45289564221508749</v>
      </c>
      <c r="BH93" s="18">
        <v>0.62448201709035267</v>
      </c>
      <c r="BI93" s="18">
        <v>-0.99737726527829762</v>
      </c>
      <c r="BJ93" s="18">
        <v>0.60775682079115878</v>
      </c>
      <c r="BK93" s="18">
        <v>-0.49950294415180535</v>
      </c>
      <c r="BL93" s="18">
        <v>-0.39944784616364104</v>
      </c>
      <c r="BM93" s="18">
        <v>0.62150911930497754</v>
      </c>
      <c r="BN93" s="18">
        <v>0.6747639794739112</v>
      </c>
      <c r="BO93" s="18">
        <v>-0.57620467254360719</v>
      </c>
      <c r="BP93" s="18">
        <v>-0.60829762544385302</v>
      </c>
      <c r="BQ93" s="18">
        <v>1.0510236221470408</v>
      </c>
      <c r="BR93" s="18">
        <v>-0.98276799435672624</v>
      </c>
      <c r="BS93" s="18">
        <v>-0.73089744505694254</v>
      </c>
      <c r="BT93" s="18">
        <v>-0.87277416619788795</v>
      </c>
      <c r="BU93" s="18">
        <v>4.0507274359967127</v>
      </c>
      <c r="BV93" s="18">
        <v>6.2972512720698398E-2</v>
      </c>
      <c r="BW93" s="18">
        <v>-1.2221722717015122</v>
      </c>
      <c r="BX93" s="18">
        <v>0.1415883254695951</v>
      </c>
      <c r="BY93" s="18">
        <v>-0.97214483018108233</v>
      </c>
      <c r="BZ93" s="18">
        <v>0.2518755741260385</v>
      </c>
      <c r="CA93" s="18">
        <v>-0.70565563188549885</v>
      </c>
      <c r="CB93" s="18">
        <v>-1.3741819316114715E-2</v>
      </c>
      <c r="CC93" s="18">
        <v>0.32936485944082494</v>
      </c>
      <c r="CD93" s="18">
        <v>-0.93967697508717407</v>
      </c>
      <c r="CE93" s="18">
        <v>0.95892299793429403</v>
      </c>
      <c r="CF93" s="18">
        <v>0.37809590586635577</v>
      </c>
      <c r="CG93" s="18">
        <v>-0.30386585722073273</v>
      </c>
      <c r="CH93" s="18">
        <v>8.5866246351992428E-2</v>
      </c>
      <c r="CI93" s="18">
        <v>0.44184376436994754</v>
      </c>
      <c r="CJ93" s="18">
        <v>0.16936853216575051</v>
      </c>
      <c r="CK93" s="18">
        <v>0.60581501143673977</v>
      </c>
      <c r="CL93" s="18">
        <v>-3.6645635304468106E-2</v>
      </c>
      <c r="CM93" s="18">
        <v>4.4160378264465706E-2</v>
      </c>
      <c r="CN93" s="19">
        <v>9.0740095287511591E-2</v>
      </c>
      <c r="CP93" s="23">
        <v>2.012641904561443</v>
      </c>
    </row>
    <row r="94" spans="1:94" x14ac:dyDescent="0.2">
      <c r="A94" s="2" t="s">
        <v>137</v>
      </c>
      <c r="B94" s="2">
        <v>5</v>
      </c>
      <c r="C94" s="2">
        <v>4</v>
      </c>
      <c r="D94" s="2">
        <v>3</v>
      </c>
      <c r="E94" s="2">
        <v>5</v>
      </c>
      <c r="F94" s="2">
        <v>3</v>
      </c>
      <c r="G94" s="2">
        <v>4</v>
      </c>
      <c r="H94" s="2">
        <v>4</v>
      </c>
      <c r="I94" s="2">
        <v>4</v>
      </c>
      <c r="J94" s="2">
        <v>3</v>
      </c>
      <c r="K94" s="2">
        <v>3</v>
      </c>
      <c r="L94" s="2">
        <v>5</v>
      </c>
      <c r="M94" s="2">
        <v>4</v>
      </c>
      <c r="N94" s="2">
        <v>4</v>
      </c>
      <c r="O94" s="2">
        <v>3</v>
      </c>
      <c r="P94" s="2">
        <v>3</v>
      </c>
      <c r="Q94" s="2">
        <v>4</v>
      </c>
      <c r="R94" s="2">
        <v>4</v>
      </c>
      <c r="S94" s="2">
        <v>3</v>
      </c>
      <c r="T94" s="2">
        <v>3</v>
      </c>
      <c r="U94" s="2">
        <v>2</v>
      </c>
      <c r="V94" s="2">
        <v>3</v>
      </c>
      <c r="W94" s="2">
        <v>2</v>
      </c>
      <c r="X94" s="2">
        <v>3</v>
      </c>
      <c r="Y94" s="2">
        <v>3</v>
      </c>
      <c r="Z94" s="2">
        <v>3</v>
      </c>
      <c r="AA94" s="2">
        <v>3</v>
      </c>
      <c r="AB94" s="2">
        <v>3</v>
      </c>
      <c r="AC94" s="2">
        <v>1</v>
      </c>
      <c r="AD94" s="2">
        <v>1</v>
      </c>
      <c r="AE94" s="2">
        <v>4</v>
      </c>
      <c r="AF94" s="2">
        <v>2</v>
      </c>
      <c r="AG94" s="2">
        <v>2</v>
      </c>
      <c r="AH94" s="2">
        <v>5</v>
      </c>
      <c r="AI94" s="2">
        <v>5</v>
      </c>
      <c r="AJ94" s="2">
        <v>3</v>
      </c>
      <c r="AK94" s="2">
        <v>3</v>
      </c>
      <c r="AL94" s="2">
        <v>2</v>
      </c>
      <c r="AM94" s="2">
        <v>3</v>
      </c>
      <c r="AN94" s="2">
        <v>4</v>
      </c>
      <c r="AO94" s="2">
        <v>3</v>
      </c>
      <c r="AP94" s="2">
        <v>3</v>
      </c>
      <c r="AQ94" s="2">
        <v>2</v>
      </c>
      <c r="AR94" s="2">
        <v>5</v>
      </c>
      <c r="AS94" s="2">
        <v>1</v>
      </c>
      <c r="AT94" s="2"/>
      <c r="AU94" s="2"/>
      <c r="AV94" s="2" t="str">
        <v>26.No practical use of earned value management system</v>
      </c>
      <c r="AW94" s="10">
        <v>-0.35732479934921602</v>
      </c>
      <c r="AX94" s="11">
        <v>0.90878918173124346</v>
      </c>
      <c r="AY94" s="11">
        <v>-0.79731739321207018</v>
      </c>
      <c r="AZ94" s="18">
        <v>0.33250957896398076</v>
      </c>
      <c r="BA94" s="18">
        <v>-1.1302753616508356</v>
      </c>
      <c r="BB94" s="18">
        <v>1.0912418553668013</v>
      </c>
      <c r="BC94" s="18">
        <v>-1.181492094592375</v>
      </c>
      <c r="BD94" s="18">
        <v>-2.1354785018918605</v>
      </c>
      <c r="BE94" s="18">
        <v>1.1886254251550219</v>
      </c>
      <c r="BF94" s="18">
        <v>0.35708073171256083</v>
      </c>
      <c r="BG94" s="18">
        <v>-0.28158647613875343</v>
      </c>
      <c r="BH94" s="18">
        <v>-0.15832325205017531</v>
      </c>
      <c r="BI94" s="18">
        <v>1.1105035684238704</v>
      </c>
      <c r="BJ94" s="18">
        <v>1.385027251656078</v>
      </c>
      <c r="BK94" s="18">
        <v>-0.7803442097602461</v>
      </c>
      <c r="BL94" s="18">
        <v>-0.59918797755222597</v>
      </c>
      <c r="BM94" s="18">
        <v>0.33883804321507283</v>
      </c>
      <c r="BN94" s="18">
        <v>-1.1532030066570194</v>
      </c>
      <c r="BO94" s="18">
        <v>0.24721657216355661</v>
      </c>
      <c r="BP94" s="18">
        <v>0.15924547189357038</v>
      </c>
      <c r="BQ94" s="18">
        <v>-0.46978217253912502</v>
      </c>
      <c r="BR94" s="18">
        <v>-0.5130589435678421</v>
      </c>
      <c r="BS94" s="18">
        <v>-0.79421358622118843</v>
      </c>
      <c r="BT94" s="18">
        <v>-0.13380354156501703</v>
      </c>
      <c r="BU94" s="18">
        <v>6.2972512720699134E-2</v>
      </c>
      <c r="BV94" s="18">
        <v>4.6341450284129193</v>
      </c>
      <c r="BW94" s="18">
        <v>-2.0414721202339918</v>
      </c>
      <c r="BX94" s="18">
        <v>-0.47117157156411388</v>
      </c>
      <c r="BY94" s="18">
        <v>1.0004589033520404</v>
      </c>
      <c r="BZ94" s="18">
        <v>-0.24726722063467879</v>
      </c>
      <c r="CA94" s="18">
        <v>-1.0918572430866511</v>
      </c>
      <c r="CB94" s="18">
        <v>0.48312153983547551</v>
      </c>
      <c r="CC94" s="18">
        <v>0.93296080846346285</v>
      </c>
      <c r="CD94" s="18">
        <v>0.35673768312864423</v>
      </c>
      <c r="CE94" s="18">
        <v>-1.2438531258391574</v>
      </c>
      <c r="CF94" s="18">
        <v>-0.74355010935178523</v>
      </c>
      <c r="CG94" s="18">
        <v>-0.14112360408043298</v>
      </c>
      <c r="CH94" s="18">
        <v>-0.19840303404291881</v>
      </c>
      <c r="CI94" s="18">
        <v>0.8253793762933358</v>
      </c>
      <c r="CJ94" s="18">
        <v>-0.502948657653433</v>
      </c>
      <c r="CK94" s="18">
        <v>0.66610979336385712</v>
      </c>
      <c r="CL94" s="18">
        <v>1.7263919307390232</v>
      </c>
      <c r="CM94" s="18">
        <v>-0.23788522067404519</v>
      </c>
      <c r="CN94" s="19">
        <v>-0.13388813724862117</v>
      </c>
      <c r="CP94" s="23">
        <v>2.152706442693225</v>
      </c>
    </row>
    <row r="95" spans="1:94" x14ac:dyDescent="0.2">
      <c r="A95" s="2" t="s">
        <v>138</v>
      </c>
      <c r="B95" s="2">
        <v>4</v>
      </c>
      <c r="C95" s="2">
        <v>2</v>
      </c>
      <c r="D95" s="2">
        <v>1</v>
      </c>
      <c r="E95" s="2">
        <v>2</v>
      </c>
      <c r="F95" s="2">
        <v>3</v>
      </c>
      <c r="G95" s="2">
        <v>2</v>
      </c>
      <c r="H95" s="2">
        <v>4</v>
      </c>
      <c r="I95" s="2">
        <v>1</v>
      </c>
      <c r="J95" s="2">
        <v>5</v>
      </c>
      <c r="K95" s="2">
        <v>2</v>
      </c>
      <c r="L95" s="2">
        <v>3</v>
      </c>
      <c r="M95" s="2">
        <v>3</v>
      </c>
      <c r="N95" s="2">
        <v>2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3</v>
      </c>
      <c r="U95" s="2">
        <v>4</v>
      </c>
      <c r="V95" s="2">
        <v>4</v>
      </c>
      <c r="W95" s="2">
        <v>5</v>
      </c>
      <c r="X95" s="2">
        <v>4</v>
      </c>
      <c r="Y95" s="2">
        <v>2</v>
      </c>
      <c r="Z95" s="2">
        <v>3</v>
      </c>
      <c r="AA95" s="2">
        <v>4</v>
      </c>
      <c r="AB95" s="2">
        <v>5</v>
      </c>
      <c r="AC95" s="2">
        <v>4</v>
      </c>
      <c r="AD95" s="2">
        <v>2</v>
      </c>
      <c r="AE95" s="2">
        <v>4</v>
      </c>
      <c r="AF95" s="2">
        <v>3</v>
      </c>
      <c r="AG95" s="2">
        <v>5</v>
      </c>
      <c r="AH95" s="2">
        <v>2</v>
      </c>
      <c r="AI95" s="2">
        <v>2</v>
      </c>
      <c r="AJ95" s="2">
        <v>4</v>
      </c>
      <c r="AK95" s="2">
        <v>5</v>
      </c>
      <c r="AL95" s="2">
        <v>3</v>
      </c>
      <c r="AM95" s="2">
        <v>4</v>
      </c>
      <c r="AN95" s="2">
        <v>3</v>
      </c>
      <c r="AO95" s="2">
        <v>5</v>
      </c>
      <c r="AP95" s="2">
        <v>4</v>
      </c>
      <c r="AQ95" s="2">
        <v>4</v>
      </c>
      <c r="AR95" s="2">
        <v>5</v>
      </c>
      <c r="AS95" s="2">
        <v>4</v>
      </c>
      <c r="AT95" s="2"/>
      <c r="AU95" s="2"/>
      <c r="AV95" s="2" t="str">
        <v>27.Lack of cost planning/monitoring during pre and post contract stage</v>
      </c>
      <c r="AW95" s="10">
        <v>0.65551907918055985</v>
      </c>
      <c r="AX95" s="11">
        <v>-0.71254288518129427</v>
      </c>
      <c r="AY95" s="11">
        <v>0.63418435183436173</v>
      </c>
      <c r="AZ95" s="18">
        <v>-0.52334780322196217</v>
      </c>
      <c r="BA95" s="18">
        <v>0.73970473052114893</v>
      </c>
      <c r="BB95" s="18">
        <v>-1.4014390966823742</v>
      </c>
      <c r="BC95" s="18">
        <v>0.89227930268361233</v>
      </c>
      <c r="BD95" s="18">
        <v>2.1952070826430354</v>
      </c>
      <c r="BE95" s="18">
        <v>-1.542620820394933</v>
      </c>
      <c r="BF95" s="18">
        <v>-1.3548438817025221</v>
      </c>
      <c r="BG95" s="18">
        <v>0.56881800600378629</v>
      </c>
      <c r="BH95" s="18">
        <v>0.70573811426482769</v>
      </c>
      <c r="BI95" s="18">
        <v>-1.0289623773050951</v>
      </c>
      <c r="BJ95" s="18">
        <v>-0.56971686368707142</v>
      </c>
      <c r="BK95" s="18">
        <v>-0.16637239526216213</v>
      </c>
      <c r="BL95" s="18">
        <v>0.7926688855345384</v>
      </c>
      <c r="BM95" s="18">
        <v>-0.19666733222628321</v>
      </c>
      <c r="BN95" s="18">
        <v>0.57392648046163164</v>
      </c>
      <c r="BO95" s="18">
        <v>-5.7180862304726049E-2</v>
      </c>
      <c r="BP95" s="18">
        <v>0.46760290801272214</v>
      </c>
      <c r="BQ95" s="18">
        <v>-1.6670102147092525</v>
      </c>
      <c r="BR95" s="18">
        <v>0.19719011337175799</v>
      </c>
      <c r="BS95" s="18">
        <v>0.45596649321031801</v>
      </c>
      <c r="BT95" s="18">
        <v>0.1004450135671015</v>
      </c>
      <c r="BU95" s="18">
        <v>-1.2221722717015109</v>
      </c>
      <c r="BV95" s="18">
        <v>-2.0414721202339909</v>
      </c>
      <c r="BW95" s="18">
        <v>5.3375566237885774</v>
      </c>
      <c r="BX95" s="18">
        <v>-0.48443000791906382</v>
      </c>
      <c r="BY95" s="18">
        <v>-0.31531445228405935</v>
      </c>
      <c r="BZ95" s="18">
        <v>-0.11146515260282243</v>
      </c>
      <c r="CA95" s="18">
        <v>0.24656281446125239</v>
      </c>
      <c r="CB95" s="18">
        <v>0.30888834775158813</v>
      </c>
      <c r="CC95" s="18">
        <v>-1.1182869882844491</v>
      </c>
      <c r="CD95" s="18">
        <v>0.5346561498549729</v>
      </c>
      <c r="CE95" s="18">
        <v>-0.44915613995849241</v>
      </c>
      <c r="CF95" s="18">
        <v>-0.42655531559694643</v>
      </c>
      <c r="CG95" s="18">
        <v>0.57892420969240876</v>
      </c>
      <c r="CH95" s="18">
        <v>-0.45478352386105614</v>
      </c>
      <c r="CI95" s="18">
        <v>-0.56501392484841062</v>
      </c>
      <c r="CJ95" s="18">
        <v>1.1503827167938903</v>
      </c>
      <c r="CK95" s="18">
        <v>-0.78024010313348124</v>
      </c>
      <c r="CL95" s="18">
        <v>-1.63936575152635</v>
      </c>
      <c r="CM95" s="18">
        <v>0.620785967542267</v>
      </c>
      <c r="CN95" s="19">
        <v>-0.14793757354429776</v>
      </c>
      <c r="CP95" s="23">
        <v>2.3103152650208969</v>
      </c>
    </row>
    <row r="96" spans="1:94" x14ac:dyDescent="0.2">
      <c r="A96" s="2" t="s">
        <v>139</v>
      </c>
      <c r="B96" s="2">
        <v>1</v>
      </c>
      <c r="C96" s="2">
        <v>1</v>
      </c>
      <c r="D96" s="2">
        <v>1</v>
      </c>
      <c r="E96" s="2">
        <v>1</v>
      </c>
      <c r="F96" s="2">
        <v>2</v>
      </c>
      <c r="G96" s="2">
        <v>3</v>
      </c>
      <c r="H96" s="2">
        <v>3</v>
      </c>
      <c r="I96" s="2">
        <v>3</v>
      </c>
      <c r="J96" s="2">
        <v>3</v>
      </c>
      <c r="K96" s="2">
        <v>3</v>
      </c>
      <c r="L96" s="2">
        <v>4</v>
      </c>
      <c r="M96" s="2">
        <v>5</v>
      </c>
      <c r="N96" s="2">
        <v>5</v>
      </c>
      <c r="O96" s="2">
        <v>4</v>
      </c>
      <c r="P96" s="2">
        <v>4</v>
      </c>
      <c r="Q96" s="2">
        <v>5</v>
      </c>
      <c r="R96" s="2">
        <v>5</v>
      </c>
      <c r="S96" s="2">
        <v>2</v>
      </c>
      <c r="T96" s="2">
        <v>4</v>
      </c>
      <c r="U96" s="2">
        <v>4</v>
      </c>
      <c r="V96" s="2">
        <v>5</v>
      </c>
      <c r="W96" s="2">
        <v>4</v>
      </c>
      <c r="X96" s="2">
        <v>5</v>
      </c>
      <c r="Y96" s="2">
        <v>5</v>
      </c>
      <c r="Z96" s="2">
        <v>4</v>
      </c>
      <c r="AA96" s="2">
        <v>4</v>
      </c>
      <c r="AB96" s="2">
        <v>4</v>
      </c>
      <c r="AC96" s="2">
        <v>4</v>
      </c>
      <c r="AD96" s="2">
        <v>4</v>
      </c>
      <c r="AE96" s="2">
        <v>5</v>
      </c>
      <c r="AF96" s="2">
        <v>4</v>
      </c>
      <c r="AG96" s="2">
        <v>2</v>
      </c>
      <c r="AH96" s="2">
        <v>1</v>
      </c>
      <c r="AI96" s="2">
        <v>4</v>
      </c>
      <c r="AJ96" s="2">
        <v>4</v>
      </c>
      <c r="AK96" s="2">
        <v>4</v>
      </c>
      <c r="AL96" s="2">
        <v>4</v>
      </c>
      <c r="AM96" s="2">
        <v>4</v>
      </c>
      <c r="AN96" s="2">
        <v>4</v>
      </c>
      <c r="AO96" s="2">
        <v>4</v>
      </c>
      <c r="AP96" s="2">
        <v>4</v>
      </c>
      <c r="AQ96" s="2">
        <v>3</v>
      </c>
      <c r="AR96" s="2">
        <v>3</v>
      </c>
      <c r="AS96" s="2">
        <v>4</v>
      </c>
      <c r="AT96" s="2"/>
      <c r="AU96" s="2"/>
      <c r="AV96" s="2" t="str">
        <v>28.Poor communication between client, consultant and contractor</v>
      </c>
      <c r="AW96" s="10">
        <v>5.9520824593826467E-2</v>
      </c>
      <c r="AX96" s="11">
        <v>0.27743135849798006</v>
      </c>
      <c r="AY96" s="11">
        <v>0.20248605386892926</v>
      </c>
      <c r="AZ96" s="18">
        <v>-0.88680115488260813</v>
      </c>
      <c r="BA96" s="18">
        <v>-0.56418292044043572</v>
      </c>
      <c r="BB96" s="18">
        <v>1.2824898841526624</v>
      </c>
      <c r="BC96" s="18">
        <v>-0.60516543103738296</v>
      </c>
      <c r="BD96" s="18">
        <v>-6.6805468484682592E-2</v>
      </c>
      <c r="BE96" s="18">
        <v>-0.76408496155014605</v>
      </c>
      <c r="BF96" s="18">
        <v>-0.82926481997374113</v>
      </c>
      <c r="BG96" s="18">
        <v>-0.46662335235843472</v>
      </c>
      <c r="BH96" s="18">
        <v>-0.16229603784419225</v>
      </c>
      <c r="BI96" s="18">
        <v>0.68822732570972545</v>
      </c>
      <c r="BJ96" s="18">
        <v>-0.69757212903630927</v>
      </c>
      <c r="BK96" s="18">
        <v>0.56842173400818463</v>
      </c>
      <c r="BL96" s="18">
        <v>-0.20278041328641153</v>
      </c>
      <c r="BM96" s="18">
        <v>-0.77059865374127368</v>
      </c>
      <c r="BN96" s="18">
        <v>-0.1556795561050256</v>
      </c>
      <c r="BO96" s="18">
        <v>0.95705845004716028</v>
      </c>
      <c r="BP96" s="18">
        <v>-0.47500547335447096</v>
      </c>
      <c r="BQ96" s="18">
        <v>-0.99195181253645448</v>
      </c>
      <c r="BR96" s="18">
        <v>-6.0184619525536186E-2</v>
      </c>
      <c r="BS96" s="18">
        <v>0.7166231336621568</v>
      </c>
      <c r="BT96" s="18">
        <v>0.45917361185802286</v>
      </c>
      <c r="BU96" s="18">
        <v>0.14158832546959296</v>
      </c>
      <c r="BV96" s="18">
        <v>-0.47117157156411632</v>
      </c>
      <c r="BW96" s="18">
        <v>-0.48443000791905699</v>
      </c>
      <c r="BX96" s="18">
        <v>4.976563213887168</v>
      </c>
      <c r="BY96" s="18">
        <v>-2.3028336793792823</v>
      </c>
      <c r="BZ96" s="18">
        <v>0.20274446274883451</v>
      </c>
      <c r="CA96" s="18">
        <v>-1.1039696844745366</v>
      </c>
      <c r="CB96" s="18">
        <v>0.42149849097533437</v>
      </c>
      <c r="CC96" s="18">
        <v>0.38770520584177298</v>
      </c>
      <c r="CD96" s="18">
        <v>0.42925232143963654</v>
      </c>
      <c r="CE96" s="18">
        <v>-9.1017397652963627E-2</v>
      </c>
      <c r="CF96" s="18">
        <v>-0.82270259290849213</v>
      </c>
      <c r="CG96" s="18">
        <v>0.61141556850888545</v>
      </c>
      <c r="CH96" s="18">
        <v>0.89559315527619932</v>
      </c>
      <c r="CI96" s="18">
        <v>4.4269676793018617E-2</v>
      </c>
      <c r="CJ96" s="18">
        <v>-0.81684965422657718</v>
      </c>
      <c r="CK96" s="18">
        <v>-0.15841143567870736</v>
      </c>
      <c r="CL96" s="18">
        <v>0.39558628316894517</v>
      </c>
      <c r="CM96" s="18">
        <v>-0.50728097801080096</v>
      </c>
      <c r="CN96" s="19">
        <v>-1.2418802164875856E-2</v>
      </c>
      <c r="CP96" s="23">
        <v>2.2308211972023146</v>
      </c>
    </row>
    <row r="97" spans="1:94" x14ac:dyDescent="0.2">
      <c r="A97" s="2" t="s">
        <v>140</v>
      </c>
      <c r="B97" s="2">
        <v>4</v>
      </c>
      <c r="C97" s="2">
        <v>2</v>
      </c>
      <c r="D97" s="2">
        <v>4</v>
      </c>
      <c r="E97" s="2">
        <v>4</v>
      </c>
      <c r="F97" s="2">
        <v>3</v>
      </c>
      <c r="G97" s="2">
        <v>4</v>
      </c>
      <c r="H97" s="2">
        <v>5</v>
      </c>
      <c r="I97" s="2">
        <v>3</v>
      </c>
      <c r="J97" s="2">
        <v>4</v>
      </c>
      <c r="K97" s="2">
        <v>3</v>
      </c>
      <c r="L97" s="2">
        <v>5</v>
      </c>
      <c r="M97" s="2">
        <v>5</v>
      </c>
      <c r="N97" s="2">
        <v>5</v>
      </c>
      <c r="O97" s="2">
        <v>3</v>
      </c>
      <c r="P97" s="2">
        <v>4</v>
      </c>
      <c r="Q97" s="2">
        <v>3</v>
      </c>
      <c r="R97" s="2">
        <v>3</v>
      </c>
      <c r="S97" s="2">
        <v>2</v>
      </c>
      <c r="T97" s="2">
        <v>4</v>
      </c>
      <c r="U97" s="2">
        <v>1</v>
      </c>
      <c r="V97" s="2">
        <v>4</v>
      </c>
      <c r="W97" s="2">
        <v>4</v>
      </c>
      <c r="X97" s="2">
        <v>2</v>
      </c>
      <c r="Y97" s="2">
        <v>4</v>
      </c>
      <c r="Z97" s="2">
        <v>3</v>
      </c>
      <c r="AA97" s="2">
        <v>3</v>
      </c>
      <c r="AB97" s="2">
        <v>4</v>
      </c>
      <c r="AC97" s="2">
        <v>4</v>
      </c>
      <c r="AD97" s="2">
        <v>5</v>
      </c>
      <c r="AE97" s="2">
        <v>5</v>
      </c>
      <c r="AF97" s="2">
        <v>1</v>
      </c>
      <c r="AG97" s="2">
        <v>2</v>
      </c>
      <c r="AH97" s="2">
        <v>4</v>
      </c>
      <c r="AI97" s="2">
        <v>3</v>
      </c>
      <c r="AJ97" s="2">
        <v>4</v>
      </c>
      <c r="AK97" s="2">
        <v>3</v>
      </c>
      <c r="AL97" s="2">
        <v>3</v>
      </c>
      <c r="AM97" s="2">
        <v>4</v>
      </c>
      <c r="AN97" s="2">
        <v>5</v>
      </c>
      <c r="AO97" s="2">
        <v>4</v>
      </c>
      <c r="AP97" s="2">
        <v>4</v>
      </c>
      <c r="AQ97" s="2">
        <v>1</v>
      </c>
      <c r="AR97" s="2">
        <v>2</v>
      </c>
      <c r="AS97" s="2">
        <v>3</v>
      </c>
      <c r="AT97" s="2"/>
      <c r="AU97" s="2"/>
      <c r="AV97" s="2" t="str">
        <v>29.Insufficient coordination between local authority who is responsible about road projects and service authorities</v>
      </c>
      <c r="AW97" s="10">
        <v>0.55378092457457417</v>
      </c>
      <c r="AX97" s="11">
        <v>-0.55271471385097282</v>
      </c>
      <c r="AY97" s="11">
        <v>-0.54409926783830342</v>
      </c>
      <c r="AZ97" s="18">
        <v>0.94381500614538849</v>
      </c>
      <c r="BA97" s="18">
        <v>0.1169805858093237</v>
      </c>
      <c r="BB97" s="18">
        <v>-1.737208161119159</v>
      </c>
      <c r="BC97" s="18">
        <v>0.52633305460007318</v>
      </c>
      <c r="BD97" s="18">
        <v>0.24203886569102345</v>
      </c>
      <c r="BE97" s="18">
        <v>-0.13561522225943759</v>
      </c>
      <c r="BF97" s="18">
        <v>0.10541163519826646</v>
      </c>
      <c r="BG97" s="18">
        <v>-0.17266289846180347</v>
      </c>
      <c r="BH97" s="18">
        <v>-0.67610598268730171</v>
      </c>
      <c r="BI97" s="18">
        <v>0.93061034374723783</v>
      </c>
      <c r="BJ97" s="18">
        <v>0.62300246285266025</v>
      </c>
      <c r="BK97" s="18">
        <v>-1.3187365223922105</v>
      </c>
      <c r="BL97" s="18">
        <v>0.49405112794437184</v>
      </c>
      <c r="BM97" s="18">
        <v>0.81346861066454057</v>
      </c>
      <c r="BN97" s="18">
        <v>-1.1037210162599742</v>
      </c>
      <c r="BO97" s="18">
        <v>0.57590854997228846</v>
      </c>
      <c r="BP97" s="18">
        <v>0.75531951922014839</v>
      </c>
      <c r="BQ97" s="18">
        <v>-0.41520931362967289</v>
      </c>
      <c r="BR97" s="18">
        <v>0.6234572719064464</v>
      </c>
      <c r="BS97" s="18">
        <v>-0.75968609812491761</v>
      </c>
      <c r="BT97" s="18">
        <v>-0.31746735551861194</v>
      </c>
      <c r="BU97" s="18">
        <v>-0.97214483018107944</v>
      </c>
      <c r="BV97" s="18">
        <v>1.0004589033520424</v>
      </c>
      <c r="BW97" s="18">
        <v>-0.31531445228406307</v>
      </c>
      <c r="BX97" s="18">
        <v>-2.3028336793792814</v>
      </c>
      <c r="BY97" s="18">
        <v>4.6676469136409979</v>
      </c>
      <c r="BZ97" s="18">
        <v>-1.4464380385282096</v>
      </c>
      <c r="CA97" s="18">
        <v>1.0043163587886146</v>
      </c>
      <c r="CB97" s="18">
        <v>-0.53951466947212678</v>
      </c>
      <c r="CC97" s="18">
        <v>8.9075469927955286E-2</v>
      </c>
      <c r="CD97" s="18">
        <v>0.81658851261955334</v>
      </c>
      <c r="CE97" s="18">
        <v>-1.7102550219781085</v>
      </c>
      <c r="CF97" s="18">
        <v>0.32893812232923469</v>
      </c>
      <c r="CG97" s="18">
        <v>4.8566563073953649E-2</v>
      </c>
      <c r="CH97" s="18">
        <v>-0.6314966458338771</v>
      </c>
      <c r="CI97" s="18">
        <v>-0.13034684792791384</v>
      </c>
      <c r="CJ97" s="18">
        <v>5.1853508232700206E-2</v>
      </c>
      <c r="CK97" s="18">
        <v>1.0200565056500561</v>
      </c>
      <c r="CL97" s="18">
        <v>-0.11392006879783853</v>
      </c>
      <c r="CM97" s="18">
        <v>0.94234143340766963</v>
      </c>
      <c r="CN97" s="19">
        <v>-0.89025213664917002</v>
      </c>
      <c r="CP97" s="23">
        <v>2.1604737706440682</v>
      </c>
    </row>
    <row r="98" spans="1:94" x14ac:dyDescent="0.2">
      <c r="A98" s="2" t="s">
        <v>141</v>
      </c>
      <c r="B98" s="2">
        <v>5</v>
      </c>
      <c r="C98" s="2">
        <v>5</v>
      </c>
      <c r="D98" s="2">
        <v>3</v>
      </c>
      <c r="E98" s="2">
        <v>2</v>
      </c>
      <c r="F98" s="2">
        <v>2</v>
      </c>
      <c r="G98" s="2">
        <v>4</v>
      </c>
      <c r="H98" s="2">
        <v>4</v>
      </c>
      <c r="I98" s="2">
        <v>4</v>
      </c>
      <c r="J98" s="2">
        <v>4</v>
      </c>
      <c r="K98" s="2">
        <v>4</v>
      </c>
      <c r="L98" s="2">
        <v>5</v>
      </c>
      <c r="M98" s="2">
        <v>4</v>
      </c>
      <c r="N98" s="2">
        <v>4</v>
      </c>
      <c r="O98" s="2">
        <v>5</v>
      </c>
      <c r="P98" s="2">
        <v>4</v>
      </c>
      <c r="Q98" s="2">
        <v>3</v>
      </c>
      <c r="R98" s="2">
        <v>4</v>
      </c>
      <c r="S98" s="2">
        <v>4</v>
      </c>
      <c r="T98" s="2">
        <v>4</v>
      </c>
      <c r="U98" s="2">
        <v>4</v>
      </c>
      <c r="V98" s="2">
        <v>3</v>
      </c>
      <c r="W98" s="2">
        <v>4</v>
      </c>
      <c r="X98" s="2">
        <v>3</v>
      </c>
      <c r="Y98" s="2">
        <v>3</v>
      </c>
      <c r="Z98" s="2">
        <v>3</v>
      </c>
      <c r="AA98" s="2">
        <v>2</v>
      </c>
      <c r="AB98" s="2">
        <v>2</v>
      </c>
      <c r="AC98" s="2">
        <v>4</v>
      </c>
      <c r="AD98" s="2">
        <v>3</v>
      </c>
      <c r="AE98" s="2">
        <v>1</v>
      </c>
      <c r="AF98" s="2">
        <v>2</v>
      </c>
      <c r="AG98" s="2">
        <v>3</v>
      </c>
      <c r="AH98" s="2">
        <v>4</v>
      </c>
      <c r="AI98" s="2">
        <v>4</v>
      </c>
      <c r="AJ98" s="2">
        <v>4</v>
      </c>
      <c r="AK98" s="2">
        <v>5</v>
      </c>
      <c r="AL98" s="2">
        <v>5</v>
      </c>
      <c r="AM98" s="2">
        <v>3</v>
      </c>
      <c r="AN98" s="2">
        <v>4</v>
      </c>
      <c r="AO98" s="2">
        <v>5</v>
      </c>
      <c r="AP98" s="2">
        <v>4</v>
      </c>
      <c r="AQ98" s="2">
        <v>1</v>
      </c>
      <c r="AR98" s="2">
        <v>1</v>
      </c>
      <c r="AS98" s="2">
        <v>5</v>
      </c>
      <c r="AT98" s="2"/>
      <c r="AU98" s="2"/>
      <c r="AV98" s="2" t="str">
        <v>30.Delays in decisions making by the approval authorities</v>
      </c>
      <c r="AW98" s="10">
        <v>-0.21222371908036319</v>
      </c>
      <c r="AX98" s="11">
        <v>1.5153047917456046</v>
      </c>
      <c r="AY98" s="11">
        <v>0.79962141501581452</v>
      </c>
      <c r="AZ98" s="18">
        <v>-0.92025469065647747</v>
      </c>
      <c r="BA98" s="18">
        <v>0.53884345444194925</v>
      </c>
      <c r="BB98" s="18">
        <v>0.8939475471778453</v>
      </c>
      <c r="BC98" s="18">
        <v>-0.81288691723021811</v>
      </c>
      <c r="BD98" s="18">
        <v>-0.96202541685827325</v>
      </c>
      <c r="BE98" s="18">
        <v>-0.2316374040668574</v>
      </c>
      <c r="BF98" s="18">
        <v>1.4773386953061767</v>
      </c>
      <c r="BG98" s="18">
        <v>5.2021341412387803E-2</v>
      </c>
      <c r="BH98" s="18">
        <v>0.95995865232854627</v>
      </c>
      <c r="BI98" s="18">
        <v>-1.0452443897828707</v>
      </c>
      <c r="BJ98" s="18">
        <v>-1.4434993364003076E-2</v>
      </c>
      <c r="BK98" s="18">
        <v>-0.38032000052535775</v>
      </c>
      <c r="BL98" s="18">
        <v>-0.38030943363618508</v>
      </c>
      <c r="BM98" s="18">
        <v>-0.37023614767991042</v>
      </c>
      <c r="BN98" s="18">
        <v>0.24493218499844344</v>
      </c>
      <c r="BO98" s="18">
        <v>-0.45332130668178883</v>
      </c>
      <c r="BP98" s="18">
        <v>-0.19101297439928952</v>
      </c>
      <c r="BQ98" s="18">
        <v>-0.14287478663641656</v>
      </c>
      <c r="BR98" s="18">
        <v>-0.69768551852439342</v>
      </c>
      <c r="BS98" s="18">
        <v>0.32513186019553603</v>
      </c>
      <c r="BT98" s="18">
        <v>0.11712274672220607</v>
      </c>
      <c r="BU98" s="18">
        <v>0.251875574126038</v>
      </c>
      <c r="BV98" s="18">
        <v>-0.24726722063467874</v>
      </c>
      <c r="BW98" s="18">
        <v>-0.11146515260282265</v>
      </c>
      <c r="BX98" s="18">
        <v>0.20274446274883529</v>
      </c>
      <c r="BY98" s="18">
        <v>-1.4464380385282112</v>
      </c>
      <c r="BZ98" s="18">
        <v>3.365566829012685</v>
      </c>
      <c r="CA98" s="18">
        <v>-0.620461750930831</v>
      </c>
      <c r="CB98" s="18">
        <v>1.0759861558610742</v>
      </c>
      <c r="CC98" s="18">
        <v>-0.90948901688755601</v>
      </c>
      <c r="CD98" s="18">
        <v>0.80821466419680466</v>
      </c>
      <c r="CE98" s="18">
        <v>0.54718405507005707</v>
      </c>
      <c r="CF98" s="18">
        <v>-0.51349836729860521</v>
      </c>
      <c r="CG98" s="18">
        <v>-4.6754959129977729E-2</v>
      </c>
      <c r="CH98" s="18">
        <v>0.76799728944298595</v>
      </c>
      <c r="CI98" s="18">
        <v>-0.80731270133490529</v>
      </c>
      <c r="CJ98" s="18">
        <v>0.25408993418322673</v>
      </c>
      <c r="CK98" s="18">
        <v>-0.24004704500945281</v>
      </c>
      <c r="CL98" s="18">
        <v>-0.95707503760952317</v>
      </c>
      <c r="CM98" s="18">
        <v>-0.25157349997670447</v>
      </c>
      <c r="CN98" s="19">
        <v>-0.37329439955835142</v>
      </c>
      <c r="CP98" s="23">
        <v>1.8345481266548134</v>
      </c>
    </row>
    <row r="99" spans="1:94" x14ac:dyDescent="0.2">
      <c r="A99" s="2" t="s">
        <v>142</v>
      </c>
      <c r="B99" s="2">
        <v>4</v>
      </c>
      <c r="C99" s="2">
        <v>5</v>
      </c>
      <c r="D99" s="2">
        <v>3</v>
      </c>
      <c r="E99" s="2">
        <v>5</v>
      </c>
      <c r="F99" s="2">
        <v>4</v>
      </c>
      <c r="G99" s="2">
        <v>4</v>
      </c>
      <c r="H99" s="2">
        <v>4</v>
      </c>
      <c r="I99" s="2">
        <v>4</v>
      </c>
      <c r="J99" s="2">
        <v>3</v>
      </c>
      <c r="K99" s="2">
        <v>3</v>
      </c>
      <c r="L99" s="2">
        <v>5</v>
      </c>
      <c r="M99" s="2">
        <v>5</v>
      </c>
      <c r="N99" s="2">
        <v>4</v>
      </c>
      <c r="O99" s="2">
        <v>2</v>
      </c>
      <c r="P99" s="2">
        <v>3</v>
      </c>
      <c r="Q99" s="2">
        <v>4</v>
      </c>
      <c r="R99" s="2">
        <v>4</v>
      </c>
      <c r="S99" s="2">
        <v>3</v>
      </c>
      <c r="T99" s="2">
        <v>4</v>
      </c>
      <c r="U99" s="2">
        <v>5</v>
      </c>
      <c r="V99" s="2">
        <v>4</v>
      </c>
      <c r="W99" s="2">
        <v>4</v>
      </c>
      <c r="X99" s="2">
        <v>5</v>
      </c>
      <c r="Y99" s="2">
        <v>5</v>
      </c>
      <c r="Z99" s="2">
        <v>4</v>
      </c>
      <c r="AA99" s="2">
        <v>3</v>
      </c>
      <c r="AB99" s="2">
        <v>4</v>
      </c>
      <c r="AC99" s="2">
        <v>3</v>
      </c>
      <c r="AD99" s="2">
        <v>4</v>
      </c>
      <c r="AE99" s="2">
        <v>5</v>
      </c>
      <c r="AF99" s="2">
        <v>4</v>
      </c>
      <c r="AG99" s="2">
        <v>5</v>
      </c>
      <c r="AH99" s="2">
        <v>5</v>
      </c>
      <c r="AI99" s="2">
        <v>4</v>
      </c>
      <c r="AJ99" s="2">
        <v>4</v>
      </c>
      <c r="AK99" s="2">
        <v>5</v>
      </c>
      <c r="AL99" s="2">
        <v>4</v>
      </c>
      <c r="AM99" s="2">
        <v>4</v>
      </c>
      <c r="AN99" s="2">
        <v>4</v>
      </c>
      <c r="AO99" s="2">
        <v>2</v>
      </c>
      <c r="AP99" s="2">
        <v>4</v>
      </c>
      <c r="AQ99" s="2">
        <v>5</v>
      </c>
      <c r="AR99" s="2">
        <v>5</v>
      </c>
      <c r="AS99" s="2">
        <v>4</v>
      </c>
      <c r="AT99" s="2"/>
      <c r="AU99" s="2"/>
      <c r="AV99" s="2" t="str">
        <v>31.Change schedule</v>
      </c>
      <c r="AW99" s="10">
        <v>0.4456813610487842</v>
      </c>
      <c r="AX99" s="11">
        <v>-0.35237561150098312</v>
      </c>
      <c r="AY99" s="11">
        <v>-0.38928795006818273</v>
      </c>
      <c r="AZ99" s="18">
        <v>-0.27901039309940001</v>
      </c>
      <c r="BA99" s="18">
        <v>1.6850300907226849</v>
      </c>
      <c r="BB99" s="18">
        <v>-0.28458497320642562</v>
      </c>
      <c r="BC99" s="18">
        <v>1.7140640781191314</v>
      </c>
      <c r="BD99" s="18">
        <v>0.4392750094752349</v>
      </c>
      <c r="BE99" s="18">
        <v>-1.1307805308058783</v>
      </c>
      <c r="BF99" s="18">
        <v>9.0607325336780654E-3</v>
      </c>
      <c r="BG99" s="18">
        <v>0.71560303117716284</v>
      </c>
      <c r="BH99" s="18">
        <v>-0.17027418362289354</v>
      </c>
      <c r="BI99" s="18">
        <v>-1.0566063592292219</v>
      </c>
      <c r="BJ99" s="18">
        <v>-1.5167948940954707</v>
      </c>
      <c r="BK99" s="18">
        <v>1.1880645494134139</v>
      </c>
      <c r="BL99" s="18">
        <v>0.14697535511779292</v>
      </c>
      <c r="BM99" s="18">
        <v>0.13971916930638634</v>
      </c>
      <c r="BN99" s="18">
        <v>-0.22903898031205641</v>
      </c>
      <c r="BO99" s="18">
        <v>0.45604405133744186</v>
      </c>
      <c r="BP99" s="18">
        <v>8.0753764235220377E-2</v>
      </c>
      <c r="BQ99" s="18">
        <v>0.22156228329483352</v>
      </c>
      <c r="BR99" s="18">
        <v>0.77049050187355217</v>
      </c>
      <c r="BS99" s="18">
        <v>-0.6524518808993377</v>
      </c>
      <c r="BT99" s="18">
        <v>0.13116686180241421</v>
      </c>
      <c r="BU99" s="18">
        <v>-0.70565563188549807</v>
      </c>
      <c r="BV99" s="18">
        <v>-1.0918572430866513</v>
      </c>
      <c r="BW99" s="18">
        <v>0.24656281446125275</v>
      </c>
      <c r="BX99" s="18">
        <v>-1.103969684474535</v>
      </c>
      <c r="BY99" s="18">
        <v>1.0043163587886159</v>
      </c>
      <c r="BZ99" s="18">
        <v>-0.62046175093083134</v>
      </c>
      <c r="CA99" s="18">
        <v>3.817808013476351</v>
      </c>
      <c r="CB99" s="18">
        <v>-2.0184942141769806</v>
      </c>
      <c r="CC99" s="18">
        <v>-0.19450360331817185</v>
      </c>
      <c r="CD99" s="18">
        <v>-0.89747189673634853</v>
      </c>
      <c r="CE99" s="18">
        <v>-0.47742325331958835</v>
      </c>
      <c r="CF99" s="18">
        <v>1.1941864984022943</v>
      </c>
      <c r="CG99" s="18">
        <v>-0.76481336372850117</v>
      </c>
      <c r="CH99" s="18">
        <v>-0.68160651410065054</v>
      </c>
      <c r="CI99" s="18">
        <v>-0.49556482369243088</v>
      </c>
      <c r="CJ99" s="18">
        <v>0.45477545594869079</v>
      </c>
      <c r="CK99" s="18">
        <v>0.22614558415463859</v>
      </c>
      <c r="CL99" s="18">
        <v>-0.6658655175200503</v>
      </c>
      <c r="CM99" s="18">
        <v>0.86742489815480073</v>
      </c>
      <c r="CN99" s="19">
        <v>4.5499548635365879E-2</v>
      </c>
      <c r="CP99" s="23">
        <v>1.9539211891671453</v>
      </c>
    </row>
    <row r="100" spans="1:94" x14ac:dyDescent="0.2">
      <c r="A100" s="2" t="s">
        <v>143</v>
      </c>
      <c r="B100" s="2">
        <v>2</v>
      </c>
      <c r="C100" s="2">
        <v>2</v>
      </c>
      <c r="D100" s="2">
        <v>3</v>
      </c>
      <c r="E100" s="2">
        <v>3</v>
      </c>
      <c r="F100" s="2">
        <v>4</v>
      </c>
      <c r="G100" s="2">
        <v>4</v>
      </c>
      <c r="H100" s="2">
        <v>4</v>
      </c>
      <c r="I100" s="2">
        <v>3</v>
      </c>
      <c r="J100" s="2">
        <v>3</v>
      </c>
      <c r="K100" s="2">
        <v>3</v>
      </c>
      <c r="L100" s="2">
        <v>4</v>
      </c>
      <c r="M100" s="2">
        <v>4</v>
      </c>
      <c r="N100" s="2">
        <v>4</v>
      </c>
      <c r="O100" s="2">
        <v>3</v>
      </c>
      <c r="P100" s="2">
        <v>3</v>
      </c>
      <c r="Q100" s="2">
        <v>3</v>
      </c>
      <c r="R100" s="2">
        <v>4</v>
      </c>
      <c r="S100" s="2">
        <v>4</v>
      </c>
      <c r="T100" s="2">
        <v>4</v>
      </c>
      <c r="U100" s="2">
        <v>3</v>
      </c>
      <c r="V100" s="2">
        <v>4</v>
      </c>
      <c r="W100" s="2">
        <v>5</v>
      </c>
      <c r="X100" s="2">
        <v>4</v>
      </c>
      <c r="Y100" s="2">
        <v>3</v>
      </c>
      <c r="Z100" s="2">
        <v>3</v>
      </c>
      <c r="AA100" s="2">
        <v>5</v>
      </c>
      <c r="AB100" s="2">
        <v>4</v>
      </c>
      <c r="AC100" s="2">
        <v>2</v>
      </c>
      <c r="AD100" s="2">
        <v>3</v>
      </c>
      <c r="AE100" s="2">
        <v>3</v>
      </c>
      <c r="AF100" s="2">
        <v>3</v>
      </c>
      <c r="AG100" s="2">
        <v>3</v>
      </c>
      <c r="AH100" s="2">
        <v>4</v>
      </c>
      <c r="AI100" s="2">
        <v>5</v>
      </c>
      <c r="AJ100" s="2">
        <v>5</v>
      </c>
      <c r="AK100" s="2">
        <v>4</v>
      </c>
      <c r="AL100" s="2">
        <v>4</v>
      </c>
      <c r="AM100" s="2">
        <v>5</v>
      </c>
      <c r="AN100" s="2">
        <v>5</v>
      </c>
      <c r="AO100" s="2">
        <v>5</v>
      </c>
      <c r="AP100" s="2">
        <v>4</v>
      </c>
      <c r="AQ100" s="2">
        <v>2</v>
      </c>
      <c r="AR100" s="2">
        <v>2</v>
      </c>
      <c r="AS100" s="2">
        <v>3</v>
      </c>
      <c r="AT100" s="2"/>
      <c r="AU100" s="2"/>
      <c r="AV100" s="2" t="str">
        <v>32.Stoppages because of work being rejected by consultant</v>
      </c>
      <c r="AW100" s="10">
        <v>-0.48147077067352334</v>
      </c>
      <c r="AX100" s="11">
        <v>0.27905258303636088</v>
      </c>
      <c r="AY100" s="11">
        <v>0.57936515451006276</v>
      </c>
      <c r="AZ100" s="18">
        <v>8.798815208402453E-3</v>
      </c>
      <c r="BA100" s="18">
        <v>-1.112180927928583</v>
      </c>
      <c r="BB100" s="18">
        <v>5.2513470637620976E-2</v>
      </c>
      <c r="BC100" s="18">
        <v>-1.755435497959178</v>
      </c>
      <c r="BD100" s="18">
        <v>-0.41840455273468274</v>
      </c>
      <c r="BE100" s="18">
        <v>0.32998326377938569</v>
      </c>
      <c r="BF100" s="18">
        <v>0.2911644645682584</v>
      </c>
      <c r="BG100" s="18">
        <v>0.80565848325328837</v>
      </c>
      <c r="BH100" s="18">
        <v>0.68495688282459788</v>
      </c>
      <c r="BI100" s="18">
        <v>0.35548602534599738</v>
      </c>
      <c r="BJ100" s="18">
        <v>0.42383059534543399</v>
      </c>
      <c r="BK100" s="18">
        <v>-0.97620698163714181</v>
      </c>
      <c r="BL100" s="18">
        <v>-0.66008513163876159</v>
      </c>
      <c r="BM100" s="18">
        <v>-0.22717652688776188</v>
      </c>
      <c r="BN100" s="18">
        <v>-0.31254304610837669</v>
      </c>
      <c r="BO100" s="18">
        <v>-0.48622370231789747</v>
      </c>
      <c r="BP100" s="18">
        <v>-0.18068978938454944</v>
      </c>
      <c r="BQ100" s="18">
        <v>-1.5301093939062027</v>
      </c>
      <c r="BR100" s="18">
        <v>2.1791700141133893E-2</v>
      </c>
      <c r="BS100" s="18">
        <v>5.5026268476655198E-2</v>
      </c>
      <c r="BT100" s="18">
        <v>0.42044599913729552</v>
      </c>
      <c r="BU100" s="18">
        <v>-1.374181931611422E-2</v>
      </c>
      <c r="BV100" s="18">
        <v>0.48312153983547579</v>
      </c>
      <c r="BW100" s="18">
        <v>0.30888834775158697</v>
      </c>
      <c r="BX100" s="18">
        <v>0.42149849097533371</v>
      </c>
      <c r="BY100" s="18">
        <v>-0.53951466947212612</v>
      </c>
      <c r="BZ100" s="18">
        <v>1.0759861558610733</v>
      </c>
      <c r="CA100" s="18">
        <v>-2.0184942141769806</v>
      </c>
      <c r="CB100" s="18">
        <v>5.0663630531799075</v>
      </c>
      <c r="CC100" s="18">
        <v>-1.7466859908612726</v>
      </c>
      <c r="CD100" s="18">
        <v>2.097706166632161</v>
      </c>
      <c r="CE100" s="18">
        <v>-0.13577715968281429</v>
      </c>
      <c r="CF100" s="18">
        <v>-2.0310837528969512</v>
      </c>
      <c r="CG100" s="18">
        <v>1.5387152545583134</v>
      </c>
      <c r="CH100" s="18">
        <v>-0.41241710454024022</v>
      </c>
      <c r="CI100" s="18">
        <v>1.6584743921594081</v>
      </c>
      <c r="CJ100" s="18">
        <v>-0.44983228662369612</v>
      </c>
      <c r="CK100" s="18">
        <v>-0.56505841802340184</v>
      </c>
      <c r="CL100" s="18">
        <v>-1.3223297374440155</v>
      </c>
      <c r="CM100" s="18">
        <v>-0.23693350961116413</v>
      </c>
      <c r="CN100" s="19">
        <v>3.7547726943699455E-2</v>
      </c>
      <c r="CP100" s="23">
        <v>2.2508582925586205</v>
      </c>
    </row>
    <row r="101" spans="1:94" x14ac:dyDescent="0.2">
      <c r="A101" s="2" t="s">
        <v>144</v>
      </c>
      <c r="B101" s="2">
        <v>2</v>
      </c>
      <c r="C101" s="2">
        <v>4</v>
      </c>
      <c r="D101" s="2">
        <v>4</v>
      </c>
      <c r="E101" s="2">
        <v>3</v>
      </c>
      <c r="F101" s="2">
        <v>2</v>
      </c>
      <c r="G101" s="2">
        <v>4</v>
      </c>
      <c r="H101" s="2">
        <v>4</v>
      </c>
      <c r="I101" s="2">
        <v>3</v>
      </c>
      <c r="J101" s="2">
        <v>4</v>
      </c>
      <c r="K101" s="2">
        <v>4</v>
      </c>
      <c r="L101" s="2">
        <v>5</v>
      </c>
      <c r="M101" s="2">
        <v>5</v>
      </c>
      <c r="N101" s="2">
        <v>4</v>
      </c>
      <c r="O101" s="2">
        <v>2</v>
      </c>
      <c r="P101" s="2">
        <v>2</v>
      </c>
      <c r="Q101" s="2">
        <v>2</v>
      </c>
      <c r="R101" s="2">
        <v>4</v>
      </c>
      <c r="S101" s="2">
        <v>3</v>
      </c>
      <c r="T101" s="2">
        <v>2</v>
      </c>
      <c r="U101" s="2">
        <v>2</v>
      </c>
      <c r="V101" s="2">
        <v>2</v>
      </c>
      <c r="W101" s="2">
        <v>2</v>
      </c>
      <c r="X101" s="2">
        <v>5</v>
      </c>
      <c r="Y101" s="2">
        <v>3</v>
      </c>
      <c r="Z101" s="2">
        <v>2</v>
      </c>
      <c r="AA101" s="2">
        <v>3</v>
      </c>
      <c r="AB101" s="2">
        <v>4</v>
      </c>
      <c r="AC101" s="2">
        <v>4</v>
      </c>
      <c r="AD101" s="2">
        <v>4</v>
      </c>
      <c r="AE101" s="2">
        <v>2</v>
      </c>
      <c r="AF101" s="2">
        <v>2</v>
      </c>
      <c r="AG101" s="2">
        <v>3</v>
      </c>
      <c r="AH101" s="2">
        <v>2</v>
      </c>
      <c r="AI101" s="2">
        <v>2</v>
      </c>
      <c r="AJ101" s="2">
        <v>3</v>
      </c>
      <c r="AK101" s="2">
        <v>5</v>
      </c>
      <c r="AL101" s="2">
        <v>2</v>
      </c>
      <c r="AM101" s="2">
        <v>2</v>
      </c>
      <c r="AN101" s="2">
        <v>2</v>
      </c>
      <c r="AO101" s="2">
        <v>2</v>
      </c>
      <c r="AP101" s="2">
        <v>5</v>
      </c>
      <c r="AQ101" s="2">
        <v>3</v>
      </c>
      <c r="AR101" s="2">
        <v>4</v>
      </c>
      <c r="AS101" s="2">
        <v>3</v>
      </c>
      <c r="AT101" s="2"/>
      <c r="AU101" s="2"/>
      <c r="AV101" s="2" t="str">
        <v>33.Lowest bid price</v>
      </c>
      <c r="AW101" s="10">
        <v>-0.51352879892155656</v>
      </c>
      <c r="AX101" s="11">
        <v>-0.21687499543971112</v>
      </c>
      <c r="AY101" s="11">
        <v>-0.32395276715852894</v>
      </c>
      <c r="AZ101" s="18">
        <v>-0.466811324342434</v>
      </c>
      <c r="BA101" s="18">
        <v>-0.87239023953980954</v>
      </c>
      <c r="BB101" s="18">
        <v>1.2270388809688355</v>
      </c>
      <c r="BC101" s="18">
        <v>-0.40061900422099511</v>
      </c>
      <c r="BD101" s="18">
        <v>0.4868511253252007</v>
      </c>
      <c r="BE101" s="18">
        <v>0.49802199414207216</v>
      </c>
      <c r="BF101" s="18">
        <v>-1.0484154380717363</v>
      </c>
      <c r="BG101" s="18">
        <v>-0.63730306211385768</v>
      </c>
      <c r="BH101" s="18">
        <v>-0.93479961723926641</v>
      </c>
      <c r="BI101" s="18">
        <v>0.72531319185545107</v>
      </c>
      <c r="BJ101" s="18">
        <v>-9.2819475846011787E-3</v>
      </c>
      <c r="BK101" s="18">
        <v>0.76803512654064321</v>
      </c>
      <c r="BL101" s="18">
        <v>0.36299204812901936</v>
      </c>
      <c r="BM101" s="18">
        <v>-1.8833500115844188E-3</v>
      </c>
      <c r="BN101" s="18">
        <v>0.19310691470611074</v>
      </c>
      <c r="BO101" s="18">
        <v>-6.3971919418419093E-2</v>
      </c>
      <c r="BP101" s="18">
        <v>-0.55534757141527702</v>
      </c>
      <c r="BQ101" s="18">
        <v>1.9570418587937202</v>
      </c>
      <c r="BR101" s="18">
        <v>-0.48363246623829392</v>
      </c>
      <c r="BS101" s="18">
        <v>0.18007641563298854</v>
      </c>
      <c r="BT101" s="18">
        <v>-0.48632102216854822</v>
      </c>
      <c r="BU101" s="18">
        <v>0.32936485944082411</v>
      </c>
      <c r="BV101" s="18">
        <v>0.93296080846346241</v>
      </c>
      <c r="BW101" s="18">
        <v>-1.1182869882844479</v>
      </c>
      <c r="BX101" s="18">
        <v>0.38770520584177393</v>
      </c>
      <c r="BY101" s="18">
        <v>8.9075469927953718E-2</v>
      </c>
      <c r="BZ101" s="18">
        <v>-0.90948901688755523</v>
      </c>
      <c r="CA101" s="18">
        <v>-0.19450360331817146</v>
      </c>
      <c r="CB101" s="18">
        <v>-1.7466859908612713</v>
      </c>
      <c r="CC101" s="18">
        <v>3.9255656052343268</v>
      </c>
      <c r="CD101" s="18">
        <v>-2.7286210324214237</v>
      </c>
      <c r="CE101" s="18">
        <v>0.43488994501308853</v>
      </c>
      <c r="CF101" s="18">
        <v>0.9876699501000179</v>
      </c>
      <c r="CG101" s="18">
        <v>-0.66677735686953443</v>
      </c>
      <c r="CH101" s="18">
        <v>-0.26511244133834355</v>
      </c>
      <c r="CI101" s="18">
        <v>-9.6301454565163064E-2</v>
      </c>
      <c r="CJ101" s="18">
        <v>-0.22918946353493358</v>
      </c>
      <c r="CK101" s="18">
        <v>0.89480835072267451</v>
      </c>
      <c r="CL101" s="18">
        <v>2.8285444426662516</v>
      </c>
      <c r="CM101" s="18">
        <v>-0.99536983360503084</v>
      </c>
      <c r="CN101" s="19">
        <v>8.6093724851611389E-2</v>
      </c>
      <c r="CP101" s="23">
        <v>1.9813040163574915</v>
      </c>
    </row>
    <row r="102" spans="1:94" x14ac:dyDescent="0.2">
      <c r="A102" s="2" t="s">
        <v>145</v>
      </c>
      <c r="B102" s="2">
        <v>4</v>
      </c>
      <c r="C102" s="2">
        <v>4</v>
      </c>
      <c r="D102" s="2">
        <v>4</v>
      </c>
      <c r="E102" s="2">
        <v>4</v>
      </c>
      <c r="F102" s="2">
        <v>3</v>
      </c>
      <c r="G102" s="2">
        <v>4</v>
      </c>
      <c r="H102" s="2">
        <v>4</v>
      </c>
      <c r="I102" s="2">
        <v>4</v>
      </c>
      <c r="J102" s="2">
        <v>3</v>
      </c>
      <c r="K102" s="2">
        <v>4</v>
      </c>
      <c r="L102" s="2">
        <v>4</v>
      </c>
      <c r="M102" s="2">
        <v>4</v>
      </c>
      <c r="N102" s="2">
        <v>4</v>
      </c>
      <c r="O102" s="2">
        <v>4</v>
      </c>
      <c r="P102" s="2">
        <v>4</v>
      </c>
      <c r="Q102" s="2">
        <v>3</v>
      </c>
      <c r="R102" s="2">
        <v>3</v>
      </c>
      <c r="S102" s="2">
        <v>3</v>
      </c>
      <c r="T102" s="2">
        <v>5</v>
      </c>
      <c r="U102" s="2">
        <v>5</v>
      </c>
      <c r="V102" s="2">
        <v>5</v>
      </c>
      <c r="W102" s="2">
        <v>3</v>
      </c>
      <c r="X102" s="2">
        <v>3</v>
      </c>
      <c r="Y102" s="2">
        <v>3</v>
      </c>
      <c r="Z102" s="2">
        <v>4</v>
      </c>
      <c r="AA102" s="2">
        <v>3</v>
      </c>
      <c r="AB102" s="2">
        <v>4</v>
      </c>
      <c r="AC102" s="2">
        <v>4</v>
      </c>
      <c r="AD102" s="2">
        <v>4</v>
      </c>
      <c r="AE102" s="2">
        <v>4</v>
      </c>
      <c r="AF102" s="2">
        <v>4</v>
      </c>
      <c r="AG102" s="2">
        <v>4</v>
      </c>
      <c r="AH102" s="2">
        <v>3</v>
      </c>
      <c r="AI102" s="2">
        <v>3</v>
      </c>
      <c r="AJ102" s="2">
        <v>3</v>
      </c>
      <c r="AK102" s="2">
        <v>3</v>
      </c>
      <c r="AL102" s="2">
        <v>3</v>
      </c>
      <c r="AM102" s="2">
        <v>4</v>
      </c>
      <c r="AN102" s="2">
        <v>3</v>
      </c>
      <c r="AO102" s="2">
        <v>3</v>
      </c>
      <c r="AP102" s="2">
        <v>3</v>
      </c>
      <c r="AQ102" s="2">
        <v>4</v>
      </c>
      <c r="AR102" s="2">
        <v>4</v>
      </c>
      <c r="AS102" s="2">
        <v>5</v>
      </c>
      <c r="AT102" s="2"/>
      <c r="AU102" s="2"/>
      <c r="AV102" s="2" t="str">
        <v>34.Insufficient time for preparation of contract documents</v>
      </c>
      <c r="AW102" s="10">
        <v>1.2721946603970145</v>
      </c>
      <c r="AX102" s="11">
        <v>0.35518808501325905</v>
      </c>
      <c r="AY102" s="11">
        <v>-0.10721887986857076</v>
      </c>
      <c r="AZ102" s="18">
        <v>0.38826400329297289</v>
      </c>
      <c r="BA102" s="18">
        <v>-0.17176524772201307</v>
      </c>
      <c r="BB102" s="18">
        <v>-0.85066805949694901</v>
      </c>
      <c r="BC102" s="18">
        <v>-0.47164642814801622</v>
      </c>
      <c r="BD102" s="18">
        <v>-2.5314790560226008</v>
      </c>
      <c r="BE102" s="18">
        <v>0.83196797275394896</v>
      </c>
      <c r="BF102" s="18">
        <v>1.0995656727979588</v>
      </c>
      <c r="BG102" s="18">
        <v>0.82348484708793124</v>
      </c>
      <c r="BH102" s="18">
        <v>0.26230209075294048</v>
      </c>
      <c r="BI102" s="18">
        <v>0.92314279530336607</v>
      </c>
      <c r="BJ102" s="18">
        <v>0.55897992228497351</v>
      </c>
      <c r="BK102" s="18">
        <v>-2.8051403115676035</v>
      </c>
      <c r="BL102" s="18">
        <v>-1.0225519315063962</v>
      </c>
      <c r="BM102" s="18">
        <v>0.66227479228739916</v>
      </c>
      <c r="BN102" s="18">
        <v>-1.0345072196821314</v>
      </c>
      <c r="BO102" s="18">
        <v>0.63884496250753464</v>
      </c>
      <c r="BP102" s="18">
        <v>1.0307711108416557</v>
      </c>
      <c r="BQ102" s="18">
        <v>-3.0276262082539174</v>
      </c>
      <c r="BR102" s="18">
        <v>0.48777120871512475</v>
      </c>
      <c r="BS102" s="18">
        <v>0.33469984522814489</v>
      </c>
      <c r="BT102" s="18">
        <v>0.61157383451512481</v>
      </c>
      <c r="BU102" s="18">
        <v>-0.93967697508717363</v>
      </c>
      <c r="BV102" s="18">
        <v>0.35673768312864579</v>
      </c>
      <c r="BW102" s="18">
        <v>0.53465614985497034</v>
      </c>
      <c r="BX102" s="18">
        <v>0.42925232143963643</v>
      </c>
      <c r="BY102" s="18">
        <v>0.81658851261955545</v>
      </c>
      <c r="BZ102" s="18">
        <v>0.80821466419680332</v>
      </c>
      <c r="CA102" s="18">
        <v>-0.89747189673634897</v>
      </c>
      <c r="CB102" s="18">
        <v>2.0977061666321579</v>
      </c>
      <c r="CC102" s="18">
        <v>-2.7286210324214215</v>
      </c>
      <c r="CD102" s="18">
        <v>7.5013045091614394</v>
      </c>
      <c r="CE102" s="18">
        <v>-4.0456069727113375</v>
      </c>
      <c r="CF102" s="18">
        <v>-2.8518990019423009</v>
      </c>
      <c r="CG102" s="18">
        <v>1.4203175404636323</v>
      </c>
      <c r="CH102" s="18">
        <v>1.0405085298893839</v>
      </c>
      <c r="CI102" s="18">
        <v>-0.3286782460525654</v>
      </c>
      <c r="CJ102" s="18">
        <v>-0.77232588502820476</v>
      </c>
      <c r="CK102" s="18">
        <v>-0.18388108810576154</v>
      </c>
      <c r="CL102" s="18">
        <v>-2.670667501465394</v>
      </c>
      <c r="CM102" s="18">
        <v>0.75462542642416497</v>
      </c>
      <c r="CN102" s="19">
        <v>9.0364065893555057E-2</v>
      </c>
      <c r="CP102" s="23">
        <v>2.7388509468683102</v>
      </c>
    </row>
    <row r="103" spans="1:94" x14ac:dyDescent="0.2">
      <c r="A103" s="2" t="s">
        <v>146</v>
      </c>
      <c r="B103" s="2">
        <v>4</v>
      </c>
      <c r="C103" s="2">
        <v>2</v>
      </c>
      <c r="D103" s="2">
        <v>4</v>
      </c>
      <c r="E103" s="2">
        <v>4</v>
      </c>
      <c r="F103" s="2">
        <v>3</v>
      </c>
      <c r="G103" s="2">
        <v>4</v>
      </c>
      <c r="H103" s="2">
        <v>5</v>
      </c>
      <c r="I103" s="2">
        <v>3</v>
      </c>
      <c r="J103" s="2">
        <v>4</v>
      </c>
      <c r="K103" s="2">
        <v>3</v>
      </c>
      <c r="L103" s="2">
        <v>5</v>
      </c>
      <c r="M103" s="2">
        <v>5</v>
      </c>
      <c r="N103" s="2">
        <v>5</v>
      </c>
      <c r="O103" s="2">
        <v>3</v>
      </c>
      <c r="P103" s="2">
        <v>4</v>
      </c>
      <c r="Q103" s="2">
        <v>3</v>
      </c>
      <c r="R103" s="2">
        <v>3</v>
      </c>
      <c r="S103" s="2">
        <v>2</v>
      </c>
      <c r="T103" s="2">
        <v>4</v>
      </c>
      <c r="U103" s="2">
        <v>1</v>
      </c>
      <c r="V103" s="2">
        <v>4</v>
      </c>
      <c r="W103" s="2">
        <v>4</v>
      </c>
      <c r="X103" s="2">
        <v>2</v>
      </c>
      <c r="Y103" s="2">
        <v>4</v>
      </c>
      <c r="Z103" s="2">
        <v>3</v>
      </c>
      <c r="AA103" s="2">
        <v>3</v>
      </c>
      <c r="AB103" s="2">
        <v>4</v>
      </c>
      <c r="AC103" s="2">
        <v>4</v>
      </c>
      <c r="AD103" s="2">
        <v>5</v>
      </c>
      <c r="AE103" s="2">
        <v>5</v>
      </c>
      <c r="AF103" s="2">
        <v>1</v>
      </c>
      <c r="AG103" s="2">
        <v>2</v>
      </c>
      <c r="AH103" s="2">
        <v>4</v>
      </c>
      <c r="AI103" s="2">
        <v>3</v>
      </c>
      <c r="AJ103" s="2">
        <v>4</v>
      </c>
      <c r="AK103" s="2">
        <v>3</v>
      </c>
      <c r="AL103" s="2">
        <v>3</v>
      </c>
      <c r="AM103" s="2">
        <v>4</v>
      </c>
      <c r="AN103" s="2">
        <v>5</v>
      </c>
      <c r="AO103" s="2">
        <v>4</v>
      </c>
      <c r="AP103" s="2">
        <v>4</v>
      </c>
      <c r="AQ103" s="2">
        <v>1</v>
      </c>
      <c r="AR103" s="2">
        <v>2</v>
      </c>
      <c r="AS103" s="2">
        <v>3</v>
      </c>
      <c r="AT103" s="2"/>
      <c r="AU103" s="2"/>
      <c r="AV103" s="2" t="str">
        <v>35.Discrepancies in contract documents</v>
      </c>
      <c r="AW103" s="10">
        <v>-1.2088457195979538</v>
      </c>
      <c r="AX103" s="11">
        <v>0.84997763188689368</v>
      </c>
      <c r="AY103" s="11">
        <v>0.89617006901021301</v>
      </c>
      <c r="AZ103" s="18">
        <v>-0.29357223092487217</v>
      </c>
      <c r="BA103" s="18">
        <v>-0.53543388701584227</v>
      </c>
      <c r="BB103" s="18">
        <v>1.0502921176759541</v>
      </c>
      <c r="BC103" s="18">
        <v>-0.32579620834455653</v>
      </c>
      <c r="BD103" s="18">
        <v>1.1653832591018987</v>
      </c>
      <c r="BE103" s="18">
        <v>-0.37355966190670753</v>
      </c>
      <c r="BF103" s="18">
        <v>0.20532293960476425</v>
      </c>
      <c r="BG103" s="18">
        <v>-1.4178292147328175</v>
      </c>
      <c r="BH103" s="18">
        <v>0.38821721662407804</v>
      </c>
      <c r="BI103" s="18">
        <v>-0.95277554798452357</v>
      </c>
      <c r="BJ103" s="18">
        <v>1.1473969417128489</v>
      </c>
      <c r="BK103" s="18">
        <v>1.3340182770930218</v>
      </c>
      <c r="BL103" s="18">
        <v>-0.18763010030564703</v>
      </c>
      <c r="BM103" s="18">
        <v>-1.2523780206407615</v>
      </c>
      <c r="BN103" s="18">
        <v>1.5943244106353229</v>
      </c>
      <c r="BO103" s="18">
        <v>-1.175290734476669</v>
      </c>
      <c r="BP103" s="18">
        <v>-1.124485992064141</v>
      </c>
      <c r="BQ103" s="18">
        <v>2.756321031208171</v>
      </c>
      <c r="BR103" s="18">
        <v>-0.98807731281172551</v>
      </c>
      <c r="BS103" s="18">
        <v>0.62563934884558947</v>
      </c>
      <c r="BT103" s="18">
        <v>-0.36931282078580896</v>
      </c>
      <c r="BU103" s="18">
        <v>0.95892299793429303</v>
      </c>
      <c r="BV103" s="18">
        <v>-1.2438531258391567</v>
      </c>
      <c r="BW103" s="18">
        <v>-0.44915613995849235</v>
      </c>
      <c r="BX103" s="18">
        <v>-9.1017397652963725E-2</v>
      </c>
      <c r="BY103" s="18">
        <v>-1.7102550219781094</v>
      </c>
      <c r="BZ103" s="18">
        <v>0.54718405507005707</v>
      </c>
      <c r="CA103" s="18">
        <v>-0.47742325331958702</v>
      </c>
      <c r="CB103" s="18">
        <v>-0.13577715968281304</v>
      </c>
      <c r="CC103" s="18">
        <v>0.43488994501308786</v>
      </c>
      <c r="CD103" s="18">
        <v>-4.0456069727113348</v>
      </c>
      <c r="CE103" s="18">
        <v>6.1532220946241853</v>
      </c>
      <c r="CF103" s="18">
        <v>1.2052677639371756</v>
      </c>
      <c r="CG103" s="18">
        <v>-0.70987152124237041</v>
      </c>
      <c r="CH103" s="18">
        <v>-0.28729944812478925</v>
      </c>
      <c r="CI103" s="18">
        <v>0.31288947248758359</v>
      </c>
      <c r="CJ103" s="18">
        <v>6.6485348730382379E-2</v>
      </c>
      <c r="CK103" s="18">
        <v>-0.79340279413117809</v>
      </c>
      <c r="CL103" s="18">
        <v>0.66418498408942661</v>
      </c>
      <c r="CM103" s="18">
        <v>-0.41156179817191962</v>
      </c>
      <c r="CN103" s="19">
        <v>-0.55707911421951462</v>
      </c>
      <c r="CP103" s="23">
        <v>2.480568905437659</v>
      </c>
    </row>
    <row r="104" spans="1:94" x14ac:dyDescent="0.2">
      <c r="A104" s="2" t="s">
        <v>147</v>
      </c>
      <c r="B104" s="2">
        <v>4</v>
      </c>
      <c r="C104" s="2">
        <v>3</v>
      </c>
      <c r="D104" s="2">
        <v>3</v>
      </c>
      <c r="E104" s="2">
        <v>4</v>
      </c>
      <c r="F104" s="2">
        <v>4</v>
      </c>
      <c r="G104" s="2">
        <v>3</v>
      </c>
      <c r="H104" s="2">
        <v>4</v>
      </c>
      <c r="I104" s="2">
        <v>3</v>
      </c>
      <c r="J104" s="2">
        <v>4</v>
      </c>
      <c r="K104" s="2">
        <v>4</v>
      </c>
      <c r="L104" s="2">
        <v>4</v>
      </c>
      <c r="M104" s="2">
        <v>5</v>
      </c>
      <c r="N104" s="2">
        <v>4</v>
      </c>
      <c r="O104" s="2">
        <v>3</v>
      </c>
      <c r="P104" s="2">
        <v>3</v>
      </c>
      <c r="Q104" s="2">
        <v>2</v>
      </c>
      <c r="R104" s="2">
        <v>4</v>
      </c>
      <c r="S104" s="2">
        <v>2</v>
      </c>
      <c r="T104" s="2">
        <v>4</v>
      </c>
      <c r="U104" s="2">
        <v>3</v>
      </c>
      <c r="V104" s="2">
        <v>4</v>
      </c>
      <c r="W104" s="2">
        <v>3</v>
      </c>
      <c r="X104" s="2">
        <v>5</v>
      </c>
      <c r="Y104" s="2">
        <v>5</v>
      </c>
      <c r="Z104" s="2">
        <v>4</v>
      </c>
      <c r="AA104" s="2">
        <v>3</v>
      </c>
      <c r="AB104" s="2">
        <v>4</v>
      </c>
      <c r="AC104" s="2">
        <v>4</v>
      </c>
      <c r="AD104" s="2">
        <v>4</v>
      </c>
      <c r="AE104" s="2">
        <v>4</v>
      </c>
      <c r="AF104" s="2">
        <v>3</v>
      </c>
      <c r="AG104" s="2">
        <v>4</v>
      </c>
      <c r="AH104" s="2">
        <v>5</v>
      </c>
      <c r="AI104" s="2">
        <v>2</v>
      </c>
      <c r="AJ104" s="2">
        <v>3</v>
      </c>
      <c r="AK104" s="2">
        <v>4</v>
      </c>
      <c r="AL104" s="2">
        <v>2</v>
      </c>
      <c r="AM104" s="2">
        <v>4</v>
      </c>
      <c r="AN104" s="2">
        <v>3</v>
      </c>
      <c r="AO104" s="2">
        <v>1</v>
      </c>
      <c r="AP104" s="2">
        <v>4</v>
      </c>
      <c r="AQ104" s="2">
        <v>2</v>
      </c>
      <c r="AR104" s="2">
        <v>5</v>
      </c>
      <c r="AS104" s="2">
        <v>4</v>
      </c>
      <c r="AT104" s="2"/>
      <c r="AU104" s="2"/>
      <c r="AV104" s="2" t="str">
        <v>36.Underestimation of time for completion of project</v>
      </c>
      <c r="AW104" s="10">
        <v>-0.24935130601915115</v>
      </c>
      <c r="AX104" s="11">
        <v>-0.64126702802266677</v>
      </c>
      <c r="AY104" s="11">
        <v>0.1184004936245648</v>
      </c>
      <c r="AZ104" s="18">
        <v>-0.90395271675127453</v>
      </c>
      <c r="BA104" s="18">
        <v>1.2646247079884014</v>
      </c>
      <c r="BB104" s="18">
        <v>-0.58681785721181312</v>
      </c>
      <c r="BC104" s="18">
        <v>1.1304671055999707</v>
      </c>
      <c r="BD104" s="18">
        <v>2.6967626684241837</v>
      </c>
      <c r="BE104" s="18">
        <v>-2.5259671632831195</v>
      </c>
      <c r="BF104" s="18">
        <v>0.89711899148237995</v>
      </c>
      <c r="BG104" s="18">
        <v>-0.33070115855290977</v>
      </c>
      <c r="BH104" s="18">
        <v>-1.9926487378393707</v>
      </c>
      <c r="BI104" s="18">
        <v>-0.2234658389765844</v>
      </c>
      <c r="BJ104" s="18">
        <v>-0.69182711481953152</v>
      </c>
      <c r="BK104" s="18">
        <v>1.992892650438532</v>
      </c>
      <c r="BL104" s="18">
        <v>0.74477805705804045</v>
      </c>
      <c r="BM104" s="18">
        <v>-0.81588337722457149</v>
      </c>
      <c r="BN104" s="18">
        <v>0.54835369936696166</v>
      </c>
      <c r="BO104" s="18">
        <v>9.3269977677572544E-2</v>
      </c>
      <c r="BP104" s="18">
        <v>-1.3398592105467015</v>
      </c>
      <c r="BQ104" s="18">
        <v>2.6149795171152386</v>
      </c>
      <c r="BR104" s="18">
        <v>0.4459015671340863</v>
      </c>
      <c r="BS104" s="18">
        <v>-0.22901519346018975</v>
      </c>
      <c r="BT104" s="18">
        <v>-0.34195675659184144</v>
      </c>
      <c r="BU104" s="18">
        <v>0.37809590586635478</v>
      </c>
      <c r="BV104" s="18">
        <v>-0.743550109351785</v>
      </c>
      <c r="BW104" s="18">
        <v>-0.42655531559694554</v>
      </c>
      <c r="BX104" s="18">
        <v>-0.82270259290849135</v>
      </c>
      <c r="BY104" s="18">
        <v>0.32893812232923647</v>
      </c>
      <c r="BZ104" s="18">
        <v>-0.51349836729860499</v>
      </c>
      <c r="CA104" s="18">
        <v>1.1941864984022943</v>
      </c>
      <c r="CB104" s="18">
        <v>-2.031083752896949</v>
      </c>
      <c r="CC104" s="18">
        <v>0.98766995010001679</v>
      </c>
      <c r="CD104" s="18">
        <v>-2.8518990019422983</v>
      </c>
      <c r="CE104" s="18">
        <v>1.2052677639371736</v>
      </c>
      <c r="CF104" s="18">
        <v>5.271932468323798</v>
      </c>
      <c r="CG104" s="18">
        <v>-2.1297696341134182</v>
      </c>
      <c r="CH104" s="18">
        <v>-0.42580775681250521</v>
      </c>
      <c r="CI104" s="18">
        <v>-0.46362577175617192</v>
      </c>
      <c r="CJ104" s="18">
        <v>0.86900755401324825</v>
      </c>
      <c r="CK104" s="18">
        <v>-0.56922088436086471</v>
      </c>
      <c r="CL104" s="18">
        <v>0.47848279112774</v>
      </c>
      <c r="CM104" s="18">
        <v>0.64086638239460525</v>
      </c>
      <c r="CN104" s="19">
        <v>-0.91716200894670163</v>
      </c>
      <c r="CP104" s="23">
        <v>2.2960689162836116</v>
      </c>
    </row>
    <row r="105" spans="1:94" x14ac:dyDescent="0.2">
      <c r="A105" s="2" t="s">
        <v>148</v>
      </c>
      <c r="B105" s="2">
        <v>4</v>
      </c>
      <c r="C105" s="2">
        <v>4</v>
      </c>
      <c r="D105" s="2">
        <v>4</v>
      </c>
      <c r="E105" s="2">
        <v>4</v>
      </c>
      <c r="F105" s="2">
        <v>5</v>
      </c>
      <c r="G105" s="2">
        <v>3</v>
      </c>
      <c r="H105" s="2">
        <v>3</v>
      </c>
      <c r="I105" s="2">
        <v>4</v>
      </c>
      <c r="J105" s="2">
        <v>3</v>
      </c>
      <c r="K105" s="2">
        <v>4</v>
      </c>
      <c r="L105" s="2">
        <v>4</v>
      </c>
      <c r="M105" s="2">
        <v>4</v>
      </c>
      <c r="N105" s="2">
        <v>4</v>
      </c>
      <c r="O105" s="2">
        <v>4</v>
      </c>
      <c r="P105" s="2">
        <v>4</v>
      </c>
      <c r="Q105" s="2">
        <v>4</v>
      </c>
      <c r="R105" s="2">
        <v>4</v>
      </c>
      <c r="S105" s="2">
        <v>4</v>
      </c>
      <c r="T105" s="2">
        <v>3</v>
      </c>
      <c r="U105" s="2">
        <v>4</v>
      </c>
      <c r="V105" s="2">
        <v>3</v>
      </c>
      <c r="W105" s="2">
        <v>5</v>
      </c>
      <c r="X105" s="2">
        <v>3</v>
      </c>
      <c r="Y105" s="2">
        <v>4</v>
      </c>
      <c r="Z105" s="2">
        <v>4</v>
      </c>
      <c r="AA105" s="2">
        <v>4</v>
      </c>
      <c r="AB105" s="2">
        <v>3</v>
      </c>
      <c r="AC105" s="2">
        <v>4</v>
      </c>
      <c r="AD105" s="2">
        <v>3</v>
      </c>
      <c r="AE105" s="2">
        <v>4</v>
      </c>
      <c r="AF105" s="2">
        <v>2</v>
      </c>
      <c r="AG105" s="2">
        <v>2</v>
      </c>
      <c r="AH105" s="2">
        <v>3</v>
      </c>
      <c r="AI105" s="2">
        <v>3</v>
      </c>
      <c r="AJ105" s="2">
        <v>3</v>
      </c>
      <c r="AK105" s="2">
        <v>3</v>
      </c>
      <c r="AL105" s="2">
        <v>3</v>
      </c>
      <c r="AM105" s="2">
        <v>3</v>
      </c>
      <c r="AN105" s="2">
        <v>3</v>
      </c>
      <c r="AO105" s="2">
        <v>3</v>
      </c>
      <c r="AP105" s="2">
        <v>3</v>
      </c>
      <c r="AQ105" s="2">
        <v>3</v>
      </c>
      <c r="AR105" s="2">
        <v>3</v>
      </c>
      <c r="AS105" s="2">
        <v>4</v>
      </c>
      <c r="AT105" s="2"/>
      <c r="AU105" s="2"/>
      <c r="AV105" s="2" t="str">
        <v>37.Extension of time with cost claims</v>
      </c>
      <c r="AW105" s="10">
        <v>-0.34738567901047601</v>
      </c>
      <c r="AX105" s="11">
        <v>-0.20662832441109014</v>
      </c>
      <c r="AY105" s="11">
        <v>-0.21683271819317851</v>
      </c>
      <c r="AZ105" s="18">
        <v>0.42400691279612451</v>
      </c>
      <c r="BA105" s="18">
        <v>-0.99707430837850053</v>
      </c>
      <c r="BB105" s="18">
        <v>-0.69566645660102511</v>
      </c>
      <c r="BC105" s="18">
        <v>9.2709247970478623E-2</v>
      </c>
      <c r="BD105" s="18">
        <v>-0.54110053861801766</v>
      </c>
      <c r="BE105" s="18">
        <v>0.57906169830934784</v>
      </c>
      <c r="BF105" s="18">
        <v>-0.25838678543141103</v>
      </c>
      <c r="BG105" s="18">
        <v>-0.10618334089194155</v>
      </c>
      <c r="BH105" s="18">
        <v>0.86876785033479098</v>
      </c>
      <c r="BI105" s="18">
        <v>1.1358473672262055</v>
      </c>
      <c r="BJ105" s="18">
        <v>-0.61351417180231949</v>
      </c>
      <c r="BK105" s="18">
        <v>-0.58739743346714057</v>
      </c>
      <c r="BL105" s="18">
        <v>-0.35092206710399632</v>
      </c>
      <c r="BM105" s="18">
        <v>0.18495782015359052</v>
      </c>
      <c r="BN105" s="18">
        <v>0.17498252495970154</v>
      </c>
      <c r="BO105" s="18">
        <v>0.10818581112104524</v>
      </c>
      <c r="BP105" s="18">
        <v>0.95787947854158273</v>
      </c>
      <c r="BQ105" s="18">
        <v>-1.4614963292482159</v>
      </c>
      <c r="BR105" s="18">
        <v>0.45744019018115351</v>
      </c>
      <c r="BS105" s="18">
        <v>-0.39957641316361692</v>
      </c>
      <c r="BT105" s="18">
        <v>0.10286447815320272</v>
      </c>
      <c r="BU105" s="18">
        <v>-0.30386585722073151</v>
      </c>
      <c r="BV105" s="18">
        <v>-0.14112360408043306</v>
      </c>
      <c r="BW105" s="18">
        <v>0.57892420969240876</v>
      </c>
      <c r="BX105" s="18">
        <v>0.61141556850888401</v>
      </c>
      <c r="BY105" s="18">
        <v>4.8566563073953128E-2</v>
      </c>
      <c r="BZ105" s="18">
        <v>-4.6754959129977534E-2</v>
      </c>
      <c r="CA105" s="18">
        <v>-0.7648133637285025</v>
      </c>
      <c r="CB105" s="18">
        <v>1.5387152545583134</v>
      </c>
      <c r="CC105" s="18">
        <v>-0.66677735686953366</v>
      </c>
      <c r="CD105" s="18">
        <v>1.4203175404636306</v>
      </c>
      <c r="CE105" s="18">
        <v>-0.70987152124236796</v>
      </c>
      <c r="CF105" s="18">
        <v>-2.1297696341134191</v>
      </c>
      <c r="CG105" s="18">
        <v>3.1754764910987143</v>
      </c>
      <c r="CH105" s="18">
        <v>-6.8047979989986726E-2</v>
      </c>
      <c r="CI105" s="18">
        <v>7.5100549548915915E-2</v>
      </c>
      <c r="CJ105" s="18">
        <v>-0.58966896001135938</v>
      </c>
      <c r="CK105" s="18">
        <v>-7.7675609324402345E-2</v>
      </c>
      <c r="CL105" s="18">
        <v>-0.87697262122447028</v>
      </c>
      <c r="CM105" s="18">
        <v>0.21164808792541653</v>
      </c>
      <c r="CN105" s="19">
        <v>-0.46494299706070841</v>
      </c>
      <c r="CP105" s="23">
        <v>1.7819866697309255</v>
      </c>
    </row>
    <row r="106" spans="1:94" x14ac:dyDescent="0.2">
      <c r="A106" s="2" t="s">
        <v>149</v>
      </c>
      <c r="B106" s="2">
        <v>4</v>
      </c>
      <c r="C106" s="2">
        <v>2</v>
      </c>
      <c r="D106" s="2">
        <v>4</v>
      </c>
      <c r="E106" s="2">
        <v>4</v>
      </c>
      <c r="F106" s="2">
        <v>3</v>
      </c>
      <c r="G106" s="2">
        <v>4</v>
      </c>
      <c r="H106" s="2">
        <v>5</v>
      </c>
      <c r="I106" s="2">
        <v>3</v>
      </c>
      <c r="J106" s="2">
        <v>4</v>
      </c>
      <c r="K106" s="2">
        <v>3</v>
      </c>
      <c r="L106" s="2">
        <v>5</v>
      </c>
      <c r="M106" s="2">
        <v>5</v>
      </c>
      <c r="N106" s="2">
        <v>5</v>
      </c>
      <c r="O106" s="2">
        <v>3</v>
      </c>
      <c r="P106" s="2">
        <v>4</v>
      </c>
      <c r="Q106" s="2">
        <v>3</v>
      </c>
      <c r="R106" s="2">
        <v>3</v>
      </c>
      <c r="S106" s="2">
        <v>2</v>
      </c>
      <c r="T106" s="2">
        <v>4</v>
      </c>
      <c r="U106" s="2">
        <v>1</v>
      </c>
      <c r="V106" s="2">
        <v>4</v>
      </c>
      <c r="W106" s="2">
        <v>4</v>
      </c>
      <c r="X106" s="2">
        <v>2</v>
      </c>
      <c r="Y106" s="2">
        <v>4</v>
      </c>
      <c r="Z106" s="2">
        <v>3</v>
      </c>
      <c r="AA106" s="2">
        <v>3</v>
      </c>
      <c r="AB106" s="2">
        <v>4</v>
      </c>
      <c r="AC106" s="2">
        <v>4</v>
      </c>
      <c r="AD106" s="2">
        <v>5</v>
      </c>
      <c r="AE106" s="2">
        <v>5</v>
      </c>
      <c r="AF106" s="2">
        <v>1</v>
      </c>
      <c r="AG106" s="2">
        <v>2</v>
      </c>
      <c r="AH106" s="2">
        <v>4</v>
      </c>
      <c r="AI106" s="2">
        <v>3</v>
      </c>
      <c r="AJ106" s="2">
        <v>4</v>
      </c>
      <c r="AK106" s="2">
        <v>3</v>
      </c>
      <c r="AL106" s="2">
        <v>3</v>
      </c>
      <c r="AM106" s="2">
        <v>4</v>
      </c>
      <c r="AN106" s="2">
        <v>5</v>
      </c>
      <c r="AO106" s="2">
        <v>4</v>
      </c>
      <c r="AP106" s="2">
        <v>4</v>
      </c>
      <c r="AQ106" s="2">
        <v>1</v>
      </c>
      <c r="AR106" s="2">
        <v>2</v>
      </c>
      <c r="AS106" s="2">
        <v>3</v>
      </c>
      <c r="AT106" s="2"/>
      <c r="AU106" s="2"/>
      <c r="AV106" s="2" t="str">
        <v>38.Scope and specification changes</v>
      </c>
      <c r="AW106" s="10">
        <v>0.33276698650102871</v>
      </c>
      <c r="AX106" s="11">
        <v>1.1375251406662095</v>
      </c>
      <c r="AY106" s="11">
        <v>-0.31005086283997479</v>
      </c>
      <c r="AZ106" s="18">
        <v>0.24849317497775117</v>
      </c>
      <c r="BA106" s="18">
        <v>-0.39851507398701036</v>
      </c>
      <c r="BB106" s="18">
        <v>-0.14680366889867305</v>
      </c>
      <c r="BC106" s="18">
        <v>-0.49161597488337772</v>
      </c>
      <c r="BD106" s="18">
        <v>-1.9085418526287923</v>
      </c>
      <c r="BE106" s="18">
        <v>0.7649086851620035</v>
      </c>
      <c r="BF106" s="18">
        <v>0.6140791232023235</v>
      </c>
      <c r="BG106" s="18">
        <v>1.1947636719514219</v>
      </c>
      <c r="BH106" s="18">
        <v>-0.38185833422405807</v>
      </c>
      <c r="BI106" s="18">
        <v>0.58459310432390243</v>
      </c>
      <c r="BJ106" s="18">
        <v>0.14530877535190564</v>
      </c>
      <c r="BK106" s="18">
        <v>-0.6322462791809329</v>
      </c>
      <c r="BL106" s="18">
        <v>0.21913394571220648</v>
      </c>
      <c r="BM106" s="18">
        <v>9.082036210491419E-2</v>
      </c>
      <c r="BN106" s="18">
        <v>0.19489780997563247</v>
      </c>
      <c r="BO106" s="18">
        <v>0.3976554609969325</v>
      </c>
      <c r="BP106" s="18">
        <v>0.61829403156191243</v>
      </c>
      <c r="BQ106" s="18">
        <v>-1.0476492839412688</v>
      </c>
      <c r="BR106" s="18">
        <v>-0.27405373655011467</v>
      </c>
      <c r="BS106" s="18">
        <v>0.60399755263963073</v>
      </c>
      <c r="BT106" s="18">
        <v>-0.33497401392194037</v>
      </c>
      <c r="BU106" s="18">
        <v>8.5866246351991221E-2</v>
      </c>
      <c r="BV106" s="18">
        <v>-0.19840303404292103</v>
      </c>
      <c r="BW106" s="18">
        <v>-0.45478352386105259</v>
      </c>
      <c r="BX106" s="18">
        <v>0.89559315527619998</v>
      </c>
      <c r="BY106" s="18">
        <v>-0.63149664583387821</v>
      </c>
      <c r="BZ106" s="18">
        <v>0.76799728944298651</v>
      </c>
      <c r="CA106" s="18">
        <v>-0.68160651410064887</v>
      </c>
      <c r="CB106" s="18">
        <v>-0.41241710454024122</v>
      </c>
      <c r="CC106" s="18">
        <v>-0.26511244133834472</v>
      </c>
      <c r="CD106" s="18">
        <v>1.0405085298893826</v>
      </c>
      <c r="CE106" s="18">
        <v>-0.28729944812478919</v>
      </c>
      <c r="CF106" s="18">
        <v>-0.4258077568125041</v>
      </c>
      <c r="CG106" s="18">
        <v>-6.8047979989985991E-2</v>
      </c>
      <c r="CH106" s="18">
        <v>4.2857583511684361</v>
      </c>
      <c r="CI106" s="18">
        <v>-2.1730008923507769</v>
      </c>
      <c r="CJ106" s="18">
        <v>-0.76883438657368464</v>
      </c>
      <c r="CK106" s="18">
        <v>-0.70067660581275304</v>
      </c>
      <c r="CL106" s="18">
        <v>-0.62424486509506438</v>
      </c>
      <c r="CM106" s="18">
        <v>-0.37570944525229516</v>
      </c>
      <c r="CN106" s="19">
        <v>0.10689152383064351</v>
      </c>
      <c r="CP106" s="23">
        <v>2.0702073208179987</v>
      </c>
    </row>
    <row r="107" spans="1:94" x14ac:dyDescent="0.2">
      <c r="A107" s="2" t="s">
        <v>150</v>
      </c>
      <c r="B107" s="2">
        <v>4</v>
      </c>
      <c r="C107" s="2">
        <v>5</v>
      </c>
      <c r="D107" s="2">
        <v>3</v>
      </c>
      <c r="E107" s="2">
        <v>5</v>
      </c>
      <c r="F107" s="2">
        <v>5</v>
      </c>
      <c r="G107" s="2">
        <v>4</v>
      </c>
      <c r="H107" s="2">
        <v>4</v>
      </c>
      <c r="I107" s="2">
        <v>4</v>
      </c>
      <c r="J107" s="2">
        <v>3</v>
      </c>
      <c r="K107" s="2">
        <v>4</v>
      </c>
      <c r="L107" s="2">
        <v>4</v>
      </c>
      <c r="M107" s="2">
        <v>4</v>
      </c>
      <c r="N107" s="2">
        <v>5</v>
      </c>
      <c r="O107" s="2">
        <v>5</v>
      </c>
      <c r="P107" s="2">
        <v>5</v>
      </c>
      <c r="Q107" s="2">
        <v>4</v>
      </c>
      <c r="R107" s="2">
        <v>5</v>
      </c>
      <c r="S107" s="2">
        <v>2</v>
      </c>
      <c r="T107" s="2">
        <v>4</v>
      </c>
      <c r="U107" s="2">
        <v>4</v>
      </c>
      <c r="V107" s="2">
        <v>5</v>
      </c>
      <c r="W107" s="2">
        <v>5</v>
      </c>
      <c r="X107" s="2">
        <v>5</v>
      </c>
      <c r="Y107" s="2">
        <v>2</v>
      </c>
      <c r="Z107" s="2">
        <v>4</v>
      </c>
      <c r="AA107" s="2">
        <v>3</v>
      </c>
      <c r="AB107" s="2">
        <v>4</v>
      </c>
      <c r="AC107" s="2">
        <v>5</v>
      </c>
      <c r="AD107" s="2">
        <v>3</v>
      </c>
      <c r="AE107" s="2">
        <v>4</v>
      </c>
      <c r="AF107" s="2">
        <v>4</v>
      </c>
      <c r="AG107" s="2">
        <v>5</v>
      </c>
      <c r="AH107" s="2">
        <v>2</v>
      </c>
      <c r="AI107" s="2">
        <v>4</v>
      </c>
      <c r="AJ107" s="2">
        <v>4</v>
      </c>
      <c r="AK107" s="2">
        <v>4</v>
      </c>
      <c r="AL107" s="2">
        <v>5</v>
      </c>
      <c r="AM107" s="2">
        <v>4</v>
      </c>
      <c r="AN107" s="2">
        <v>4</v>
      </c>
      <c r="AO107" s="2">
        <v>4</v>
      </c>
      <c r="AP107" s="2">
        <v>5</v>
      </c>
      <c r="AQ107" s="2">
        <v>4</v>
      </c>
      <c r="AR107" s="2">
        <v>4</v>
      </c>
      <c r="AS107" s="2">
        <v>4</v>
      </c>
      <c r="AT107" s="2"/>
      <c r="AU107" s="2"/>
      <c r="AV107" s="2" t="str">
        <v>39.Changes in client requirements</v>
      </c>
      <c r="AW107" s="10">
        <v>-4.0724780732560903E-2</v>
      </c>
      <c r="AX107" s="11">
        <v>-0.81505481028001758</v>
      </c>
      <c r="AY107" s="11">
        <v>0.14523229509560059</v>
      </c>
      <c r="AZ107" s="18">
        <v>-5.4917276311935763E-2</v>
      </c>
      <c r="BA107" s="18">
        <v>-0.94575183079497105</v>
      </c>
      <c r="BB107" s="18">
        <v>1.1551677315358058</v>
      </c>
      <c r="BC107" s="18">
        <v>-1.9824164923343972</v>
      </c>
      <c r="BD107" s="18">
        <v>0.3633451925028392</v>
      </c>
      <c r="BE107" s="18">
        <v>0.98194971917318863</v>
      </c>
      <c r="BF107" s="18">
        <v>-0.92939586450767664</v>
      </c>
      <c r="BG107" s="18">
        <v>0.48218495972829389</v>
      </c>
      <c r="BH107" s="18">
        <v>-0.96558870940897035</v>
      </c>
      <c r="BI107" s="18">
        <v>0.11563039427227458</v>
      </c>
      <c r="BJ107" s="18">
        <v>0.78297096548395617</v>
      </c>
      <c r="BK107" s="18">
        <v>-0.58083443378036803</v>
      </c>
      <c r="BL107" s="18">
        <v>-0.41303965037733226</v>
      </c>
      <c r="BM107" s="18">
        <v>0.29955861520484228</v>
      </c>
      <c r="BN107" s="18">
        <v>-0.71343671352889004</v>
      </c>
      <c r="BO107" s="18">
        <v>-0.48661493613066426</v>
      </c>
      <c r="BP107" s="18">
        <v>-7.0622193181947193E-2</v>
      </c>
      <c r="BQ107" s="18">
        <v>-9.4167324469840538E-2</v>
      </c>
      <c r="BR107" s="18">
        <v>0.59077652267734515</v>
      </c>
      <c r="BS107" s="18">
        <v>-0.35953457127047067</v>
      </c>
      <c r="BT107" s="18">
        <v>-0.21229799752599796</v>
      </c>
      <c r="BU107" s="18">
        <v>0.44184376436994738</v>
      </c>
      <c r="BV107" s="18">
        <v>0.82537937629333546</v>
      </c>
      <c r="BW107" s="18">
        <v>-0.56501392484841151</v>
      </c>
      <c r="BX107" s="18">
        <v>4.4269676793019713E-2</v>
      </c>
      <c r="BY107" s="18">
        <v>-0.13034684792791376</v>
      </c>
      <c r="BZ107" s="18">
        <v>-0.80731270133490574</v>
      </c>
      <c r="CA107" s="18">
        <v>-0.49556482369243138</v>
      </c>
      <c r="CB107" s="18">
        <v>1.6584743921594078</v>
      </c>
      <c r="CC107" s="18">
        <v>-9.6301454565163647E-2</v>
      </c>
      <c r="CD107" s="18">
        <v>-0.32867824605256291</v>
      </c>
      <c r="CE107" s="18">
        <v>0.3128894724875822</v>
      </c>
      <c r="CF107" s="18">
        <v>-0.46362577175617242</v>
      </c>
      <c r="CG107" s="18">
        <v>7.510054954891518E-2</v>
      </c>
      <c r="CH107" s="18">
        <v>-2.1730008923507729</v>
      </c>
      <c r="CI107" s="18">
        <v>4.9288019240020997</v>
      </c>
      <c r="CJ107" s="18">
        <v>-1.5547098545379991</v>
      </c>
      <c r="CK107" s="18">
        <v>0.48790875883757567</v>
      </c>
      <c r="CL107" s="18">
        <v>1.162140279865131</v>
      </c>
      <c r="CM107" s="18">
        <v>-0.14232039115739331</v>
      </c>
      <c r="CN107" s="19">
        <v>0.37509341850468003</v>
      </c>
      <c r="CP107" s="23">
        <v>2.2200905215783657</v>
      </c>
    </row>
    <row r="108" spans="1:94" x14ac:dyDescent="0.2">
      <c r="A108" s="2" t="s">
        <v>151</v>
      </c>
      <c r="B108" s="2">
        <v>4</v>
      </c>
      <c r="C108" s="2">
        <v>2</v>
      </c>
      <c r="D108" s="2">
        <v>3</v>
      </c>
      <c r="E108" s="2">
        <v>4</v>
      </c>
      <c r="F108" s="2">
        <v>2</v>
      </c>
      <c r="G108" s="2">
        <v>5</v>
      </c>
      <c r="H108" s="2">
        <v>4</v>
      </c>
      <c r="I108" s="2">
        <v>3</v>
      </c>
      <c r="J108" s="2">
        <v>3</v>
      </c>
      <c r="K108" s="2">
        <v>4</v>
      </c>
      <c r="L108" s="2">
        <v>4</v>
      </c>
      <c r="M108" s="2">
        <v>5</v>
      </c>
      <c r="N108" s="2">
        <v>5</v>
      </c>
      <c r="O108" s="2">
        <v>4</v>
      </c>
      <c r="P108" s="2">
        <v>4</v>
      </c>
      <c r="Q108" s="2">
        <v>3</v>
      </c>
      <c r="R108" s="2">
        <v>3</v>
      </c>
      <c r="S108" s="2">
        <v>2</v>
      </c>
      <c r="T108" s="2">
        <v>3</v>
      </c>
      <c r="U108" s="2">
        <v>4</v>
      </c>
      <c r="V108" s="2">
        <v>4</v>
      </c>
      <c r="W108" s="2">
        <v>3</v>
      </c>
      <c r="X108" s="2">
        <v>3</v>
      </c>
      <c r="Y108" s="2">
        <v>3</v>
      </c>
      <c r="Z108" s="2">
        <v>3</v>
      </c>
      <c r="AA108" s="2">
        <v>3</v>
      </c>
      <c r="AB108" s="2">
        <v>3</v>
      </c>
      <c r="AC108" s="2">
        <v>3</v>
      </c>
      <c r="AD108" s="2">
        <v>4</v>
      </c>
      <c r="AE108" s="2">
        <v>4</v>
      </c>
      <c r="AF108" s="2">
        <v>4</v>
      </c>
      <c r="AG108" s="2">
        <v>5</v>
      </c>
      <c r="AH108" s="2">
        <v>2</v>
      </c>
      <c r="AI108" s="2">
        <v>2</v>
      </c>
      <c r="AJ108" s="2">
        <v>3</v>
      </c>
      <c r="AK108" s="2">
        <v>4</v>
      </c>
      <c r="AL108" s="2">
        <v>4</v>
      </c>
      <c r="AM108" s="2">
        <v>4</v>
      </c>
      <c r="AN108" s="2">
        <v>3</v>
      </c>
      <c r="AO108" s="2">
        <v>4</v>
      </c>
      <c r="AP108" s="2">
        <v>3</v>
      </c>
      <c r="AQ108" s="2">
        <v>3</v>
      </c>
      <c r="AR108" s="2">
        <v>3</v>
      </c>
      <c r="AS108" s="2">
        <v>4</v>
      </c>
      <c r="AT108" s="2"/>
      <c r="AU108" s="2"/>
      <c r="AV108" s="2" t="str">
        <v>40.Frequency of variation orders and additional works</v>
      </c>
      <c r="AW108" s="10">
        <v>-0.22671132352982634</v>
      </c>
      <c r="AX108" s="11">
        <v>-0.43830383935277617</v>
      </c>
      <c r="AY108" s="11">
        <v>0.68332572030924743</v>
      </c>
      <c r="AZ108" s="18">
        <v>-0.14340851752153708</v>
      </c>
      <c r="BA108" s="18">
        <v>1.3078889851809445</v>
      </c>
      <c r="BB108" s="18">
        <v>-0.94651984370484432</v>
      </c>
      <c r="BC108" s="18">
        <v>1.7807308038013119</v>
      </c>
      <c r="BD108" s="18">
        <v>1.5002508215156372</v>
      </c>
      <c r="BE108" s="18">
        <v>-1.7732121180021057</v>
      </c>
      <c r="BF108" s="18">
        <v>-0.30191767089156279</v>
      </c>
      <c r="BG108" s="18">
        <v>4.3725113668134148E-2</v>
      </c>
      <c r="BH108" s="18">
        <v>0.87552571781062405</v>
      </c>
      <c r="BI108" s="18">
        <v>-1.6016050416687933</v>
      </c>
      <c r="BJ108" s="18">
        <v>-0.87906161402867977</v>
      </c>
      <c r="BK108" s="18">
        <v>0.86376969795111236</v>
      </c>
      <c r="BL108" s="18">
        <v>0.51372542022197931</v>
      </c>
      <c r="BM108" s="18">
        <v>7.4939516013636284E-2</v>
      </c>
      <c r="BN108" s="18">
        <v>-3.5765042064030174E-2</v>
      </c>
      <c r="BO108" s="18">
        <v>-0.16485787979914768</v>
      </c>
      <c r="BP108" s="18">
        <v>-0.23304937502035128</v>
      </c>
      <c r="BQ108" s="18">
        <v>-0.34885935303096777</v>
      </c>
      <c r="BR108" s="18">
        <v>-0.79139478187684431</v>
      </c>
      <c r="BS108" s="18">
        <v>0.35456708029092876</v>
      </c>
      <c r="BT108" s="18">
        <v>0.15820548088594857</v>
      </c>
      <c r="BU108" s="18">
        <v>0.16936853216574974</v>
      </c>
      <c r="BV108" s="18">
        <v>-0.50294865765343233</v>
      </c>
      <c r="BW108" s="18">
        <v>1.1503827167938911</v>
      </c>
      <c r="BX108" s="18">
        <v>-0.81684965422657918</v>
      </c>
      <c r="BY108" s="18">
        <v>5.185350823270183E-2</v>
      </c>
      <c r="BZ108" s="18">
        <v>0.25408993418322662</v>
      </c>
      <c r="CA108" s="18">
        <v>0.45477545594869129</v>
      </c>
      <c r="CB108" s="18">
        <v>-0.44983228662369501</v>
      </c>
      <c r="CC108" s="18">
        <v>-0.22918946353493397</v>
      </c>
      <c r="CD108" s="18">
        <v>-0.77232588502820454</v>
      </c>
      <c r="CE108" s="18">
        <v>6.6485348730382157E-2</v>
      </c>
      <c r="CF108" s="18">
        <v>0.86900755401324803</v>
      </c>
      <c r="CG108" s="18">
        <v>-0.58966896001135927</v>
      </c>
      <c r="CH108" s="18">
        <v>-0.76883438657368897</v>
      </c>
      <c r="CI108" s="18">
        <v>-1.5547098545379969</v>
      </c>
      <c r="CJ108" s="18">
        <v>3.5159291956824203</v>
      </c>
      <c r="CK108" s="18">
        <v>-0.58322628035673341</v>
      </c>
      <c r="CL108" s="18">
        <v>-0.49925692678203626</v>
      </c>
      <c r="CM108" s="18">
        <v>0.32533209858328871</v>
      </c>
      <c r="CN108" s="19">
        <v>5.1838700849732716E-2</v>
      </c>
      <c r="CP108" s="23">
        <v>1.8750811170939834</v>
      </c>
    </row>
    <row r="109" spans="1:94" x14ac:dyDescent="0.2">
      <c r="A109" s="2" t="s">
        <v>152</v>
      </c>
      <c r="B109" s="2">
        <v>3</v>
      </c>
      <c r="C109" s="2">
        <v>1</v>
      </c>
      <c r="D109" s="2">
        <v>1</v>
      </c>
      <c r="E109" s="2">
        <v>2</v>
      </c>
      <c r="F109" s="2">
        <v>1</v>
      </c>
      <c r="G109" s="2">
        <v>1</v>
      </c>
      <c r="H109" s="2">
        <v>1</v>
      </c>
      <c r="I109" s="2">
        <v>3</v>
      </c>
      <c r="J109" s="2">
        <v>1</v>
      </c>
      <c r="K109" s="2">
        <v>5</v>
      </c>
      <c r="L109" s="2">
        <v>1</v>
      </c>
      <c r="M109" s="2">
        <v>3</v>
      </c>
      <c r="N109" s="2">
        <v>1</v>
      </c>
      <c r="O109" s="2">
        <v>5</v>
      </c>
      <c r="P109" s="2">
        <v>4</v>
      </c>
      <c r="Q109" s="2">
        <v>2</v>
      </c>
      <c r="R109" s="2">
        <v>5</v>
      </c>
      <c r="S109" s="2">
        <v>5</v>
      </c>
      <c r="T109" s="2">
        <v>1</v>
      </c>
      <c r="U109" s="2">
        <v>1</v>
      </c>
      <c r="V109" s="2">
        <v>3</v>
      </c>
      <c r="W109" s="2">
        <v>5</v>
      </c>
      <c r="X109" s="2">
        <v>3</v>
      </c>
      <c r="Y109" s="2">
        <v>3</v>
      </c>
      <c r="Z109" s="2">
        <v>2</v>
      </c>
      <c r="AA109" s="2">
        <v>3</v>
      </c>
      <c r="AB109" s="2">
        <v>3</v>
      </c>
      <c r="AC109" s="2">
        <v>5</v>
      </c>
      <c r="AD109" s="2">
        <v>5</v>
      </c>
      <c r="AE109" s="2">
        <v>5</v>
      </c>
      <c r="AF109" s="2">
        <v>5</v>
      </c>
      <c r="AG109" s="2">
        <v>2</v>
      </c>
      <c r="AH109" s="2">
        <v>5</v>
      </c>
      <c r="AI109" s="2">
        <v>2</v>
      </c>
      <c r="AJ109" s="2">
        <v>2</v>
      </c>
      <c r="AK109" s="2">
        <v>1</v>
      </c>
      <c r="AL109" s="2">
        <v>4</v>
      </c>
      <c r="AM109" s="2">
        <v>5</v>
      </c>
      <c r="AN109" s="2">
        <v>5</v>
      </c>
      <c r="AO109" s="2">
        <v>5</v>
      </c>
      <c r="AP109" s="2">
        <v>1</v>
      </c>
      <c r="AQ109" s="2">
        <v>2</v>
      </c>
      <c r="AR109" s="2">
        <v>2</v>
      </c>
      <c r="AS109" s="2">
        <v>5</v>
      </c>
      <c r="AT109" s="2"/>
      <c r="AU109" s="2"/>
      <c r="AV109" s="2" t="str">
        <v>41.Rework due to error in execution</v>
      </c>
      <c r="AW109" s="10">
        <v>-0.6543550535878685</v>
      </c>
      <c r="AX109" s="11">
        <v>0.36517210171476805</v>
      </c>
      <c r="AY109" s="11">
        <v>-0.39916299767634567</v>
      </c>
      <c r="AZ109" s="18">
        <v>0.41358581232295039</v>
      </c>
      <c r="BA109" s="18">
        <v>-7.814653678572149E-2</v>
      </c>
      <c r="BB109" s="18">
        <v>0.53248490026889539</v>
      </c>
      <c r="BC109" s="18">
        <v>-1.1845388362389284</v>
      </c>
      <c r="BD109" s="18">
        <v>-0.2291345887174861</v>
      </c>
      <c r="BE109" s="18">
        <v>1.1714816993509207</v>
      </c>
      <c r="BF109" s="18">
        <v>-0.12345428919533284</v>
      </c>
      <c r="BG109" s="18">
        <v>-0.87970402365828715</v>
      </c>
      <c r="BH109" s="18">
        <v>9.3841832005498345E-3</v>
      </c>
      <c r="BI109" s="18">
        <v>-0.30520638851969129</v>
      </c>
      <c r="BJ109" s="18">
        <v>0.57635669552673885</v>
      </c>
      <c r="BK109" s="18">
        <v>-0.7495227266282396</v>
      </c>
      <c r="BL109" s="18">
        <v>-0.29359469447172692</v>
      </c>
      <c r="BM109" s="18">
        <v>9.4680842662355408E-2</v>
      </c>
      <c r="BN109" s="18">
        <v>-0.2412289258023379</v>
      </c>
      <c r="BO109" s="18">
        <v>-0.25859121820406983</v>
      </c>
      <c r="BP109" s="18">
        <v>0.17053571218684388</v>
      </c>
      <c r="BQ109" s="18">
        <v>0.54052249221645943</v>
      </c>
      <c r="BR109" s="18">
        <v>-2.8089848877399039E-2</v>
      </c>
      <c r="BS109" s="18">
        <v>-1.1268311962066377</v>
      </c>
      <c r="BT109" s="18">
        <v>0.17996272437639504</v>
      </c>
      <c r="BU109" s="18">
        <v>0.60581501143674155</v>
      </c>
      <c r="BV109" s="18">
        <v>0.66610979336385701</v>
      </c>
      <c r="BW109" s="18">
        <v>-0.78024010313348269</v>
      </c>
      <c r="BX109" s="18">
        <v>-0.15841143567870478</v>
      </c>
      <c r="BY109" s="18">
        <v>1.0200565056500528</v>
      </c>
      <c r="BZ109" s="18">
        <v>-0.24004704500945148</v>
      </c>
      <c r="CA109" s="18">
        <v>0.22614558415463654</v>
      </c>
      <c r="CB109" s="18">
        <v>-0.56505841802340195</v>
      </c>
      <c r="CC109" s="18">
        <v>0.89480835072267562</v>
      </c>
      <c r="CD109" s="18">
        <v>-0.18388108810576295</v>
      </c>
      <c r="CE109" s="18">
        <v>-0.79340279413117565</v>
      </c>
      <c r="CF109" s="18">
        <v>-0.56922088436086571</v>
      </c>
      <c r="CG109" s="18">
        <v>-7.7675609324402733E-2</v>
      </c>
      <c r="CH109" s="18">
        <v>-0.70067660581275026</v>
      </c>
      <c r="CI109" s="18">
        <v>0.48790875883757584</v>
      </c>
      <c r="CJ109" s="18">
        <v>-0.58322628035673463</v>
      </c>
      <c r="CK109" s="18">
        <v>3.2034095718024296</v>
      </c>
      <c r="CL109" s="18">
        <v>0.96030628662231454</v>
      </c>
      <c r="CM109" s="18">
        <v>-0.47123450530254501</v>
      </c>
      <c r="CN109" s="19">
        <v>0.28074460665344492</v>
      </c>
      <c r="CP109" s="23">
        <v>1.7898071325711129</v>
      </c>
    </row>
    <row r="110" spans="1:94" x14ac:dyDescent="0.2">
      <c r="A110" s="2" t="s">
        <v>153</v>
      </c>
      <c r="B110" s="2">
        <v>2</v>
      </c>
      <c r="C110" s="2">
        <v>2</v>
      </c>
      <c r="D110" s="2">
        <v>3</v>
      </c>
      <c r="E110" s="2">
        <v>4</v>
      </c>
      <c r="F110" s="2">
        <v>5</v>
      </c>
      <c r="G110" s="2">
        <v>5</v>
      </c>
      <c r="H110" s="2">
        <v>5</v>
      </c>
      <c r="I110" s="2">
        <v>4</v>
      </c>
      <c r="J110" s="2">
        <v>5</v>
      </c>
      <c r="K110" s="2">
        <v>5</v>
      </c>
      <c r="L110" s="2">
        <v>4</v>
      </c>
      <c r="M110" s="2">
        <v>4</v>
      </c>
      <c r="N110" s="2">
        <v>5</v>
      </c>
      <c r="O110" s="2">
        <v>4</v>
      </c>
      <c r="P110" s="2">
        <v>4</v>
      </c>
      <c r="Q110" s="2">
        <v>4</v>
      </c>
      <c r="R110" s="2">
        <v>4</v>
      </c>
      <c r="S110" s="2">
        <v>3</v>
      </c>
      <c r="T110" s="2">
        <v>3</v>
      </c>
      <c r="U110" s="2">
        <v>4</v>
      </c>
      <c r="V110" s="2">
        <v>4</v>
      </c>
      <c r="W110" s="2">
        <v>2</v>
      </c>
      <c r="X110" s="2">
        <v>4</v>
      </c>
      <c r="Y110" s="2">
        <v>4</v>
      </c>
      <c r="Z110" s="2">
        <v>4</v>
      </c>
      <c r="AA110" s="2">
        <v>4</v>
      </c>
      <c r="AB110" s="2">
        <v>5</v>
      </c>
      <c r="AC110" s="2">
        <v>5</v>
      </c>
      <c r="AD110" s="2">
        <v>5</v>
      </c>
      <c r="AE110" s="2">
        <v>4</v>
      </c>
      <c r="AF110" s="2">
        <v>5</v>
      </c>
      <c r="AG110" s="2">
        <v>5</v>
      </c>
      <c r="AH110" s="2">
        <v>5</v>
      </c>
      <c r="AI110" s="2">
        <v>4</v>
      </c>
      <c r="AJ110" s="2">
        <v>4</v>
      </c>
      <c r="AK110" s="2">
        <v>4</v>
      </c>
      <c r="AL110" s="2">
        <v>4</v>
      </c>
      <c r="AM110" s="2">
        <v>5</v>
      </c>
      <c r="AN110" s="2">
        <v>5</v>
      </c>
      <c r="AO110" s="2">
        <v>4</v>
      </c>
      <c r="AP110" s="2">
        <v>4</v>
      </c>
      <c r="AQ110" s="2">
        <v>2</v>
      </c>
      <c r="AR110" s="2">
        <v>2</v>
      </c>
      <c r="AS110" s="2">
        <v>3</v>
      </c>
      <c r="AT110" s="2"/>
      <c r="AU110" s="2"/>
      <c r="AV110" s="2" t="str">
        <v>42.Weather conditions</v>
      </c>
      <c r="AW110" s="10">
        <v>-0.46947026997639474</v>
      </c>
      <c r="AX110" s="11">
        <v>0.12528134095416085</v>
      </c>
      <c r="AY110" s="11">
        <v>-0.41314721447939268</v>
      </c>
      <c r="AZ110" s="18">
        <v>-0.62696852367310008</v>
      </c>
      <c r="BA110" s="18">
        <v>-0.67555315780363967</v>
      </c>
      <c r="BB110" s="18">
        <v>1.2440991908080115</v>
      </c>
      <c r="BC110" s="18">
        <v>-0.30867939899932029</v>
      </c>
      <c r="BD110" s="18">
        <v>-0.23617409384065735</v>
      </c>
      <c r="BE110" s="18">
        <v>0.71088158375454791</v>
      </c>
      <c r="BF110" s="18">
        <v>-1.0806063098084826</v>
      </c>
      <c r="BG110" s="18">
        <v>-0.49172249320028077</v>
      </c>
      <c r="BH110" s="18">
        <v>-0.52652567553063012</v>
      </c>
      <c r="BI110" s="18">
        <v>0.55733586276096969</v>
      </c>
      <c r="BJ110" s="18">
        <v>1.5791341092178413</v>
      </c>
      <c r="BK110" s="18">
        <v>1.0942280318326916</v>
      </c>
      <c r="BL110" s="18">
        <v>-1.1147573632784697</v>
      </c>
      <c r="BM110" s="18">
        <v>-0.57374866964660731</v>
      </c>
      <c r="BN110" s="18">
        <v>-9.1858439735910805E-2</v>
      </c>
      <c r="BO110" s="18">
        <v>0.54971338029089512</v>
      </c>
      <c r="BP110" s="18">
        <v>-1.4030920953875845</v>
      </c>
      <c r="BQ110" s="18">
        <v>1.4784184756056902</v>
      </c>
      <c r="BR110" s="18">
        <v>-0.92551797592757834</v>
      </c>
      <c r="BS110" s="18">
        <v>3.1995649191563183E-2</v>
      </c>
      <c r="BT110" s="18">
        <v>-0.18589483253409564</v>
      </c>
      <c r="BU110" s="18">
        <v>-3.6645635304470431E-2</v>
      </c>
      <c r="BV110" s="18">
        <v>1.7263919307390228</v>
      </c>
      <c r="BW110" s="18">
        <v>-1.6393657515263471</v>
      </c>
      <c r="BX110" s="18">
        <v>0.39558628316894628</v>
      </c>
      <c r="BY110" s="18">
        <v>-0.11392006879784021</v>
      </c>
      <c r="BZ110" s="18">
        <v>-0.95707503760952461</v>
      </c>
      <c r="CA110" s="18">
        <v>-0.66586551752004908</v>
      </c>
      <c r="CB110" s="18">
        <v>-1.3223297374440166</v>
      </c>
      <c r="CC110" s="18">
        <v>2.8285444426662534</v>
      </c>
      <c r="CD110" s="18">
        <v>-2.670667501465398</v>
      </c>
      <c r="CE110" s="18">
        <v>0.66418498408942772</v>
      </c>
      <c r="CF110" s="18">
        <v>0.47848279112774206</v>
      </c>
      <c r="CG110" s="18">
        <v>-0.87697262122447195</v>
      </c>
      <c r="CH110" s="18">
        <v>-0.62424486509506238</v>
      </c>
      <c r="CI110" s="18">
        <v>1.1621402798651312</v>
      </c>
      <c r="CJ110" s="18">
        <v>-0.49925692678203631</v>
      </c>
      <c r="CK110" s="18">
        <v>0.9603062866223131</v>
      </c>
      <c r="CL110" s="18">
        <v>7.0440833918552217</v>
      </c>
      <c r="CM110" s="18">
        <v>-3.0258166771020654</v>
      </c>
      <c r="CN110" s="19">
        <v>-0.69721798034957094</v>
      </c>
      <c r="CP110" s="23">
        <v>2.6540692138403665</v>
      </c>
    </row>
    <row r="111" spans="1:94" x14ac:dyDescent="0.2">
      <c r="A111" s="2" t="s">
        <v>154</v>
      </c>
      <c r="B111" s="2">
        <v>2</v>
      </c>
      <c r="C111" s="2">
        <v>2</v>
      </c>
      <c r="D111" s="2">
        <v>2</v>
      </c>
      <c r="E111" s="2">
        <v>2</v>
      </c>
      <c r="F111" s="2">
        <v>1</v>
      </c>
      <c r="G111" s="2">
        <v>3</v>
      </c>
      <c r="H111" s="2">
        <v>3</v>
      </c>
      <c r="I111" s="2">
        <v>1</v>
      </c>
      <c r="J111" s="2">
        <v>1</v>
      </c>
      <c r="K111" s="2">
        <v>1</v>
      </c>
      <c r="L111" s="2">
        <v>1</v>
      </c>
      <c r="M111" s="2">
        <v>2</v>
      </c>
      <c r="N111" s="2">
        <v>3</v>
      </c>
      <c r="O111" s="2">
        <v>3</v>
      </c>
      <c r="P111" s="2">
        <v>3</v>
      </c>
      <c r="Q111" s="2">
        <v>1</v>
      </c>
      <c r="R111" s="2">
        <v>3</v>
      </c>
      <c r="S111" s="2">
        <v>1</v>
      </c>
      <c r="T111" s="2">
        <v>2</v>
      </c>
      <c r="U111" s="2">
        <v>1</v>
      </c>
      <c r="V111" s="2">
        <v>2</v>
      </c>
      <c r="W111" s="2">
        <v>3</v>
      </c>
      <c r="X111" s="2">
        <v>3</v>
      </c>
      <c r="Y111" s="2">
        <v>4</v>
      </c>
      <c r="Z111" s="2">
        <v>2</v>
      </c>
      <c r="AA111" s="2">
        <v>1</v>
      </c>
      <c r="AB111" s="2">
        <v>2</v>
      </c>
      <c r="AC111" s="2">
        <v>1</v>
      </c>
      <c r="AD111" s="2">
        <v>3</v>
      </c>
      <c r="AE111" s="2">
        <v>4</v>
      </c>
      <c r="AF111" s="2">
        <v>2</v>
      </c>
      <c r="AG111" s="2">
        <v>1</v>
      </c>
      <c r="AH111" s="2">
        <v>2</v>
      </c>
      <c r="AI111" s="2">
        <v>1</v>
      </c>
      <c r="AJ111" s="2">
        <v>2</v>
      </c>
      <c r="AK111" s="2">
        <v>3</v>
      </c>
      <c r="AL111" s="2">
        <v>3</v>
      </c>
      <c r="AM111" s="2">
        <v>5</v>
      </c>
      <c r="AN111" s="2">
        <v>5</v>
      </c>
      <c r="AO111" s="2">
        <v>4</v>
      </c>
      <c r="AP111" s="2">
        <v>4</v>
      </c>
      <c r="AQ111" s="2">
        <v>1</v>
      </c>
      <c r="AR111" s="2">
        <v>2</v>
      </c>
      <c r="AS111" s="2">
        <v>3</v>
      </c>
      <c r="AT111" s="2"/>
      <c r="AU111" s="2"/>
      <c r="AV111" s="2" t="str">
        <v>43.Accidents during construction</v>
      </c>
      <c r="AW111" s="10">
        <v>-0.16361803041393219</v>
      </c>
      <c r="AX111" s="11">
        <v>-0.85827542494962461</v>
      </c>
      <c r="AY111" s="11">
        <v>0.22547461003231814</v>
      </c>
      <c r="AZ111" s="18">
        <v>-0.4489646575135175</v>
      </c>
      <c r="BA111" s="18">
        <v>0.75455759613429552</v>
      </c>
      <c r="BB111" s="18">
        <v>-8.7164983856786074E-2</v>
      </c>
      <c r="BC111" s="18">
        <v>0.57813134766568286</v>
      </c>
      <c r="BD111" s="18">
        <v>0.4591679527671419</v>
      </c>
      <c r="BE111" s="18">
        <v>-1.1776889554945627</v>
      </c>
      <c r="BF111" s="18">
        <v>1.1618500832748715</v>
      </c>
      <c r="BG111" s="18">
        <v>-4.9026511376457672E-2</v>
      </c>
      <c r="BH111" s="18">
        <v>-1.3508592655912883</v>
      </c>
      <c r="BI111" s="18">
        <v>3.1530267223159443E-2</v>
      </c>
      <c r="BJ111" s="18">
        <v>-0.68706473067918783</v>
      </c>
      <c r="BK111" s="18">
        <v>-0.10068720257068814</v>
      </c>
      <c r="BL111" s="18">
        <v>-1.3724480573356637E-2</v>
      </c>
      <c r="BM111" s="18">
        <v>0.4674617514112675</v>
      </c>
      <c r="BN111" s="18">
        <v>-0.23084489037928022</v>
      </c>
      <c r="BO111" s="18">
        <v>0.52566926525397939</v>
      </c>
      <c r="BP111" s="18">
        <v>0.5633984341791537</v>
      </c>
      <c r="BQ111" s="18">
        <v>-0.8784758699611902</v>
      </c>
      <c r="BR111" s="18">
        <v>1.0569514643981381</v>
      </c>
      <c r="BS111" s="18">
        <v>-0.65638915427572364</v>
      </c>
      <c r="BT111" s="18">
        <v>-0.23105916095468013</v>
      </c>
      <c r="BU111" s="18">
        <v>4.41603782644664E-2</v>
      </c>
      <c r="BV111" s="18">
        <v>-0.23788522067404488</v>
      </c>
      <c r="BW111" s="18">
        <v>0.62078596754226645</v>
      </c>
      <c r="BX111" s="18">
        <v>-0.5072809780108013</v>
      </c>
      <c r="BY111" s="18">
        <v>0.94234143340767196</v>
      </c>
      <c r="BZ111" s="18">
        <v>-0.25157349997670386</v>
      </c>
      <c r="CA111" s="18">
        <v>0.86742489815479984</v>
      </c>
      <c r="CB111" s="18">
        <v>-0.23693350961116316</v>
      </c>
      <c r="CC111" s="18">
        <v>-0.99536983360503184</v>
      </c>
      <c r="CD111" s="18">
        <v>0.75462542642416852</v>
      </c>
      <c r="CE111" s="18">
        <v>-0.41156179817192129</v>
      </c>
      <c r="CF111" s="18">
        <v>0.64086638239460347</v>
      </c>
      <c r="CG111" s="18">
        <v>0.21164808792541756</v>
      </c>
      <c r="CH111" s="18">
        <v>-0.37570944525229577</v>
      </c>
      <c r="CI111" s="18">
        <v>-0.14232039115739265</v>
      </c>
      <c r="CJ111" s="18">
        <v>0.32533209858328782</v>
      </c>
      <c r="CK111" s="18">
        <v>-0.47123450530254307</v>
      </c>
      <c r="CL111" s="18">
        <v>-3.0258166771020663</v>
      </c>
      <c r="CM111" s="18">
        <v>4.2083512896887969</v>
      </c>
      <c r="CN111" s="19">
        <v>-0.79081646763290292</v>
      </c>
      <c r="CP111" s="23">
        <v>2.0514266474063354</v>
      </c>
    </row>
    <row r="112" spans="1:94" x14ac:dyDescent="0.2">
      <c r="A112" s="2" t="s">
        <v>155</v>
      </c>
      <c r="B112" s="2">
        <v>1</v>
      </c>
      <c r="C112" s="2">
        <v>1</v>
      </c>
      <c r="D112" s="2">
        <v>1</v>
      </c>
      <c r="E112" s="2">
        <v>1</v>
      </c>
      <c r="F112" s="2">
        <v>2</v>
      </c>
      <c r="G112" s="2">
        <v>3</v>
      </c>
      <c r="H112" s="2">
        <v>3</v>
      </c>
      <c r="I112" s="2">
        <v>3</v>
      </c>
      <c r="J112" s="2">
        <v>3</v>
      </c>
      <c r="K112" s="2">
        <v>3</v>
      </c>
      <c r="L112" s="2">
        <v>4</v>
      </c>
      <c r="M112" s="2">
        <v>5</v>
      </c>
      <c r="N112" s="2">
        <v>5</v>
      </c>
      <c r="O112" s="2">
        <v>4</v>
      </c>
      <c r="P112" s="2">
        <v>4</v>
      </c>
      <c r="Q112" s="2">
        <v>5</v>
      </c>
      <c r="R112" s="2">
        <v>5</v>
      </c>
      <c r="S112" s="2">
        <v>2</v>
      </c>
      <c r="T112" s="2">
        <v>4</v>
      </c>
      <c r="U112" s="2">
        <v>4</v>
      </c>
      <c r="V112" s="2">
        <v>5</v>
      </c>
      <c r="W112" s="2">
        <v>4</v>
      </c>
      <c r="X112" s="2">
        <v>5</v>
      </c>
      <c r="Y112" s="2">
        <v>5</v>
      </c>
      <c r="Z112" s="2">
        <v>4</v>
      </c>
      <c r="AA112" s="2">
        <v>4</v>
      </c>
      <c r="AB112" s="2">
        <v>4</v>
      </c>
      <c r="AC112" s="2">
        <v>4</v>
      </c>
      <c r="AD112" s="2">
        <v>4</v>
      </c>
      <c r="AE112" s="2">
        <v>5</v>
      </c>
      <c r="AF112" s="2">
        <v>4</v>
      </c>
      <c r="AG112" s="2">
        <v>2</v>
      </c>
      <c r="AH112" s="2">
        <v>1</v>
      </c>
      <c r="AI112" s="2">
        <v>4</v>
      </c>
      <c r="AJ112" s="2">
        <v>4</v>
      </c>
      <c r="AK112" s="2">
        <v>4</v>
      </c>
      <c r="AL112" s="2">
        <v>4</v>
      </c>
      <c r="AM112" s="2">
        <v>4</v>
      </c>
      <c r="AN112" s="2">
        <v>4</v>
      </c>
      <c r="AO112" s="2">
        <v>4</v>
      </c>
      <c r="AP112" s="2">
        <v>4</v>
      </c>
      <c r="AQ112" s="2">
        <v>3</v>
      </c>
      <c r="AR112" s="2">
        <v>3</v>
      </c>
      <c r="AS112" s="2">
        <v>4</v>
      </c>
      <c r="AT112" s="2"/>
      <c r="AU112" s="2"/>
      <c r="AV112" s="2" t="str">
        <v>44.Delay in getting NOCs from different government authorities</v>
      </c>
      <c r="AW112" s="13">
        <v>0.14142458421603291</v>
      </c>
      <c r="AX112" s="14">
        <v>-0.81836821307321372</v>
      </c>
      <c r="AY112" s="14">
        <v>-6.7192710663756719E-2</v>
      </c>
      <c r="AZ112" s="20">
        <v>1.1153062940918161</v>
      </c>
      <c r="BA112" s="20">
        <v>-0.26793733917443568</v>
      </c>
      <c r="BB112" s="20">
        <v>0.53226314085028748</v>
      </c>
      <c r="BC112" s="20">
        <v>-0.90281210395173783</v>
      </c>
      <c r="BD112" s="20">
        <v>-0.32491311165091652</v>
      </c>
      <c r="BE112" s="20">
        <v>1.7776982402786499</v>
      </c>
      <c r="BF112" s="20">
        <v>-1.2771322953524289</v>
      </c>
      <c r="BG112" s="20">
        <v>0.53339430706089774</v>
      </c>
      <c r="BH112" s="20">
        <v>0.16385880691627491</v>
      </c>
      <c r="BI112" s="20">
        <v>-0.48401893505645166</v>
      </c>
      <c r="BJ112" s="20">
        <v>-1.331511831389294</v>
      </c>
      <c r="BK112" s="20">
        <v>0.14834266656351919</v>
      </c>
      <c r="BL112" s="20">
        <v>0.80819113431636602</v>
      </c>
      <c r="BM112" s="20">
        <v>0.52252362973692768</v>
      </c>
      <c r="BN112" s="20">
        <v>-0.11321904895447039</v>
      </c>
      <c r="BO112" s="20">
        <v>-0.4515766050957512</v>
      </c>
      <c r="BP112" s="20">
        <v>0.19385685916057502</v>
      </c>
      <c r="BQ112" s="20">
        <v>0.19364644853569005</v>
      </c>
      <c r="BR112" s="20">
        <v>-0.41579236729169738</v>
      </c>
      <c r="BS112" s="20">
        <v>0.35720100668187732</v>
      </c>
      <c r="BT112" s="20">
        <v>0.12948682717135981</v>
      </c>
      <c r="BU112" s="20">
        <v>9.074009528751234E-2</v>
      </c>
      <c r="BV112" s="20">
        <v>-0.13388813724862206</v>
      </c>
      <c r="BW112" s="20">
        <v>-0.14793757354429948</v>
      </c>
      <c r="BX112" s="20">
        <v>-1.2418802164874666E-2</v>
      </c>
      <c r="BY112" s="20">
        <v>-0.8902521366491718</v>
      </c>
      <c r="BZ112" s="20">
        <v>-0.37329439955835103</v>
      </c>
      <c r="CA112" s="20">
        <v>4.5499548635366545E-2</v>
      </c>
      <c r="CB112" s="20">
        <v>3.7547726943698484E-2</v>
      </c>
      <c r="CC112" s="20">
        <v>8.6093724851611264E-2</v>
      </c>
      <c r="CD112" s="20">
        <v>9.0364065893553822E-2</v>
      </c>
      <c r="CE112" s="20">
        <v>-0.55707911421951395</v>
      </c>
      <c r="CF112" s="20">
        <v>-0.91716200894669953</v>
      </c>
      <c r="CG112" s="20">
        <v>-0.4649429970607088</v>
      </c>
      <c r="CH112" s="20">
        <v>0.10689152383064432</v>
      </c>
      <c r="CI112" s="20">
        <v>0.37509341850467942</v>
      </c>
      <c r="CJ112" s="20">
        <v>5.1838700849733077E-2</v>
      </c>
      <c r="CK112" s="20">
        <v>0.28074460665344381</v>
      </c>
      <c r="CL112" s="20">
        <v>-0.69721798034957105</v>
      </c>
      <c r="CM112" s="20">
        <v>-0.7908164676329027</v>
      </c>
      <c r="CN112" s="21">
        <v>3.7446063721383389</v>
      </c>
      <c r="CP112" s="24">
        <v>1.9350985432629364</v>
      </c>
    </row>
    <row r="113" spans="1:92" x14ac:dyDescent="0.2">
      <c r="A113" s="2" t="s">
        <v>156</v>
      </c>
      <c r="B113" s="2">
        <v>4</v>
      </c>
      <c r="C113" s="2">
        <v>4</v>
      </c>
      <c r="D113" s="2">
        <v>4</v>
      </c>
      <c r="E113" s="2">
        <v>4</v>
      </c>
      <c r="F113" s="2">
        <v>5</v>
      </c>
      <c r="G113" s="2">
        <v>3</v>
      </c>
      <c r="H113" s="2">
        <v>3</v>
      </c>
      <c r="I113" s="2">
        <v>4</v>
      </c>
      <c r="J113" s="2">
        <v>3</v>
      </c>
      <c r="K113" s="2">
        <v>4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2">
        <v>4</v>
      </c>
      <c r="T113" s="2">
        <v>3</v>
      </c>
      <c r="U113" s="2">
        <v>4</v>
      </c>
      <c r="V113" s="2">
        <v>3</v>
      </c>
      <c r="W113" s="2">
        <v>5</v>
      </c>
      <c r="X113" s="2">
        <v>3</v>
      </c>
      <c r="Y113" s="2">
        <v>4</v>
      </c>
      <c r="Z113" s="2">
        <v>4</v>
      </c>
      <c r="AA113" s="2">
        <v>4</v>
      </c>
      <c r="AB113" s="2">
        <v>3</v>
      </c>
      <c r="AC113" s="2">
        <v>4</v>
      </c>
      <c r="AD113" s="2">
        <v>3</v>
      </c>
      <c r="AE113" s="2">
        <v>4</v>
      </c>
      <c r="AF113" s="2">
        <v>2</v>
      </c>
      <c r="AG113" s="2">
        <v>2</v>
      </c>
      <c r="AH113" s="2">
        <v>3</v>
      </c>
      <c r="AI113" s="2">
        <v>3</v>
      </c>
      <c r="AJ113" s="2">
        <v>3</v>
      </c>
      <c r="AK113" s="2">
        <v>3</v>
      </c>
      <c r="AL113" s="2">
        <v>3</v>
      </c>
      <c r="AM113" s="2">
        <v>3</v>
      </c>
      <c r="AN113" s="2">
        <v>3</v>
      </c>
      <c r="AO113" s="2">
        <v>3</v>
      </c>
      <c r="AP113" s="2">
        <v>3</v>
      </c>
      <c r="AQ113" s="2">
        <v>3</v>
      </c>
      <c r="AR113" s="2">
        <v>3</v>
      </c>
      <c r="AS113" s="2">
        <v>4</v>
      </c>
      <c r="AT113" s="2"/>
      <c r="AU113" s="2"/>
      <c r="AV113" s="2"/>
      <c r="AW113" s="2"/>
      <c r="AX113" s="2"/>
      <c r="AY113" s="2"/>
    </row>
    <row r="114" spans="1:92" x14ac:dyDescent="0.2">
      <c r="A114" s="2" t="s">
        <v>157</v>
      </c>
      <c r="B114" s="2">
        <v>4</v>
      </c>
      <c r="C114" s="2">
        <v>3</v>
      </c>
      <c r="D114" s="2">
        <v>3</v>
      </c>
      <c r="E114" s="2">
        <v>3</v>
      </c>
      <c r="F114" s="2">
        <v>3</v>
      </c>
      <c r="G114" s="2">
        <v>4</v>
      </c>
      <c r="H114" s="2">
        <v>4</v>
      </c>
      <c r="I114" s="2">
        <v>5</v>
      </c>
      <c r="J114" s="2">
        <v>4</v>
      </c>
      <c r="K114" s="2">
        <v>5</v>
      </c>
      <c r="L114" s="2">
        <v>4</v>
      </c>
      <c r="M114" s="2">
        <v>5</v>
      </c>
      <c r="N114" s="2">
        <v>4</v>
      </c>
      <c r="O114" s="2">
        <v>4</v>
      </c>
      <c r="P114" s="2">
        <v>4</v>
      </c>
      <c r="Q114" s="2">
        <v>3</v>
      </c>
      <c r="R114" s="2">
        <v>4</v>
      </c>
      <c r="S114" s="2">
        <v>3</v>
      </c>
      <c r="T114" s="2">
        <v>4</v>
      </c>
      <c r="U114" s="2">
        <v>3</v>
      </c>
      <c r="V114" s="2">
        <v>4</v>
      </c>
      <c r="W114" s="2">
        <v>4</v>
      </c>
      <c r="X114" s="2">
        <v>3</v>
      </c>
      <c r="Y114" s="2">
        <v>2</v>
      </c>
      <c r="Z114" s="2">
        <v>1</v>
      </c>
      <c r="AA114" s="2">
        <v>5</v>
      </c>
      <c r="AB114" s="2">
        <v>3</v>
      </c>
      <c r="AC114" s="2">
        <v>4</v>
      </c>
      <c r="AD114" s="2">
        <v>2</v>
      </c>
      <c r="AE114" s="2">
        <v>3</v>
      </c>
      <c r="AF114" s="2">
        <v>4</v>
      </c>
      <c r="AG114" s="2">
        <v>3</v>
      </c>
      <c r="AH114" s="2">
        <v>4</v>
      </c>
      <c r="AI114" s="2">
        <v>3</v>
      </c>
      <c r="AJ114" s="2">
        <v>3</v>
      </c>
      <c r="AK114" s="2">
        <v>3</v>
      </c>
      <c r="AL114" s="2">
        <v>4</v>
      </c>
      <c r="AM114" s="2">
        <v>5</v>
      </c>
      <c r="AN114" s="2">
        <v>5</v>
      </c>
      <c r="AO114" s="2">
        <v>5</v>
      </c>
      <c r="AP114" s="2">
        <v>5</v>
      </c>
      <c r="AQ114" s="2">
        <v>1</v>
      </c>
      <c r="AR114" s="2">
        <v>2</v>
      </c>
      <c r="AS114" s="2">
        <v>3</v>
      </c>
      <c r="AT114" s="2"/>
      <c r="AU114" s="2"/>
      <c r="AV114" s="2" t="s">
        <v>196</v>
      </c>
      <c r="AW114" s="2"/>
      <c r="AX114" s="2"/>
      <c r="AY114" s="2"/>
    </row>
    <row r="115" spans="1:92" x14ac:dyDescent="0.2">
      <c r="A115" s="2" t="s">
        <v>158</v>
      </c>
      <c r="B115" s="2">
        <v>4</v>
      </c>
      <c r="C115" s="2">
        <v>5</v>
      </c>
      <c r="D115" s="2">
        <v>3</v>
      </c>
      <c r="E115" s="2">
        <v>3</v>
      </c>
      <c r="F115" s="2">
        <v>3</v>
      </c>
      <c r="G115" s="2">
        <v>4</v>
      </c>
      <c r="H115" s="2">
        <v>4</v>
      </c>
      <c r="I115" s="2">
        <v>5</v>
      </c>
      <c r="J115" s="2">
        <v>3</v>
      </c>
      <c r="K115" s="2">
        <v>2</v>
      </c>
      <c r="L115" s="2">
        <v>4</v>
      </c>
      <c r="M115" s="2">
        <v>5</v>
      </c>
      <c r="N115" s="2">
        <v>5</v>
      </c>
      <c r="O115" s="2">
        <v>4</v>
      </c>
      <c r="P115" s="2">
        <v>1</v>
      </c>
      <c r="Q115" s="2">
        <v>2</v>
      </c>
      <c r="R115" s="2">
        <v>1</v>
      </c>
      <c r="S115" s="2">
        <v>3</v>
      </c>
      <c r="T115" s="2">
        <v>4</v>
      </c>
      <c r="U115" s="2">
        <v>2</v>
      </c>
      <c r="V115" s="2">
        <v>2</v>
      </c>
      <c r="W115" s="2">
        <v>2</v>
      </c>
      <c r="X115" s="2">
        <v>1</v>
      </c>
      <c r="Y115" s="2">
        <v>3</v>
      </c>
      <c r="Z115" s="2">
        <v>2</v>
      </c>
      <c r="AA115" s="2">
        <v>1</v>
      </c>
      <c r="AB115" s="2">
        <v>1</v>
      </c>
      <c r="AC115" s="2">
        <v>1</v>
      </c>
      <c r="AD115" s="2">
        <v>2</v>
      </c>
      <c r="AE115" s="2">
        <v>4</v>
      </c>
      <c r="AF115" s="2">
        <v>2</v>
      </c>
      <c r="AG115" s="2">
        <v>3</v>
      </c>
      <c r="AH115" s="2">
        <v>5</v>
      </c>
      <c r="AI115" s="2">
        <v>2</v>
      </c>
      <c r="AJ115" s="2">
        <v>2</v>
      </c>
      <c r="AK115" s="2">
        <v>4</v>
      </c>
      <c r="AL115" s="2">
        <v>4</v>
      </c>
      <c r="AM115" s="2">
        <v>4</v>
      </c>
      <c r="AN115" s="2">
        <v>4</v>
      </c>
      <c r="AO115" s="2">
        <v>4</v>
      </c>
      <c r="AP115" s="2">
        <v>3</v>
      </c>
      <c r="AQ115" s="2">
        <v>2</v>
      </c>
      <c r="AR115" s="2">
        <v>5</v>
      </c>
      <c r="AS115" s="2">
        <v>5</v>
      </c>
      <c r="AT115" s="2"/>
      <c r="AU115" s="2"/>
      <c r="AV115" s="2"/>
      <c r="AW115" s="2"/>
      <c r="AX115" s="2"/>
      <c r="AY115" s="2"/>
    </row>
    <row r="116" spans="1:92" x14ac:dyDescent="0.2">
      <c r="A116" s="2" t="s">
        <v>159</v>
      </c>
      <c r="B116" s="2">
        <v>3</v>
      </c>
      <c r="C116" s="2">
        <v>3</v>
      </c>
      <c r="D116" s="2">
        <v>3</v>
      </c>
      <c r="E116" s="2">
        <v>3</v>
      </c>
      <c r="F116" s="2">
        <v>3</v>
      </c>
      <c r="G116" s="2">
        <v>3</v>
      </c>
      <c r="H116" s="2">
        <v>2</v>
      </c>
      <c r="I116" s="2">
        <v>3</v>
      </c>
      <c r="J116" s="2">
        <v>2</v>
      </c>
      <c r="K116" s="2">
        <v>3</v>
      </c>
      <c r="L116" s="2">
        <v>3</v>
      </c>
      <c r="M116" s="2">
        <v>3</v>
      </c>
      <c r="N116" s="2">
        <v>4</v>
      </c>
      <c r="O116" s="2">
        <v>4</v>
      </c>
      <c r="P116" s="2">
        <v>4</v>
      </c>
      <c r="Q116" s="2">
        <v>4</v>
      </c>
      <c r="R116" s="2">
        <v>5</v>
      </c>
      <c r="S116" s="2">
        <v>4</v>
      </c>
      <c r="T116" s="3"/>
      <c r="U116" s="2">
        <v>2</v>
      </c>
      <c r="V116" s="2">
        <v>2</v>
      </c>
      <c r="W116" s="2">
        <v>3</v>
      </c>
      <c r="X116" s="2">
        <v>3</v>
      </c>
      <c r="Y116" s="2">
        <v>2</v>
      </c>
      <c r="Z116" s="2">
        <v>3</v>
      </c>
      <c r="AA116" s="2">
        <v>3</v>
      </c>
      <c r="AB116" s="2">
        <v>4</v>
      </c>
      <c r="AC116" s="2">
        <v>3</v>
      </c>
      <c r="AD116" s="2">
        <v>3</v>
      </c>
      <c r="AE116" s="2">
        <v>4</v>
      </c>
      <c r="AF116" s="2">
        <v>3</v>
      </c>
      <c r="AG116" s="2">
        <v>3</v>
      </c>
      <c r="AH116" s="2">
        <v>3</v>
      </c>
      <c r="AI116" s="2">
        <v>2</v>
      </c>
      <c r="AJ116" s="2">
        <v>2</v>
      </c>
      <c r="AK116" s="2">
        <v>4</v>
      </c>
      <c r="AL116" s="2">
        <v>5</v>
      </c>
      <c r="AM116" s="2">
        <v>4</v>
      </c>
      <c r="AN116" s="2">
        <v>5</v>
      </c>
      <c r="AO116" s="2">
        <v>5</v>
      </c>
      <c r="AP116" s="2">
        <v>2</v>
      </c>
      <c r="AQ116" s="2">
        <v>2</v>
      </c>
      <c r="AR116" s="2">
        <v>2</v>
      </c>
      <c r="AS116" s="2">
        <v>4</v>
      </c>
      <c r="AT116" s="2"/>
      <c r="AU116" s="2"/>
      <c r="AV116" s="2"/>
      <c r="AW116" s="2" t="str">
        <f t="array" ref="AW116:CN116">B1:AS1</f>
        <v>1.Delay in delivering material to construction site</v>
      </c>
      <c r="AX116" s="2" t="str">
        <v>2.Monopoly of material by some suppliers</v>
      </c>
      <c r="AY116" s="2" t="str">
        <v>3.Prices fluctuation</v>
      </c>
      <c r="AZ116" t="str">
        <v>4.Types of material availability at local market</v>
      </c>
      <c r="BA116" t="str">
        <v>5.Lack of consultant’s knowledge of available materials</v>
      </c>
      <c r="BB116" t="str">
        <v>6.Low productivity</v>
      </c>
      <c r="BC116" t="str">
        <v>7.Poor work execution</v>
      </c>
      <c r="BD116" t="str">
        <v>8.Shortage of laborers</v>
      </c>
      <c r="BE116" t="str">
        <v>9.Mistakes happens during construction phase</v>
      </c>
      <c r="BF116" t="str">
        <v>10.Unavailability of equipment</v>
      </c>
      <c r="BG116" t="str">
        <v>11.Lack of engineering experience</v>
      </c>
      <c r="BH116" t="str">
        <v>12.Construction cost underestimation</v>
      </c>
      <c r="BI116" t="str">
        <v>13.Poor site management</v>
      </c>
      <c r="BJ116" t="str">
        <v>14.Delayed payment for completed work</v>
      </c>
      <c r="BK116" t="str">
        <v>15.Cash flow problem during construction</v>
      </c>
      <c r="BL116" t="str">
        <v>16.High rate of interest</v>
      </c>
      <c r="BM116" t="str">
        <v>17.Contractor’s financial difficulties</v>
      </c>
      <c r="BN116" t="str">
        <v>18.Increase in salaries of skilled laborers</v>
      </c>
      <c r="BO116" t="str">
        <v>19.Change design</v>
      </c>
      <c r="BP116" t="str">
        <v>20.Errors and omission in design</v>
      </c>
      <c r="BQ116" t="str">
        <v>21.Incomplete design drawings and specifications at tendering stage</v>
      </c>
      <c r="BR116" t="str">
        <v>22.Delay in preparation and approval of drawing</v>
      </c>
      <c r="BS116" t="str">
        <v>23.Inaccurate quantity take-off</v>
      </c>
      <c r="BT116" t="str">
        <v>24.Long period from planning of project to construction</v>
      </c>
      <c r="BU116" t="str">
        <v>25.Delays in issuing information to the contractor during construction stage</v>
      </c>
      <c r="BV116" t="str">
        <v>26.No practical use of earned value management system</v>
      </c>
      <c r="BW116" t="str">
        <v>27.Lack of cost planning/monitoring during pre and post contract stage</v>
      </c>
      <c r="BX116" t="str">
        <v>28.Poor communication between client, consultant and contractor</v>
      </c>
      <c r="BY116" t="str">
        <v>29.Insufficient coordination between local authority who is responsible about road projects and service authorities</v>
      </c>
      <c r="BZ116" t="str">
        <v>30.Delays in decisions making by the approval authorities</v>
      </c>
      <c r="CA116" t="str">
        <v>31.Change schedule</v>
      </c>
      <c r="CB116" t="str">
        <v>32.Stoppages because of work being rejected by consultant</v>
      </c>
      <c r="CC116" t="str">
        <v>33.Lowest bid price</v>
      </c>
      <c r="CD116" t="str">
        <v>34.Insufficient time for preparation of contract documents</v>
      </c>
      <c r="CE116" t="str">
        <v>35.Discrepancies in contract documents</v>
      </c>
      <c r="CF116" t="str">
        <v>36.Underestimation of time for completion of project</v>
      </c>
      <c r="CG116" t="str">
        <v>37.Extension of time with cost claims</v>
      </c>
      <c r="CH116" t="str">
        <v>38.Scope and specification changes</v>
      </c>
      <c r="CI116" t="str">
        <v>39.Changes in client requirements</v>
      </c>
      <c r="CJ116" t="str">
        <v>40.Frequency of variation orders and additional works</v>
      </c>
      <c r="CK116" t="str">
        <v>41.Rework due to error in execution</v>
      </c>
      <c r="CL116" t="str">
        <v>42.Weather conditions</v>
      </c>
      <c r="CM116" t="str">
        <v>43.Accidents during construction</v>
      </c>
      <c r="CN116" t="str">
        <v>44.Delay in getting NOCs from different government authorities</v>
      </c>
    </row>
    <row r="117" spans="1:92" x14ac:dyDescent="0.2">
      <c r="A117" s="2" t="s">
        <v>160</v>
      </c>
      <c r="B117" s="2">
        <v>4</v>
      </c>
      <c r="C117" s="2">
        <v>4</v>
      </c>
      <c r="D117" s="2">
        <v>4</v>
      </c>
      <c r="E117" s="2">
        <v>4</v>
      </c>
      <c r="F117" s="2">
        <v>3</v>
      </c>
      <c r="G117" s="2">
        <v>4</v>
      </c>
      <c r="H117" s="2">
        <v>4</v>
      </c>
      <c r="I117" s="2">
        <v>4</v>
      </c>
      <c r="J117" s="2">
        <v>3</v>
      </c>
      <c r="K117" s="2">
        <v>4</v>
      </c>
      <c r="L117" s="2">
        <v>4</v>
      </c>
      <c r="M117" s="2">
        <v>4</v>
      </c>
      <c r="N117" s="2">
        <v>4</v>
      </c>
      <c r="O117" s="2">
        <v>4</v>
      </c>
      <c r="P117" s="2">
        <v>4</v>
      </c>
      <c r="Q117" s="2">
        <v>3</v>
      </c>
      <c r="R117" s="2">
        <v>3</v>
      </c>
      <c r="S117" s="2">
        <v>3</v>
      </c>
      <c r="T117" s="2">
        <v>5</v>
      </c>
      <c r="U117" s="2">
        <v>5</v>
      </c>
      <c r="V117" s="2">
        <v>5</v>
      </c>
      <c r="W117" s="2">
        <v>3</v>
      </c>
      <c r="X117" s="2">
        <v>3</v>
      </c>
      <c r="Y117" s="2">
        <v>3</v>
      </c>
      <c r="Z117" s="2">
        <v>4</v>
      </c>
      <c r="AA117" s="2">
        <v>3</v>
      </c>
      <c r="AB117" s="2">
        <v>4</v>
      </c>
      <c r="AC117" s="2">
        <v>4</v>
      </c>
      <c r="AD117" s="2">
        <v>4</v>
      </c>
      <c r="AE117" s="2">
        <v>4</v>
      </c>
      <c r="AF117" s="2">
        <v>4</v>
      </c>
      <c r="AG117" s="2">
        <v>4</v>
      </c>
      <c r="AH117" s="2">
        <v>3</v>
      </c>
      <c r="AI117" s="2">
        <v>3</v>
      </c>
      <c r="AJ117" s="2">
        <v>3</v>
      </c>
      <c r="AK117" s="2">
        <v>3</v>
      </c>
      <c r="AL117" s="2">
        <v>3</v>
      </c>
      <c r="AM117" s="2">
        <v>4</v>
      </c>
      <c r="AN117" s="2">
        <v>3</v>
      </c>
      <c r="AO117" s="2">
        <v>3</v>
      </c>
      <c r="AP117" s="2">
        <v>3</v>
      </c>
      <c r="AQ117" s="2">
        <v>4</v>
      </c>
      <c r="AR117" s="2">
        <v>4</v>
      </c>
      <c r="AS117" s="2">
        <v>5</v>
      </c>
      <c r="AT117" s="2"/>
      <c r="AU117" s="2"/>
      <c r="AV117" s="2" t="str">
        <f t="array" ref="AV117:AV160">TRANSPOSE(B1:AS1)</f>
        <v>1.Delay in delivering material to construction site</v>
      </c>
      <c r="AW117" s="7">
        <f t="array" ref="AW117:CN160">-AW69:CN112/MMULT(CP69:CP112,TRANSPOSE(CP69:CP112))+2*[1]!Identity()</f>
        <v>1</v>
      </c>
      <c r="AX117" s="8">
        <v>0.38232557540479911</v>
      </c>
      <c r="AY117" s="8">
        <v>-0.25703527645270491</v>
      </c>
      <c r="AZ117" s="16">
        <v>0.28464754493402755</v>
      </c>
      <c r="BA117" s="16">
        <v>-7.2012641692050142E-2</v>
      </c>
      <c r="BB117" s="16">
        <v>0.12626744098613729</v>
      </c>
      <c r="BC117" s="16">
        <v>5.5946407015051158E-2</v>
      </c>
      <c r="BD117" s="16">
        <v>7.072393306264263E-2</v>
      </c>
      <c r="BE117" s="16">
        <v>0.13606930456545263</v>
      </c>
      <c r="BF117" s="16">
        <v>-2.6223597803371429E-3</v>
      </c>
      <c r="BG117" s="16">
        <v>-7.2858943466061796E-2</v>
      </c>
      <c r="BH117" s="16">
        <v>6.0998434806426589E-2</v>
      </c>
      <c r="BI117" s="16">
        <v>-0.22844852709241731</v>
      </c>
      <c r="BJ117" s="16">
        <v>-4.9173712387806698E-2</v>
      </c>
      <c r="BK117" s="16">
        <v>0.19961920905688676</v>
      </c>
      <c r="BL117" s="16">
        <v>-0.20382475273999631</v>
      </c>
      <c r="BM117" s="16">
        <v>-0.1285765710550309</v>
      </c>
      <c r="BN117" s="16">
        <v>0.27436322731440116</v>
      </c>
      <c r="BO117" s="16">
        <v>-0.21724599444195591</v>
      </c>
      <c r="BP117" s="16">
        <v>-0.11724372734799005</v>
      </c>
      <c r="BQ117" s="16">
        <v>0.23086690387322034</v>
      </c>
      <c r="BR117" s="16">
        <v>4.1630653825189101E-2</v>
      </c>
      <c r="BS117" s="16">
        <v>-0.33244194551422873</v>
      </c>
      <c r="BT117" s="16">
        <v>0.11601344384910652</v>
      </c>
      <c r="BU117" s="16">
        <v>0.2085704655454724</v>
      </c>
      <c r="BV117" s="16">
        <v>7.4733596568611838E-2</v>
      </c>
      <c r="BW117" s="16">
        <v>-0.12774726892597912</v>
      </c>
      <c r="BX117" s="16">
        <v>-1.2012729894218454E-2</v>
      </c>
      <c r="BY117" s="16">
        <v>-0.1154055059393987</v>
      </c>
      <c r="BZ117" s="16">
        <v>5.2083762158074316E-2</v>
      </c>
      <c r="CA117" s="16">
        <v>-0.10269633963206976</v>
      </c>
      <c r="CB117" s="16">
        <v>9.6307322363689538E-2</v>
      </c>
      <c r="CC117" s="16">
        <v>0.11669472354398411</v>
      </c>
      <c r="CD117" s="16">
        <v>-0.20913306671130796</v>
      </c>
      <c r="CE117" s="16">
        <v>0.21941035341637224</v>
      </c>
      <c r="CF117" s="16">
        <v>4.88949789354454E-2</v>
      </c>
      <c r="CG117" s="16">
        <v>8.776977702834006E-2</v>
      </c>
      <c r="CH117" s="16">
        <v>-7.2370892600805009E-2</v>
      </c>
      <c r="CI117" s="16">
        <v>8.2589646523498709E-3</v>
      </c>
      <c r="CJ117" s="16">
        <v>5.4436561789163986E-2</v>
      </c>
      <c r="CK117" s="16">
        <v>0.16460565896338689</v>
      </c>
      <c r="CL117" s="16">
        <v>7.9640391444831482E-2</v>
      </c>
      <c r="CM117" s="16">
        <v>3.5909776591315321E-2</v>
      </c>
      <c r="CN117" s="17">
        <v>-3.2904807917917701E-2</v>
      </c>
    </row>
    <row r="118" spans="1:92" x14ac:dyDescent="0.2">
      <c r="A118" s="2" t="s">
        <v>161</v>
      </c>
      <c r="B118" s="2">
        <v>2</v>
      </c>
      <c r="C118" s="2">
        <v>4</v>
      </c>
      <c r="D118" s="2">
        <v>4</v>
      </c>
      <c r="E118" s="2">
        <v>3</v>
      </c>
      <c r="F118" s="2">
        <v>2</v>
      </c>
      <c r="G118" s="2">
        <v>4</v>
      </c>
      <c r="H118" s="2">
        <v>4</v>
      </c>
      <c r="I118" s="2">
        <v>3</v>
      </c>
      <c r="J118" s="2">
        <v>4</v>
      </c>
      <c r="K118" s="2">
        <v>4</v>
      </c>
      <c r="L118" s="2">
        <v>5</v>
      </c>
      <c r="M118" s="2">
        <v>5</v>
      </c>
      <c r="N118" s="2">
        <v>4</v>
      </c>
      <c r="O118" s="2">
        <v>2</v>
      </c>
      <c r="P118" s="2">
        <v>2</v>
      </c>
      <c r="Q118" s="2">
        <v>2</v>
      </c>
      <c r="R118" s="2">
        <v>4</v>
      </c>
      <c r="S118" s="2">
        <v>3</v>
      </c>
      <c r="T118" s="2">
        <v>2</v>
      </c>
      <c r="U118" s="2">
        <v>2</v>
      </c>
      <c r="V118" s="2">
        <v>2</v>
      </c>
      <c r="W118" s="2">
        <v>2</v>
      </c>
      <c r="X118" s="2">
        <v>5</v>
      </c>
      <c r="Y118" s="2">
        <v>3</v>
      </c>
      <c r="Z118" s="2">
        <v>2</v>
      </c>
      <c r="AA118" s="2">
        <v>3</v>
      </c>
      <c r="AB118" s="2">
        <v>4</v>
      </c>
      <c r="AC118" s="2">
        <v>4</v>
      </c>
      <c r="AD118" s="2">
        <v>4</v>
      </c>
      <c r="AE118" s="2">
        <v>2</v>
      </c>
      <c r="AF118" s="2">
        <v>2</v>
      </c>
      <c r="AG118" s="2">
        <v>3</v>
      </c>
      <c r="AH118" s="2">
        <v>2</v>
      </c>
      <c r="AI118" s="2">
        <v>2</v>
      </c>
      <c r="AJ118" s="2">
        <v>3</v>
      </c>
      <c r="AK118" s="2">
        <v>5</v>
      </c>
      <c r="AL118" s="2">
        <v>2</v>
      </c>
      <c r="AM118" s="2">
        <v>2</v>
      </c>
      <c r="AN118" s="2">
        <v>2</v>
      </c>
      <c r="AO118" s="2">
        <v>2</v>
      </c>
      <c r="AP118" s="2">
        <v>5</v>
      </c>
      <c r="AQ118" s="2">
        <v>3</v>
      </c>
      <c r="AR118" s="2">
        <v>4</v>
      </c>
      <c r="AS118" s="2">
        <v>3</v>
      </c>
      <c r="AT118" s="2"/>
      <c r="AU118" s="2"/>
      <c r="AV118" s="2" t="str">
        <v>2.Monopoly of material by some suppliers</v>
      </c>
      <c r="AW118" s="10">
        <v>0.38232557540479883</v>
      </c>
      <c r="AX118" s="11">
        <v>1.0000000000000002</v>
      </c>
      <c r="AY118" s="11">
        <v>0.18038832070052355</v>
      </c>
      <c r="AZ118" s="18">
        <v>4.4395800373317487E-2</v>
      </c>
      <c r="BA118" s="18">
        <v>0.16775479448217243</v>
      </c>
      <c r="BB118" s="18">
        <v>-0.13566385598183051</v>
      </c>
      <c r="BC118" s="18">
        <v>-2.8132455277407407E-2</v>
      </c>
      <c r="BD118" s="18">
        <v>0.22732277889394678</v>
      </c>
      <c r="BE118" s="18">
        <v>-0.11983947015268812</v>
      </c>
      <c r="BF118" s="18">
        <v>-6.4262246233440942E-2</v>
      </c>
      <c r="BG118" s="18">
        <v>0.16789086033074499</v>
      </c>
      <c r="BH118" s="18">
        <v>-0.26014383527174784</v>
      </c>
      <c r="BI118" s="18">
        <v>0.13192236140132085</v>
      </c>
      <c r="BJ118" s="18">
        <v>-0.21012074117580221</v>
      </c>
      <c r="BK118" s="18">
        <v>8.640301665294213E-2</v>
      </c>
      <c r="BL118" s="18">
        <v>0.14353473258608121</v>
      </c>
      <c r="BM118" s="18">
        <v>0.17863204304717706</v>
      </c>
      <c r="BN118" s="18">
        <v>-0.18369461993879646</v>
      </c>
      <c r="BO118" s="18">
        <v>0.30732948923285114</v>
      </c>
      <c r="BP118" s="18">
        <v>3.3013250423167967E-2</v>
      </c>
      <c r="BQ118" s="18">
        <v>-0.18944304807659576</v>
      </c>
      <c r="BR118" s="18">
        <v>0.13018887507271984</v>
      </c>
      <c r="BS118" s="18">
        <v>7.9031428125687281E-2</v>
      </c>
      <c r="BT118" s="18">
        <v>-0.14006094790265802</v>
      </c>
      <c r="BU118" s="18">
        <v>-4.9487002112981821E-2</v>
      </c>
      <c r="BV118" s="18">
        <v>-0.19543104203368822</v>
      </c>
      <c r="BW118" s="18">
        <v>0.14277592090478688</v>
      </c>
      <c r="BX118" s="18">
        <v>-5.7571294630525287E-2</v>
      </c>
      <c r="BY118" s="18">
        <v>0.11843150214144402</v>
      </c>
      <c r="BZ118" s="18">
        <v>-0.38237201264168291</v>
      </c>
      <c r="CA118" s="18">
        <v>8.3486068462059915E-2</v>
      </c>
      <c r="CB118" s="18">
        <v>-5.7392230383358243E-2</v>
      </c>
      <c r="CC118" s="18">
        <v>5.0672644852291844E-2</v>
      </c>
      <c r="CD118" s="18">
        <v>-6.0035094779737806E-2</v>
      </c>
      <c r="CE118" s="18">
        <v>-0.1586249182369758</v>
      </c>
      <c r="CF118" s="18">
        <v>0.1292912698377508</v>
      </c>
      <c r="CG118" s="18">
        <v>5.367852983443553E-2</v>
      </c>
      <c r="CH118" s="18">
        <v>-0.2543679404082746</v>
      </c>
      <c r="CI118" s="18">
        <v>0.16995398100204492</v>
      </c>
      <c r="CJ118" s="18">
        <v>0.10821075429235684</v>
      </c>
      <c r="CK118" s="18">
        <v>-9.4451001295569992E-2</v>
      </c>
      <c r="CL118" s="18">
        <v>-2.1851907757906686E-2</v>
      </c>
      <c r="CM118" s="18">
        <v>0.1936804987021607</v>
      </c>
      <c r="CN118" s="19">
        <v>0.19577664237854422</v>
      </c>
    </row>
    <row r="119" spans="1:92" x14ac:dyDescent="0.2">
      <c r="A119" s="2" t="s">
        <v>162</v>
      </c>
      <c r="B119" s="2">
        <v>1</v>
      </c>
      <c r="C119" s="2">
        <v>1</v>
      </c>
      <c r="D119" s="2">
        <v>1</v>
      </c>
      <c r="E119" s="2">
        <v>1</v>
      </c>
      <c r="F119" s="2">
        <v>2</v>
      </c>
      <c r="G119" s="2">
        <v>3</v>
      </c>
      <c r="H119" s="2">
        <v>3</v>
      </c>
      <c r="I119" s="2">
        <v>3</v>
      </c>
      <c r="J119" s="2">
        <v>3</v>
      </c>
      <c r="K119" s="2">
        <v>3</v>
      </c>
      <c r="L119" s="2">
        <v>4</v>
      </c>
      <c r="M119" s="2">
        <v>5</v>
      </c>
      <c r="N119" s="2">
        <v>5</v>
      </c>
      <c r="O119" s="2">
        <v>4</v>
      </c>
      <c r="P119" s="2">
        <v>4</v>
      </c>
      <c r="Q119" s="2">
        <v>5</v>
      </c>
      <c r="R119" s="2">
        <v>5</v>
      </c>
      <c r="S119" s="2">
        <v>2</v>
      </c>
      <c r="T119" s="2">
        <v>4</v>
      </c>
      <c r="U119" s="2">
        <v>4</v>
      </c>
      <c r="V119" s="2">
        <v>5</v>
      </c>
      <c r="W119" s="2">
        <v>4</v>
      </c>
      <c r="X119" s="2">
        <v>5</v>
      </c>
      <c r="Y119" s="2">
        <v>5</v>
      </c>
      <c r="Z119" s="2">
        <v>4</v>
      </c>
      <c r="AA119" s="2">
        <v>4</v>
      </c>
      <c r="AB119" s="2">
        <v>4</v>
      </c>
      <c r="AC119" s="2">
        <v>4</v>
      </c>
      <c r="AD119" s="2">
        <v>4</v>
      </c>
      <c r="AE119" s="2">
        <v>5</v>
      </c>
      <c r="AF119" s="2">
        <v>4</v>
      </c>
      <c r="AG119" s="2">
        <v>2</v>
      </c>
      <c r="AH119" s="2">
        <v>1</v>
      </c>
      <c r="AI119" s="2">
        <v>4</v>
      </c>
      <c r="AJ119" s="2">
        <v>4</v>
      </c>
      <c r="AK119" s="2">
        <v>4</v>
      </c>
      <c r="AL119" s="2">
        <v>4</v>
      </c>
      <c r="AM119" s="2">
        <v>4</v>
      </c>
      <c r="AN119" s="2">
        <v>4</v>
      </c>
      <c r="AO119" s="2">
        <v>4</v>
      </c>
      <c r="AP119" s="2">
        <v>4</v>
      </c>
      <c r="AQ119" s="2">
        <v>3</v>
      </c>
      <c r="AR119" s="2">
        <v>3</v>
      </c>
      <c r="AS119" s="2">
        <v>4</v>
      </c>
      <c r="AT119" s="2"/>
      <c r="AU119" s="2"/>
      <c r="AV119" s="2" t="str">
        <v>3.Prices fluctuation</v>
      </c>
      <c r="AW119" s="10">
        <v>-0.2570352764527053</v>
      </c>
      <c r="AX119" s="11">
        <v>0.18038832070052366</v>
      </c>
      <c r="AY119" s="11">
        <v>1</v>
      </c>
      <c r="AZ119" s="18">
        <v>0.41406779413418665</v>
      </c>
      <c r="BA119" s="18">
        <v>-5.2054083811178861E-2</v>
      </c>
      <c r="BB119" s="18">
        <v>-1.6107256213053967E-2</v>
      </c>
      <c r="BC119" s="18">
        <v>8.166844376406493E-2</v>
      </c>
      <c r="BD119" s="18">
        <v>-0.18434631626959802</v>
      </c>
      <c r="BE119" s="18">
        <v>0.26923466660818957</v>
      </c>
      <c r="BF119" s="18">
        <v>-7.9799111677214998E-2</v>
      </c>
      <c r="BG119" s="18">
        <v>1.2878162092160174E-2</v>
      </c>
      <c r="BH119" s="18">
        <v>2.3700146171464532E-2</v>
      </c>
      <c r="BI119" s="18">
        <v>0.1121478243781103</v>
      </c>
      <c r="BJ119" s="18">
        <v>-6.2159638549291997E-2</v>
      </c>
      <c r="BK119" s="18">
        <v>5.0344850080001856E-2</v>
      </c>
      <c r="BL119" s="18">
        <v>-0.11432649075092075</v>
      </c>
      <c r="BM119" s="18">
        <v>6.6598827675865016E-2</v>
      </c>
      <c r="BN119" s="18">
        <v>0.12617258631739492</v>
      </c>
      <c r="BO119" s="18">
        <v>7.6581753789305387E-2</v>
      </c>
      <c r="BP119" s="18">
        <v>1.3277759051267334E-2</v>
      </c>
      <c r="BQ119" s="18">
        <v>8.8951087234924592E-2</v>
      </c>
      <c r="BR119" s="18">
        <v>0.10931363429222807</v>
      </c>
      <c r="BS119" s="18">
        <v>-0.25672391703393238</v>
      </c>
      <c r="BT119" s="18">
        <v>0.16431465429891792</v>
      </c>
      <c r="BU119" s="18">
        <v>-0.13858831268319829</v>
      </c>
      <c r="BV119" s="18">
        <v>0.21903621121826872</v>
      </c>
      <c r="BW119" s="18">
        <v>-0.1623355980218591</v>
      </c>
      <c r="BX119" s="18">
        <v>-5.3678434982363438E-2</v>
      </c>
      <c r="BY119" s="18">
        <v>0.14893563947090535</v>
      </c>
      <c r="BZ119" s="18">
        <v>-0.25776550507631657</v>
      </c>
      <c r="CA119" s="18">
        <v>0.11782390418569626</v>
      </c>
      <c r="CB119" s="18">
        <v>-0.15222069778216132</v>
      </c>
      <c r="CC119" s="18">
        <v>9.6694119958587385E-2</v>
      </c>
      <c r="CD119" s="18">
        <v>2.3151138813783115E-2</v>
      </c>
      <c r="CE119" s="18">
        <v>-0.2136528205479678</v>
      </c>
      <c r="CF119" s="18">
        <v>-3.0495663359800702E-2</v>
      </c>
      <c r="CG119" s="18">
        <v>7.1959784522091758E-2</v>
      </c>
      <c r="CH119" s="18">
        <v>8.8570397808759138E-2</v>
      </c>
      <c r="CI119" s="18">
        <v>-3.8686728792166343E-2</v>
      </c>
      <c r="CJ119" s="18">
        <v>-0.21551484905046162</v>
      </c>
      <c r="CK119" s="18">
        <v>0.13189050527856719</v>
      </c>
      <c r="CL119" s="18">
        <v>9.2058114517114778E-2</v>
      </c>
      <c r="CM119" s="18">
        <v>-6.4999668680731815E-2</v>
      </c>
      <c r="CN119" s="19">
        <v>2.0534709654759609E-2</v>
      </c>
    </row>
    <row r="120" spans="1:92" x14ac:dyDescent="0.2">
      <c r="A120" s="2" t="s">
        <v>163</v>
      </c>
      <c r="B120" s="2">
        <v>4</v>
      </c>
      <c r="C120" s="2">
        <v>5</v>
      </c>
      <c r="D120" s="2">
        <v>3</v>
      </c>
      <c r="E120" s="2">
        <v>5</v>
      </c>
      <c r="F120" s="2">
        <v>5</v>
      </c>
      <c r="G120" s="2">
        <v>4</v>
      </c>
      <c r="H120" s="2">
        <v>4</v>
      </c>
      <c r="I120" s="2">
        <v>4</v>
      </c>
      <c r="J120" s="2">
        <v>3</v>
      </c>
      <c r="K120" s="2">
        <v>4</v>
      </c>
      <c r="L120" s="2">
        <v>4</v>
      </c>
      <c r="M120" s="2">
        <v>4</v>
      </c>
      <c r="N120" s="2">
        <v>5</v>
      </c>
      <c r="O120" s="2">
        <v>5</v>
      </c>
      <c r="P120" s="2">
        <v>5</v>
      </c>
      <c r="Q120" s="2">
        <v>4</v>
      </c>
      <c r="R120" s="2">
        <v>5</v>
      </c>
      <c r="S120" s="2">
        <v>2</v>
      </c>
      <c r="T120" s="2">
        <v>4</v>
      </c>
      <c r="U120" s="2">
        <v>4</v>
      </c>
      <c r="V120" s="2">
        <v>5</v>
      </c>
      <c r="W120" s="2">
        <v>5</v>
      </c>
      <c r="X120" s="2">
        <v>5</v>
      </c>
      <c r="Y120" s="2">
        <v>2</v>
      </c>
      <c r="Z120" s="2">
        <v>4</v>
      </c>
      <c r="AA120" s="2">
        <v>3</v>
      </c>
      <c r="AB120" s="2">
        <v>4</v>
      </c>
      <c r="AC120" s="2">
        <v>5</v>
      </c>
      <c r="AD120" s="2">
        <v>3</v>
      </c>
      <c r="AE120" s="2">
        <v>4</v>
      </c>
      <c r="AF120" s="2">
        <v>4</v>
      </c>
      <c r="AG120" s="2">
        <v>5</v>
      </c>
      <c r="AH120" s="2">
        <v>2</v>
      </c>
      <c r="AI120" s="2">
        <v>4</v>
      </c>
      <c r="AJ120" s="2">
        <v>4</v>
      </c>
      <c r="AK120" s="2">
        <v>4</v>
      </c>
      <c r="AL120" s="2">
        <v>5</v>
      </c>
      <c r="AM120" s="2">
        <v>4</v>
      </c>
      <c r="AN120" s="2">
        <v>4</v>
      </c>
      <c r="AO120" s="2">
        <v>4</v>
      </c>
      <c r="AP120" s="2">
        <v>5</v>
      </c>
      <c r="AQ120" s="2">
        <v>4</v>
      </c>
      <c r="AR120" s="2">
        <v>4</v>
      </c>
      <c r="AS120" s="2">
        <v>4</v>
      </c>
      <c r="AT120" s="2"/>
      <c r="AU120" s="2"/>
      <c r="AV120" s="2" t="str">
        <v>4.Types of material availability at local market</v>
      </c>
      <c r="AW120" s="10">
        <v>0.28464754493402733</v>
      </c>
      <c r="AX120" s="11">
        <v>4.4395800373317432E-2</v>
      </c>
      <c r="AY120" s="11">
        <v>0.41406779413418604</v>
      </c>
      <c r="AZ120" s="18">
        <v>0.99999999999999978</v>
      </c>
      <c r="BA120" s="18">
        <v>0.29882425114908412</v>
      </c>
      <c r="BB120" s="18">
        <v>9.4325561097877236E-2</v>
      </c>
      <c r="BC120" s="18">
        <v>0.21759748900528211</v>
      </c>
      <c r="BD120" s="18">
        <v>0.23306519040947002</v>
      </c>
      <c r="BE120" s="18">
        <v>-0.44457543958171536</v>
      </c>
      <c r="BF120" s="18">
        <v>0.13858403047210952</v>
      </c>
      <c r="BG120" s="18">
        <v>4.5733278827378786E-2</v>
      </c>
      <c r="BH120" s="18">
        <v>-0.16684942237648462</v>
      </c>
      <c r="BI120" s="18">
        <v>-3.0552861402373045E-2</v>
      </c>
      <c r="BJ120" s="18">
        <v>-0.13297089991006916</v>
      </c>
      <c r="BK120" s="18">
        <v>0.18277148327145765</v>
      </c>
      <c r="BL120" s="18">
        <v>-0.11222784961965569</v>
      </c>
      <c r="BM120" s="18">
        <v>-0.2015534773732939</v>
      </c>
      <c r="BN120" s="18">
        <v>2.0580663770400378E-2</v>
      </c>
      <c r="BO120" s="18">
        <v>4.0203185803387373E-2</v>
      </c>
      <c r="BP120" s="18">
        <v>-0.16647231817478567</v>
      </c>
      <c r="BQ120" s="18">
        <v>9.8829559876918074E-3</v>
      </c>
      <c r="BR120" s="18">
        <v>-9.61350504739137E-2</v>
      </c>
      <c r="BS120" s="18">
        <v>0.21629244994142605</v>
      </c>
      <c r="BT120" s="18">
        <v>-1.6337154408235351E-2</v>
      </c>
      <c r="BU120" s="18">
        <v>-3.1899745436118745E-2</v>
      </c>
      <c r="BV120" s="18">
        <v>-6.5615182367948069E-2</v>
      </c>
      <c r="BW120" s="18">
        <v>9.6228595627390348E-2</v>
      </c>
      <c r="BX120" s="18">
        <v>0.16886765686380426</v>
      </c>
      <c r="BY120" s="18">
        <v>-0.18557645308298151</v>
      </c>
      <c r="BZ120" s="18">
        <v>0.21309041748961349</v>
      </c>
      <c r="CA120" s="18">
        <v>6.0659430439194778E-2</v>
      </c>
      <c r="CB120" s="18">
        <v>-1.6605847017896252E-3</v>
      </c>
      <c r="CC120" s="18">
        <v>0.10008644251683764</v>
      </c>
      <c r="CD120" s="18">
        <v>-6.0220411679186035E-2</v>
      </c>
      <c r="CE120" s="18">
        <v>5.0274605053040461E-2</v>
      </c>
      <c r="CF120" s="18">
        <v>0.16724216651075116</v>
      </c>
      <c r="CG120" s="18">
        <v>-0.10107726359955672</v>
      </c>
      <c r="CH120" s="18">
        <v>-5.0990070781169343E-2</v>
      </c>
      <c r="CI120" s="18">
        <v>1.050807821911369E-2</v>
      </c>
      <c r="CJ120" s="18">
        <v>3.2489264203922417E-2</v>
      </c>
      <c r="CK120" s="18">
        <v>-9.8162223604221596E-2</v>
      </c>
      <c r="CL120" s="18">
        <v>0.10035025571081052</v>
      </c>
      <c r="CM120" s="18">
        <v>9.2969640569126377E-2</v>
      </c>
      <c r="CN120" s="19">
        <v>-0.24483644045443126</v>
      </c>
    </row>
    <row r="121" spans="1:92" x14ac:dyDescent="0.2">
      <c r="A121" s="2" t="s">
        <v>164</v>
      </c>
      <c r="B121" s="2">
        <v>1</v>
      </c>
      <c r="C121" s="2">
        <v>1</v>
      </c>
      <c r="D121" s="2">
        <v>1</v>
      </c>
      <c r="E121" s="2">
        <v>1</v>
      </c>
      <c r="F121" s="2">
        <v>2</v>
      </c>
      <c r="G121" s="2">
        <v>3</v>
      </c>
      <c r="H121" s="2">
        <v>3</v>
      </c>
      <c r="I121" s="2">
        <v>3</v>
      </c>
      <c r="J121" s="2">
        <v>3</v>
      </c>
      <c r="K121" s="2">
        <v>3</v>
      </c>
      <c r="L121" s="2">
        <v>4</v>
      </c>
      <c r="M121" s="2">
        <v>5</v>
      </c>
      <c r="N121" s="2">
        <v>5</v>
      </c>
      <c r="O121" s="2">
        <v>4</v>
      </c>
      <c r="P121" s="2">
        <v>4</v>
      </c>
      <c r="Q121" s="2">
        <v>5</v>
      </c>
      <c r="R121" s="2">
        <v>5</v>
      </c>
      <c r="S121" s="2">
        <v>2</v>
      </c>
      <c r="T121" s="2">
        <v>4</v>
      </c>
      <c r="U121" s="2">
        <v>4</v>
      </c>
      <c r="V121" s="2">
        <v>5</v>
      </c>
      <c r="W121" s="2">
        <v>4</v>
      </c>
      <c r="X121" s="2">
        <v>5</v>
      </c>
      <c r="Y121" s="2">
        <v>5</v>
      </c>
      <c r="Z121" s="2">
        <v>4</v>
      </c>
      <c r="AA121" s="2">
        <v>4</v>
      </c>
      <c r="AB121" s="2">
        <v>4</v>
      </c>
      <c r="AC121" s="2">
        <v>4</v>
      </c>
      <c r="AD121" s="2">
        <v>4</v>
      </c>
      <c r="AE121" s="2">
        <v>5</v>
      </c>
      <c r="AF121" s="2">
        <v>4</v>
      </c>
      <c r="AG121" s="2">
        <v>2</v>
      </c>
      <c r="AH121" s="2">
        <v>1</v>
      </c>
      <c r="AI121" s="2">
        <v>4</v>
      </c>
      <c r="AJ121" s="2">
        <v>4</v>
      </c>
      <c r="AK121" s="2">
        <v>4</v>
      </c>
      <c r="AL121" s="2">
        <v>4</v>
      </c>
      <c r="AM121" s="2">
        <v>4</v>
      </c>
      <c r="AN121" s="2">
        <v>4</v>
      </c>
      <c r="AO121" s="2">
        <v>4</v>
      </c>
      <c r="AP121" s="2">
        <v>4</v>
      </c>
      <c r="AQ121" s="2">
        <v>3</v>
      </c>
      <c r="AR121" s="2">
        <v>3</v>
      </c>
      <c r="AS121" s="2">
        <v>4</v>
      </c>
      <c r="AT121" s="2"/>
      <c r="AU121" s="2"/>
      <c r="AV121" s="2" t="str">
        <v>5.Lack of consultant’s knowledge of available materials</v>
      </c>
      <c r="AW121" s="10">
        <v>-7.2012641692050156E-2</v>
      </c>
      <c r="AX121" s="11">
        <v>0.16775479448217229</v>
      </c>
      <c r="AY121" s="11">
        <v>-5.2054083811178861E-2</v>
      </c>
      <c r="AZ121" s="18">
        <v>0.2988242511490844</v>
      </c>
      <c r="BA121" s="18">
        <v>0.99999999999999978</v>
      </c>
      <c r="BB121" s="18">
        <v>-8.595884070059321E-3</v>
      </c>
      <c r="BC121" s="18">
        <v>-0.18848332907163476</v>
      </c>
      <c r="BD121" s="18">
        <v>-0.17411569213159026</v>
      </c>
      <c r="BE121" s="18">
        <v>0.37803232295205591</v>
      </c>
      <c r="BF121" s="18">
        <v>-0.13066955864469512</v>
      </c>
      <c r="BG121" s="18">
        <v>-0.13439551271003211</v>
      </c>
      <c r="BH121" s="18">
        <v>-5.8456098075770479E-4</v>
      </c>
      <c r="BI121" s="18">
        <v>0.36932508345481585</v>
      </c>
      <c r="BJ121" s="18">
        <v>0.24608001262247259</v>
      </c>
      <c r="BK121" s="18">
        <v>-0.23699102214717208</v>
      </c>
      <c r="BL121" s="18">
        <v>8.1310047257958637E-2</v>
      </c>
      <c r="BM121" s="18">
        <v>-2.1045320656162027E-2</v>
      </c>
      <c r="BN121" s="18">
        <v>0.13212983371580628</v>
      </c>
      <c r="BO121" s="18">
        <v>-0.12230007458558805</v>
      </c>
      <c r="BP121" s="18">
        <v>0.10247762341092599</v>
      </c>
      <c r="BQ121" s="18">
        <v>0.14073470825956477</v>
      </c>
      <c r="BR121" s="18">
        <v>-7.7003708400295037E-2</v>
      </c>
      <c r="BS121" s="18">
        <v>8.532802383292383E-2</v>
      </c>
      <c r="BT121" s="18">
        <v>-0.16707648383634194</v>
      </c>
      <c r="BU121" s="18">
        <v>0.11268808653592317</v>
      </c>
      <c r="BV121" s="18">
        <v>0.23871860043240531</v>
      </c>
      <c r="BW121" s="18">
        <v>-0.14557069582014107</v>
      </c>
      <c r="BX121" s="18">
        <v>0.11498520969497077</v>
      </c>
      <c r="BY121" s="18">
        <v>-2.461793401250522E-2</v>
      </c>
      <c r="BZ121" s="18">
        <v>-0.13354274894209917</v>
      </c>
      <c r="CA121" s="18">
        <v>-0.39209150012956562</v>
      </c>
      <c r="CB121" s="18">
        <v>0.2246539706231441</v>
      </c>
      <c r="CC121" s="18">
        <v>0.20019189359303305</v>
      </c>
      <c r="CD121" s="18">
        <v>2.8513708913092822E-2</v>
      </c>
      <c r="CE121" s="18">
        <v>9.8138941119357503E-2</v>
      </c>
      <c r="CF121" s="18">
        <v>-0.25041685272255915</v>
      </c>
      <c r="CG121" s="18">
        <v>0.25439576924620033</v>
      </c>
      <c r="CH121" s="18">
        <v>8.7522098647145885E-2</v>
      </c>
      <c r="CI121" s="18">
        <v>0.19368380904776741</v>
      </c>
      <c r="CJ121" s="18">
        <v>-0.31713022188726592</v>
      </c>
      <c r="CK121" s="18">
        <v>1.9851362099492249E-2</v>
      </c>
      <c r="CL121" s="18">
        <v>0.1157268397086756</v>
      </c>
      <c r="CM121" s="18">
        <v>-0.16723347430847529</v>
      </c>
      <c r="CN121" s="19">
        <v>6.2953077200518043E-2</v>
      </c>
    </row>
    <row r="122" spans="1:92" x14ac:dyDescent="0.2">
      <c r="A122" s="2" t="s">
        <v>165</v>
      </c>
      <c r="B122" s="2">
        <v>2</v>
      </c>
      <c r="C122" s="2">
        <v>2</v>
      </c>
      <c r="D122" s="2">
        <v>3</v>
      </c>
      <c r="E122" s="2">
        <v>3</v>
      </c>
      <c r="F122" s="2">
        <v>4</v>
      </c>
      <c r="G122" s="2">
        <v>4</v>
      </c>
      <c r="H122" s="2">
        <v>4</v>
      </c>
      <c r="I122" s="2">
        <v>3</v>
      </c>
      <c r="J122" s="2">
        <v>3</v>
      </c>
      <c r="K122" s="2">
        <v>3</v>
      </c>
      <c r="L122" s="2">
        <v>4</v>
      </c>
      <c r="M122" s="2">
        <v>4</v>
      </c>
      <c r="N122" s="2">
        <v>4</v>
      </c>
      <c r="O122" s="2">
        <v>3</v>
      </c>
      <c r="P122" s="2">
        <v>3</v>
      </c>
      <c r="Q122" s="2">
        <v>3</v>
      </c>
      <c r="R122" s="2">
        <v>4</v>
      </c>
      <c r="S122" s="2">
        <v>4</v>
      </c>
      <c r="T122" s="2">
        <v>4</v>
      </c>
      <c r="U122" s="2">
        <v>3</v>
      </c>
      <c r="V122" s="2">
        <v>4</v>
      </c>
      <c r="W122" s="2">
        <v>5</v>
      </c>
      <c r="X122" s="2">
        <v>4</v>
      </c>
      <c r="Y122" s="2">
        <v>3</v>
      </c>
      <c r="Z122" s="2">
        <v>3</v>
      </c>
      <c r="AA122" s="2">
        <v>5</v>
      </c>
      <c r="AB122" s="2">
        <v>4</v>
      </c>
      <c r="AC122" s="2">
        <v>2</v>
      </c>
      <c r="AD122" s="2">
        <v>3</v>
      </c>
      <c r="AE122" s="2">
        <v>3</v>
      </c>
      <c r="AF122" s="2">
        <v>3</v>
      </c>
      <c r="AG122" s="2">
        <v>3</v>
      </c>
      <c r="AH122" s="2">
        <v>4</v>
      </c>
      <c r="AI122" s="2">
        <v>5</v>
      </c>
      <c r="AJ122" s="2">
        <v>5</v>
      </c>
      <c r="AK122" s="2">
        <v>4</v>
      </c>
      <c r="AL122" s="2">
        <v>4</v>
      </c>
      <c r="AM122" s="2">
        <v>5</v>
      </c>
      <c r="AN122" s="2">
        <v>5</v>
      </c>
      <c r="AO122" s="2">
        <v>5</v>
      </c>
      <c r="AP122" s="2">
        <v>4</v>
      </c>
      <c r="AQ122" s="2">
        <v>2</v>
      </c>
      <c r="AR122" s="2">
        <v>2</v>
      </c>
      <c r="AS122" s="2">
        <v>3</v>
      </c>
      <c r="AT122" s="2"/>
      <c r="AU122" s="2"/>
      <c r="AV122" s="2" t="str">
        <v>6.Low productivity</v>
      </c>
      <c r="AW122" s="10">
        <v>0.12626744098613632</v>
      </c>
      <c r="AX122" s="11">
        <v>-0.13566385598182995</v>
      </c>
      <c r="AY122" s="11">
        <v>-1.6107256213054387E-2</v>
      </c>
      <c r="AZ122" s="18">
        <v>9.4325561097877708E-2</v>
      </c>
      <c r="BA122" s="18">
        <v>-8.5958840700601138E-3</v>
      </c>
      <c r="BB122" s="18">
        <v>1</v>
      </c>
      <c r="BC122" s="18">
        <v>0.50723502696703748</v>
      </c>
      <c r="BD122" s="18">
        <v>0.34598341073445021</v>
      </c>
      <c r="BE122" s="18">
        <v>-2.5069083578495972E-2</v>
      </c>
      <c r="BF122" s="18">
        <v>-7.9994309681054032E-2</v>
      </c>
      <c r="BG122" s="18">
        <v>1.2240430849050877E-2</v>
      </c>
      <c r="BH122" s="18">
        <v>0.10719843088411424</v>
      </c>
      <c r="BI122" s="18">
        <v>0.12122425852113462</v>
      </c>
      <c r="BJ122" s="18">
        <v>-0.10195203865187261</v>
      </c>
      <c r="BK122" s="18">
        <v>-4.9929835496639478E-2</v>
      </c>
      <c r="BL122" s="18">
        <v>0.13457126315406481</v>
      </c>
      <c r="BM122" s="18">
        <v>8.7153015244650411E-2</v>
      </c>
      <c r="BN122" s="18">
        <v>3.4296611342547888E-3</v>
      </c>
      <c r="BO122" s="18">
        <v>4.6651841241299979E-2</v>
      </c>
      <c r="BP122" s="18">
        <v>3.6336189168153218E-2</v>
      </c>
      <c r="BQ122" s="18">
        <v>-8.4308265104884483E-2</v>
      </c>
      <c r="BR122" s="18">
        <v>-3.3476970440875359E-3</v>
      </c>
      <c r="BS122" s="18">
        <v>7.2539405804581528E-2</v>
      </c>
      <c r="BT122" s="18">
        <v>-0.15367682253203499</v>
      </c>
      <c r="BU122" s="18">
        <v>1.1246987935092953E-3</v>
      </c>
      <c r="BV122" s="18">
        <v>-0.18165843928792563</v>
      </c>
      <c r="BW122" s="18">
        <v>0.21738138695159132</v>
      </c>
      <c r="BX122" s="18">
        <v>-0.2060196095029185</v>
      </c>
      <c r="BY122" s="18">
        <v>0.28815239709452573</v>
      </c>
      <c r="BZ122" s="18">
        <v>-0.17462334443988306</v>
      </c>
      <c r="CA122" s="18">
        <v>5.2194446429745633E-2</v>
      </c>
      <c r="CB122" s="18">
        <v>-8.3606865554378771E-3</v>
      </c>
      <c r="CC122" s="18">
        <v>-0.22193539902678761</v>
      </c>
      <c r="CD122" s="18">
        <v>0.11130408467652098</v>
      </c>
      <c r="CE122" s="18">
        <v>-0.15173235018960854</v>
      </c>
      <c r="CF122" s="18">
        <v>9.1587831380786688E-2</v>
      </c>
      <c r="CG122" s="18">
        <v>0.13989944325822387</v>
      </c>
      <c r="CH122" s="18">
        <v>2.5412210459839369E-2</v>
      </c>
      <c r="CI122" s="18">
        <v>-0.1864634605940502</v>
      </c>
      <c r="CJ122" s="18">
        <v>0.18089603048272646</v>
      </c>
      <c r="CK122" s="18">
        <v>-0.10661552170885226</v>
      </c>
      <c r="CL122" s="18">
        <v>-0.16798176385335181</v>
      </c>
      <c r="CM122" s="18">
        <v>1.5226687524178059E-2</v>
      </c>
      <c r="CN122" s="19">
        <v>-9.8569528763426936E-2</v>
      </c>
    </row>
    <row r="123" spans="1:92" x14ac:dyDescent="0.2">
      <c r="A123" s="2" t="s">
        <v>166</v>
      </c>
      <c r="B123" s="2">
        <v>4</v>
      </c>
      <c r="C123" s="2">
        <v>3</v>
      </c>
      <c r="D123" s="2">
        <v>3</v>
      </c>
      <c r="E123" s="2">
        <v>3</v>
      </c>
      <c r="F123" s="2">
        <v>3</v>
      </c>
      <c r="G123" s="2">
        <v>4</v>
      </c>
      <c r="H123" s="2">
        <v>4</v>
      </c>
      <c r="I123" s="2">
        <v>5</v>
      </c>
      <c r="J123" s="2">
        <v>4</v>
      </c>
      <c r="K123" s="2">
        <v>5</v>
      </c>
      <c r="L123" s="2">
        <v>4</v>
      </c>
      <c r="M123" s="2">
        <v>5</v>
      </c>
      <c r="N123" s="2">
        <v>4</v>
      </c>
      <c r="O123" s="2">
        <v>4</v>
      </c>
      <c r="P123" s="2">
        <v>4</v>
      </c>
      <c r="Q123" s="2">
        <v>3</v>
      </c>
      <c r="R123" s="2">
        <v>4</v>
      </c>
      <c r="S123" s="2">
        <v>3</v>
      </c>
      <c r="T123" s="2">
        <v>4</v>
      </c>
      <c r="U123" s="2">
        <v>3</v>
      </c>
      <c r="V123" s="2">
        <v>4</v>
      </c>
      <c r="W123" s="2">
        <v>4</v>
      </c>
      <c r="X123" s="2">
        <v>3</v>
      </c>
      <c r="Y123" s="2">
        <v>2</v>
      </c>
      <c r="Z123" s="2">
        <v>1</v>
      </c>
      <c r="AA123" s="2">
        <v>5</v>
      </c>
      <c r="AB123" s="2">
        <v>3</v>
      </c>
      <c r="AC123" s="2">
        <v>4</v>
      </c>
      <c r="AD123" s="2">
        <v>2</v>
      </c>
      <c r="AE123" s="2">
        <v>3</v>
      </c>
      <c r="AF123" s="2">
        <v>4</v>
      </c>
      <c r="AG123" s="2">
        <v>3</v>
      </c>
      <c r="AH123" s="2">
        <v>4</v>
      </c>
      <c r="AI123" s="2">
        <v>3</v>
      </c>
      <c r="AJ123" s="2">
        <v>3</v>
      </c>
      <c r="AK123" s="2">
        <v>3</v>
      </c>
      <c r="AL123" s="2">
        <v>4</v>
      </c>
      <c r="AM123" s="2">
        <v>5</v>
      </c>
      <c r="AN123" s="2">
        <v>5</v>
      </c>
      <c r="AO123" s="2">
        <v>5</v>
      </c>
      <c r="AP123" s="2">
        <v>5</v>
      </c>
      <c r="AQ123" s="2">
        <v>1</v>
      </c>
      <c r="AR123" s="2">
        <v>2</v>
      </c>
      <c r="AS123" s="2">
        <v>3</v>
      </c>
      <c r="AT123" s="2"/>
      <c r="AU123" s="2"/>
      <c r="AV123" s="2" t="str">
        <v>7.Poor work execution</v>
      </c>
      <c r="AW123" s="10">
        <v>5.5946407015052269E-2</v>
      </c>
      <c r="AX123" s="11">
        <v>-2.813245527740808E-2</v>
      </c>
      <c r="AY123" s="11">
        <v>8.1668443764065374E-2</v>
      </c>
      <c r="AZ123" s="18">
        <v>0.21759748900528161</v>
      </c>
      <c r="BA123" s="18">
        <v>-0.18848332907163409</v>
      </c>
      <c r="BB123" s="18">
        <v>0.50723502696703771</v>
      </c>
      <c r="BC123" s="18">
        <v>1</v>
      </c>
      <c r="BD123" s="18">
        <v>-0.31998881334126233</v>
      </c>
      <c r="BE123" s="18">
        <v>0.34878274403343223</v>
      </c>
      <c r="BF123" s="18">
        <v>8.6436095261736956E-2</v>
      </c>
      <c r="BG123" s="18">
        <v>0.10035774770401638</v>
      </c>
      <c r="BH123" s="18">
        <v>-0.11791538919220848</v>
      </c>
      <c r="BI123" s="18">
        <v>0.17378132646699182</v>
      </c>
      <c r="BJ123" s="18">
        <v>0.2974363960151154</v>
      </c>
      <c r="BK123" s="18">
        <v>-0.28353010045562893</v>
      </c>
      <c r="BL123" s="18">
        <v>-4.3490642983561777E-2</v>
      </c>
      <c r="BM123" s="18">
        <v>0.14227732221896403</v>
      </c>
      <c r="BN123" s="18">
        <v>-0.15972728528834365</v>
      </c>
      <c r="BO123" s="18">
        <v>7.6216074947373771E-2</v>
      </c>
      <c r="BP123" s="18">
        <v>1.0321704786429858E-2</v>
      </c>
      <c r="BQ123" s="18">
        <v>-0.1128986991264659</v>
      </c>
      <c r="BR123" s="18">
        <v>6.6459103267572761E-2</v>
      </c>
      <c r="BS123" s="18">
        <v>-0.11655263725070489</v>
      </c>
      <c r="BT123" s="18">
        <v>-7.1735583863462044E-2</v>
      </c>
      <c r="BU123" s="18">
        <v>0.13760352933686765</v>
      </c>
      <c r="BV123" s="18">
        <v>0.18134840888642503</v>
      </c>
      <c r="BW123" s="18">
        <v>-0.12761370320094551</v>
      </c>
      <c r="BX123" s="18">
        <v>8.963488988745115E-2</v>
      </c>
      <c r="BY123" s="18">
        <v>-8.0496942917553299E-2</v>
      </c>
      <c r="BZ123" s="18">
        <v>0.14640933386694679</v>
      </c>
      <c r="CA123" s="18">
        <v>-0.28985964158439692</v>
      </c>
      <c r="CB123" s="18">
        <v>0.25769409230157725</v>
      </c>
      <c r="CC123" s="18">
        <v>6.681103001318249E-2</v>
      </c>
      <c r="CD123" s="18">
        <v>5.690047501844895E-2</v>
      </c>
      <c r="CE123" s="18">
        <v>4.3397276006543618E-2</v>
      </c>
      <c r="CF123" s="18">
        <v>-0.16268246732939462</v>
      </c>
      <c r="CG123" s="18">
        <v>-1.7190414446710493E-2</v>
      </c>
      <c r="CH123" s="18">
        <v>7.8465705995089036E-2</v>
      </c>
      <c r="CI123" s="18">
        <v>0.29504751379949029</v>
      </c>
      <c r="CJ123" s="18">
        <v>-0.31379495072991226</v>
      </c>
      <c r="CK123" s="18">
        <v>0.21868087835268096</v>
      </c>
      <c r="CL123" s="18">
        <v>3.8429359100199866E-2</v>
      </c>
      <c r="CM123" s="18">
        <v>-9.3118991955106645E-2</v>
      </c>
      <c r="CN123" s="19">
        <v>0.15415656587048707</v>
      </c>
    </row>
    <row r="124" spans="1:92" x14ac:dyDescent="0.2">
      <c r="A124" s="2" t="s">
        <v>167</v>
      </c>
      <c r="B124" s="2">
        <v>4</v>
      </c>
      <c r="C124" s="2">
        <v>5</v>
      </c>
      <c r="D124" s="2">
        <v>3</v>
      </c>
      <c r="E124" s="2">
        <v>3</v>
      </c>
      <c r="F124" s="2">
        <v>3</v>
      </c>
      <c r="G124" s="2">
        <v>4</v>
      </c>
      <c r="H124" s="2">
        <v>4</v>
      </c>
      <c r="I124" s="2">
        <v>5</v>
      </c>
      <c r="J124" s="2">
        <v>3</v>
      </c>
      <c r="K124" s="2">
        <v>2</v>
      </c>
      <c r="L124" s="2">
        <v>4</v>
      </c>
      <c r="M124" s="2">
        <v>5</v>
      </c>
      <c r="N124" s="2">
        <v>5</v>
      </c>
      <c r="O124" s="2">
        <v>4</v>
      </c>
      <c r="P124" s="2">
        <v>1</v>
      </c>
      <c r="Q124" s="2">
        <v>2</v>
      </c>
      <c r="R124" s="2">
        <v>1</v>
      </c>
      <c r="S124" s="2">
        <v>3</v>
      </c>
      <c r="T124" s="2">
        <v>4</v>
      </c>
      <c r="U124" s="2">
        <v>2</v>
      </c>
      <c r="V124" s="2">
        <v>2</v>
      </c>
      <c r="W124" s="2">
        <v>2</v>
      </c>
      <c r="X124" s="2">
        <v>1</v>
      </c>
      <c r="Y124" s="2">
        <v>3</v>
      </c>
      <c r="Z124" s="2">
        <v>2</v>
      </c>
      <c r="AA124" s="2">
        <v>1</v>
      </c>
      <c r="AB124" s="2">
        <v>1</v>
      </c>
      <c r="AC124" s="2">
        <v>1</v>
      </c>
      <c r="AD124" s="2">
        <v>2</v>
      </c>
      <c r="AE124" s="2">
        <v>4</v>
      </c>
      <c r="AF124" s="2">
        <v>2</v>
      </c>
      <c r="AG124" s="2">
        <v>3</v>
      </c>
      <c r="AH124" s="2">
        <v>5</v>
      </c>
      <c r="AI124" s="2">
        <v>2</v>
      </c>
      <c r="AJ124" s="2">
        <v>2</v>
      </c>
      <c r="AK124" s="2">
        <v>4</v>
      </c>
      <c r="AL124" s="2">
        <v>4</v>
      </c>
      <c r="AM124" s="2">
        <v>4</v>
      </c>
      <c r="AN124" s="2">
        <v>4</v>
      </c>
      <c r="AO124" s="2">
        <v>4</v>
      </c>
      <c r="AP124" s="2">
        <v>3</v>
      </c>
      <c r="AQ124" s="2">
        <v>2</v>
      </c>
      <c r="AR124" s="2">
        <v>5</v>
      </c>
      <c r="AS124" s="2">
        <v>5</v>
      </c>
      <c r="AT124" s="2"/>
      <c r="AU124" s="2"/>
      <c r="AV124" s="2" t="str">
        <v>8.Shortage of laborers</v>
      </c>
      <c r="AW124" s="10">
        <v>7.0723933062643518E-2</v>
      </c>
      <c r="AX124" s="11">
        <v>0.22732277889394617</v>
      </c>
      <c r="AY124" s="11">
        <v>-0.18434631626959766</v>
      </c>
      <c r="AZ124" s="18">
        <v>0.23306519040946938</v>
      </c>
      <c r="BA124" s="18">
        <v>-0.17411569213158948</v>
      </c>
      <c r="BB124" s="18">
        <v>0.34598341073444994</v>
      </c>
      <c r="BC124" s="18">
        <v>-0.31998881334126206</v>
      </c>
      <c r="BD124" s="18">
        <v>1</v>
      </c>
      <c r="BE124" s="18">
        <v>0.37866260154832271</v>
      </c>
      <c r="BF124" s="18">
        <v>0.28906346971394459</v>
      </c>
      <c r="BG124" s="18">
        <v>0.10147564629951634</v>
      </c>
      <c r="BH124" s="18">
        <v>0.2212558392902664</v>
      </c>
      <c r="BI124" s="18">
        <v>8.9747492763982514E-2</v>
      </c>
      <c r="BJ124" s="18">
        <v>0.30903912581246074</v>
      </c>
      <c r="BK124" s="18">
        <v>-0.28178638813946572</v>
      </c>
      <c r="BL124" s="18">
        <v>-0.23685973542106192</v>
      </c>
      <c r="BM124" s="18">
        <v>0.16445429177504944</v>
      </c>
      <c r="BN124" s="18">
        <v>-3.9575599867220673E-2</v>
      </c>
      <c r="BO124" s="18">
        <v>0.10471690179381586</v>
      </c>
      <c r="BP124" s="18">
        <v>0.19275347738777865</v>
      </c>
      <c r="BQ124" s="18">
        <v>-0.21395960502900835</v>
      </c>
      <c r="BR124" s="18">
        <v>-6.8024307983125837E-2</v>
      </c>
      <c r="BS124" s="18">
        <v>-0.19573576621098504</v>
      </c>
      <c r="BT124" s="18">
        <v>-5.8196867705665609E-2</v>
      </c>
      <c r="BU124" s="18">
        <v>0.13671548715235565</v>
      </c>
      <c r="BV124" s="18">
        <v>0.33200778533483405</v>
      </c>
      <c r="BW124" s="18">
        <v>-0.31801098513994008</v>
      </c>
      <c r="BX124" s="18">
        <v>1.0022709110965882E-2</v>
      </c>
      <c r="BY124" s="18">
        <v>-3.7495054177174816E-2</v>
      </c>
      <c r="BZ124" s="18">
        <v>0.17550735112400903</v>
      </c>
      <c r="CA124" s="18">
        <v>-7.5243212390447664E-2</v>
      </c>
      <c r="CB124" s="18">
        <v>6.2213713109038449E-2</v>
      </c>
      <c r="CC124" s="18">
        <v>-8.2239968040984532E-2</v>
      </c>
      <c r="CD124" s="18">
        <v>0.30934550899786456</v>
      </c>
      <c r="CE124" s="18">
        <v>-0.15723721910571697</v>
      </c>
      <c r="CF124" s="18">
        <v>-0.39309333738708763</v>
      </c>
      <c r="CG124" s="18">
        <v>0.10162753455584653</v>
      </c>
      <c r="CH124" s="18">
        <v>0.3085501221270554</v>
      </c>
      <c r="CI124" s="18">
        <v>-5.4775532755384444E-2</v>
      </c>
      <c r="CJ124" s="18">
        <v>-0.26778218909290413</v>
      </c>
      <c r="CK124" s="18">
        <v>4.2847184801643214E-2</v>
      </c>
      <c r="CL124" s="18">
        <v>2.9782276268529001E-2</v>
      </c>
      <c r="CM124" s="18">
        <v>-7.4912355204027781E-2</v>
      </c>
      <c r="CN124" s="19">
        <v>5.6195562919276486E-2</v>
      </c>
    </row>
    <row r="125" spans="1:92" x14ac:dyDescent="0.2">
      <c r="A125" s="2" t="s">
        <v>168</v>
      </c>
      <c r="B125" s="2">
        <v>4</v>
      </c>
      <c r="C125" s="2">
        <v>5</v>
      </c>
      <c r="D125" s="2">
        <v>3</v>
      </c>
      <c r="E125" s="2">
        <v>5</v>
      </c>
      <c r="F125" s="2">
        <v>4</v>
      </c>
      <c r="G125" s="2">
        <v>4</v>
      </c>
      <c r="H125" s="2">
        <v>4</v>
      </c>
      <c r="I125" s="2">
        <v>4</v>
      </c>
      <c r="J125" s="2">
        <v>3</v>
      </c>
      <c r="K125" s="2">
        <v>3</v>
      </c>
      <c r="L125" s="2">
        <v>5</v>
      </c>
      <c r="M125" s="2">
        <v>5</v>
      </c>
      <c r="N125" s="2">
        <v>4</v>
      </c>
      <c r="O125" s="2">
        <v>2</v>
      </c>
      <c r="P125" s="2">
        <v>3</v>
      </c>
      <c r="Q125" s="2">
        <v>4</v>
      </c>
      <c r="R125" s="2">
        <v>4</v>
      </c>
      <c r="S125" s="2">
        <v>3</v>
      </c>
      <c r="T125" s="2">
        <v>4</v>
      </c>
      <c r="U125" s="2">
        <v>5</v>
      </c>
      <c r="V125" s="2">
        <v>4</v>
      </c>
      <c r="W125" s="2">
        <v>4</v>
      </c>
      <c r="X125" s="2">
        <v>5</v>
      </c>
      <c r="Y125" s="2">
        <v>5</v>
      </c>
      <c r="Z125" s="2">
        <v>4</v>
      </c>
      <c r="AA125" s="2">
        <v>3</v>
      </c>
      <c r="AB125" s="2">
        <v>4</v>
      </c>
      <c r="AC125" s="2">
        <v>3</v>
      </c>
      <c r="AD125" s="2">
        <v>4</v>
      </c>
      <c r="AE125" s="2">
        <v>5</v>
      </c>
      <c r="AF125" s="2">
        <v>4</v>
      </c>
      <c r="AG125" s="2">
        <v>5</v>
      </c>
      <c r="AH125" s="2">
        <v>5</v>
      </c>
      <c r="AI125" s="2">
        <v>4</v>
      </c>
      <c r="AJ125" s="2">
        <v>4</v>
      </c>
      <c r="AK125" s="2">
        <v>5</v>
      </c>
      <c r="AL125" s="2">
        <v>4</v>
      </c>
      <c r="AM125" s="2">
        <v>4</v>
      </c>
      <c r="AN125" s="2">
        <v>4</v>
      </c>
      <c r="AO125" s="2">
        <v>2</v>
      </c>
      <c r="AP125" s="2">
        <v>4</v>
      </c>
      <c r="AQ125" s="2">
        <v>5</v>
      </c>
      <c r="AR125" s="2">
        <v>5</v>
      </c>
      <c r="AS125" s="2">
        <v>4</v>
      </c>
      <c r="AT125" s="2"/>
      <c r="AU125" s="2"/>
      <c r="AV125" s="2" t="str">
        <v>9.Mistakes happens during construction phase</v>
      </c>
      <c r="AW125" s="10">
        <v>0.1360693045654526</v>
      </c>
      <c r="AX125" s="11">
        <v>-0.11983947015268805</v>
      </c>
      <c r="AY125" s="11">
        <v>0.26923466660818951</v>
      </c>
      <c r="AZ125" s="18">
        <v>-0.44457543958171558</v>
      </c>
      <c r="BA125" s="18">
        <v>0.37803232295205558</v>
      </c>
      <c r="BB125" s="18">
        <v>-2.5069083578497058E-2</v>
      </c>
      <c r="BC125" s="18">
        <v>0.34878274403343318</v>
      </c>
      <c r="BD125" s="18">
        <v>0.37866260154832376</v>
      </c>
      <c r="BE125" s="18">
        <v>1</v>
      </c>
      <c r="BF125" s="18">
        <v>0.25743138053600489</v>
      </c>
      <c r="BG125" s="18">
        <v>0.13729459246041381</v>
      </c>
      <c r="BH125" s="18">
        <v>-4.1847872829551477E-2</v>
      </c>
      <c r="BI125" s="18">
        <v>-9.6587210161588319E-2</v>
      </c>
      <c r="BJ125" s="18">
        <v>-0.30616232903276608</v>
      </c>
      <c r="BK125" s="18">
        <v>0.34723014230253818</v>
      </c>
      <c r="BL125" s="18">
        <v>5.6079795643276205E-2</v>
      </c>
      <c r="BM125" s="18">
        <v>-0.45685069579596688</v>
      </c>
      <c r="BN125" s="18">
        <v>-3.941673199767462E-2</v>
      </c>
      <c r="BO125" s="18">
        <v>0.22195184218276662</v>
      </c>
      <c r="BP125" s="18">
        <v>-9.9397612665830526E-2</v>
      </c>
      <c r="BQ125" s="18">
        <v>-0.15375906542064213</v>
      </c>
      <c r="BR125" s="18">
        <v>0.11741469023138189</v>
      </c>
      <c r="BS125" s="18">
        <v>0.24148655008226488</v>
      </c>
      <c r="BT125" s="18">
        <v>0.13166488225580827</v>
      </c>
      <c r="BU125" s="18">
        <v>-0.21000776115857006</v>
      </c>
      <c r="BV125" s="18">
        <v>-0.17742562619836799</v>
      </c>
      <c r="BW125" s="18">
        <v>0.21455768888478338</v>
      </c>
      <c r="BX125" s="18">
        <v>0.11006089273366415</v>
      </c>
      <c r="BY125" s="18">
        <v>2.0170449819596953E-2</v>
      </c>
      <c r="BZ125" s="18">
        <v>4.0572869249486138E-2</v>
      </c>
      <c r="CA125" s="18">
        <v>0.18596337580301753</v>
      </c>
      <c r="CB125" s="18">
        <v>-4.7108567834921282E-2</v>
      </c>
      <c r="CC125" s="18">
        <v>-8.0770643802124939E-2</v>
      </c>
      <c r="CD125" s="18">
        <v>-9.7610008775749088E-2</v>
      </c>
      <c r="CE125" s="18">
        <v>4.8391024835573067E-2</v>
      </c>
      <c r="CF125" s="18">
        <v>0.35350773659920592</v>
      </c>
      <c r="CG125" s="18">
        <v>-0.10441827883925812</v>
      </c>
      <c r="CH125" s="18">
        <v>-0.1187276559677765</v>
      </c>
      <c r="CI125" s="18">
        <v>-0.14212638476587272</v>
      </c>
      <c r="CJ125" s="18">
        <v>0.30387625942267099</v>
      </c>
      <c r="CK125" s="18">
        <v>-0.21032234513491146</v>
      </c>
      <c r="CL125" s="18">
        <v>-8.6067890884973394E-2</v>
      </c>
      <c r="CM125" s="18">
        <v>0.18447212524593207</v>
      </c>
      <c r="CN125" s="19">
        <v>-0.29519642800256213</v>
      </c>
    </row>
    <row r="126" spans="1:92" x14ac:dyDescent="0.2">
      <c r="A126" s="2" t="s">
        <v>169</v>
      </c>
      <c r="B126" s="2">
        <v>1</v>
      </c>
      <c r="C126" s="2">
        <v>1</v>
      </c>
      <c r="D126" s="2">
        <v>1</v>
      </c>
      <c r="E126" s="2">
        <v>1</v>
      </c>
      <c r="F126" s="2">
        <v>2</v>
      </c>
      <c r="G126" s="2">
        <v>3</v>
      </c>
      <c r="H126" s="2">
        <v>3</v>
      </c>
      <c r="I126" s="2">
        <v>3</v>
      </c>
      <c r="J126" s="2">
        <v>3</v>
      </c>
      <c r="K126" s="2">
        <v>3</v>
      </c>
      <c r="L126" s="2">
        <v>4</v>
      </c>
      <c r="M126" s="2">
        <v>5</v>
      </c>
      <c r="N126" s="2">
        <v>5</v>
      </c>
      <c r="O126" s="2">
        <v>4</v>
      </c>
      <c r="P126" s="2">
        <v>4</v>
      </c>
      <c r="Q126" s="2">
        <v>5</v>
      </c>
      <c r="R126" s="2">
        <v>5</v>
      </c>
      <c r="S126" s="2">
        <v>2</v>
      </c>
      <c r="T126" s="2">
        <v>4</v>
      </c>
      <c r="U126" s="2">
        <v>4</v>
      </c>
      <c r="V126" s="2">
        <v>5</v>
      </c>
      <c r="W126" s="2">
        <v>4</v>
      </c>
      <c r="X126" s="2">
        <v>5</v>
      </c>
      <c r="Y126" s="2">
        <v>5</v>
      </c>
      <c r="Z126" s="2">
        <v>4</v>
      </c>
      <c r="AA126" s="2">
        <v>4</v>
      </c>
      <c r="AB126" s="2">
        <v>4</v>
      </c>
      <c r="AC126" s="2">
        <v>4</v>
      </c>
      <c r="AD126" s="2">
        <v>4</v>
      </c>
      <c r="AE126" s="2">
        <v>5</v>
      </c>
      <c r="AF126" s="2">
        <v>4</v>
      </c>
      <c r="AG126" s="2">
        <v>2</v>
      </c>
      <c r="AH126" s="2">
        <v>1</v>
      </c>
      <c r="AI126" s="2">
        <v>4</v>
      </c>
      <c r="AJ126" s="2">
        <v>4</v>
      </c>
      <c r="AK126" s="2">
        <v>4</v>
      </c>
      <c r="AL126" s="2">
        <v>4</v>
      </c>
      <c r="AM126" s="2">
        <v>4</v>
      </c>
      <c r="AN126" s="2">
        <v>4</v>
      </c>
      <c r="AO126" s="2">
        <v>4</v>
      </c>
      <c r="AP126" s="2">
        <v>4</v>
      </c>
      <c r="AQ126" s="2">
        <v>3</v>
      </c>
      <c r="AR126" s="2">
        <v>3</v>
      </c>
      <c r="AS126" s="2">
        <v>4</v>
      </c>
      <c r="AT126" s="2"/>
      <c r="AU126" s="2"/>
      <c r="AV126" s="2" t="str">
        <v>10.Unavailability of equipment</v>
      </c>
      <c r="AW126" s="10">
        <v>-2.6223597803376564E-3</v>
      </c>
      <c r="AX126" s="11">
        <v>-6.4262246233440512E-2</v>
      </c>
      <c r="AY126" s="11">
        <v>-7.9799111677215151E-2</v>
      </c>
      <c r="AZ126" s="18">
        <v>0.13858403047211013</v>
      </c>
      <c r="BA126" s="18">
        <v>-0.13066955864469562</v>
      </c>
      <c r="BB126" s="18">
        <v>-7.999430968105406E-2</v>
      </c>
      <c r="BC126" s="18">
        <v>8.6436095261736706E-2</v>
      </c>
      <c r="BD126" s="18">
        <v>0.28906346971394464</v>
      </c>
      <c r="BE126" s="18">
        <v>0.25743138053600556</v>
      </c>
      <c r="BF126" s="18">
        <v>1</v>
      </c>
      <c r="BG126" s="18">
        <v>1.5903224727967322E-2</v>
      </c>
      <c r="BH126" s="18">
        <v>0.27477699365237962</v>
      </c>
      <c r="BI126" s="18">
        <v>-0.18292917527550598</v>
      </c>
      <c r="BJ126" s="18">
        <v>-3.7306078104331994E-2</v>
      </c>
      <c r="BK126" s="18">
        <v>8.2747812223539802E-2</v>
      </c>
      <c r="BL126" s="18">
        <v>0.11225912061859812</v>
      </c>
      <c r="BM126" s="18">
        <v>0.26951016037070097</v>
      </c>
      <c r="BN126" s="18">
        <v>1.441824801146189E-2</v>
      </c>
      <c r="BO126" s="18">
        <v>-0.21407966694793371</v>
      </c>
      <c r="BP126" s="18">
        <v>0.10912908339320307</v>
      </c>
      <c r="BQ126" s="18">
        <v>-1.5891553069781617E-2</v>
      </c>
      <c r="BR126" s="18">
        <v>-7.8096758244716485E-2</v>
      </c>
      <c r="BS126" s="18">
        <v>8.2113536180132729E-2</v>
      </c>
      <c r="BT126" s="18">
        <v>-0.17016697348435458</v>
      </c>
      <c r="BU126" s="18">
        <v>-6.7453180845576569E-2</v>
      </c>
      <c r="BV126" s="18">
        <v>-6.5037729125015584E-2</v>
      </c>
      <c r="BW126" s="18">
        <v>0.22993324595179968</v>
      </c>
      <c r="BX126" s="18">
        <v>0.14575123474014592</v>
      </c>
      <c r="BY126" s="18">
        <v>-1.9130367619035624E-2</v>
      </c>
      <c r="BZ126" s="18">
        <v>-0.31574372437601345</v>
      </c>
      <c r="CA126" s="18">
        <v>-1.8181932092678362E-3</v>
      </c>
      <c r="CB126" s="18">
        <v>-5.0719385077715735E-2</v>
      </c>
      <c r="CC126" s="18">
        <v>0.20747513264750406</v>
      </c>
      <c r="CD126" s="18">
        <v>-0.15741152951657697</v>
      </c>
      <c r="CE126" s="18">
        <v>-3.2454127758849566E-2</v>
      </c>
      <c r="CF126" s="18">
        <v>-0.15319651814916407</v>
      </c>
      <c r="CG126" s="18">
        <v>5.6852505837922361E-2</v>
      </c>
      <c r="CH126" s="18">
        <v>-0.11630389418389007</v>
      </c>
      <c r="CI126" s="18">
        <v>0.16413976846986378</v>
      </c>
      <c r="CJ126" s="18">
        <v>6.3132390722878559E-2</v>
      </c>
      <c r="CK126" s="18">
        <v>2.7044796150344871E-2</v>
      </c>
      <c r="CL126" s="18">
        <v>0.15963900718882434</v>
      </c>
      <c r="CM126" s="18">
        <v>-0.22206384963162418</v>
      </c>
      <c r="CN126" s="19">
        <v>0.25877157233666331</v>
      </c>
    </row>
    <row r="127" spans="1:92" x14ac:dyDescent="0.2">
      <c r="A127" s="2" t="s">
        <v>170</v>
      </c>
      <c r="B127" s="2">
        <v>4</v>
      </c>
      <c r="C127" s="2">
        <v>5</v>
      </c>
      <c r="D127" s="2">
        <v>3</v>
      </c>
      <c r="E127" s="2">
        <v>3</v>
      </c>
      <c r="F127" s="2">
        <v>3</v>
      </c>
      <c r="G127" s="2">
        <v>4</v>
      </c>
      <c r="H127" s="2">
        <v>4</v>
      </c>
      <c r="I127" s="2">
        <v>5</v>
      </c>
      <c r="J127" s="2">
        <v>3</v>
      </c>
      <c r="K127" s="2">
        <v>2</v>
      </c>
      <c r="L127" s="2">
        <v>4</v>
      </c>
      <c r="M127" s="2">
        <v>5</v>
      </c>
      <c r="N127" s="2">
        <v>5</v>
      </c>
      <c r="O127" s="2">
        <v>4</v>
      </c>
      <c r="P127" s="2">
        <v>1</v>
      </c>
      <c r="Q127" s="2">
        <v>2</v>
      </c>
      <c r="R127" s="2">
        <v>1</v>
      </c>
      <c r="S127" s="2">
        <v>3</v>
      </c>
      <c r="T127" s="2">
        <v>4</v>
      </c>
      <c r="U127" s="2">
        <v>2</v>
      </c>
      <c r="V127" s="2">
        <v>2</v>
      </c>
      <c r="W127" s="2">
        <v>2</v>
      </c>
      <c r="X127" s="2">
        <v>1</v>
      </c>
      <c r="Y127" s="2">
        <v>3</v>
      </c>
      <c r="Z127" s="2">
        <v>2</v>
      </c>
      <c r="AA127" s="2">
        <v>1</v>
      </c>
      <c r="AB127" s="2">
        <v>1</v>
      </c>
      <c r="AC127" s="2">
        <v>1</v>
      </c>
      <c r="AD127" s="2">
        <v>2</v>
      </c>
      <c r="AE127" s="2">
        <v>4</v>
      </c>
      <c r="AF127" s="2">
        <v>2</v>
      </c>
      <c r="AG127" s="2">
        <v>3</v>
      </c>
      <c r="AH127" s="2">
        <v>5</v>
      </c>
      <c r="AI127" s="2">
        <v>2</v>
      </c>
      <c r="AJ127" s="2">
        <v>2</v>
      </c>
      <c r="AK127" s="2">
        <v>4</v>
      </c>
      <c r="AL127" s="2">
        <v>4</v>
      </c>
      <c r="AM127" s="2">
        <v>4</v>
      </c>
      <c r="AN127" s="2">
        <v>4</v>
      </c>
      <c r="AO127" s="2">
        <v>4</v>
      </c>
      <c r="AP127" s="2">
        <v>3</v>
      </c>
      <c r="AQ127" s="2">
        <v>2</v>
      </c>
      <c r="AR127" s="2">
        <v>5</v>
      </c>
      <c r="AS127" s="2">
        <v>5</v>
      </c>
      <c r="AT127" s="2"/>
      <c r="AU127" s="2"/>
      <c r="AV127" s="2" t="str">
        <v>11.Lack of engineering experience</v>
      </c>
      <c r="AW127" s="10">
        <v>-7.2858943466062462E-2</v>
      </c>
      <c r="AX127" s="11">
        <v>0.1678908603307456</v>
      </c>
      <c r="AY127" s="11">
        <v>1.2878162092159952E-2</v>
      </c>
      <c r="AZ127" s="18">
        <v>4.5733278827378973E-2</v>
      </c>
      <c r="BA127" s="18">
        <v>-0.13439551271003222</v>
      </c>
      <c r="BB127" s="18">
        <v>1.2240430849052337E-2</v>
      </c>
      <c r="BC127" s="18">
        <v>0.1003577477040153</v>
      </c>
      <c r="BD127" s="18">
        <v>0.10147564629951557</v>
      </c>
      <c r="BE127" s="18">
        <v>0.13729459246041451</v>
      </c>
      <c r="BF127" s="18">
        <v>1.5903224727967489E-2</v>
      </c>
      <c r="BG127" s="18">
        <v>1</v>
      </c>
      <c r="BH127" s="18">
        <v>0.13749895111049035</v>
      </c>
      <c r="BI127" s="18">
        <v>0.27165104204181939</v>
      </c>
      <c r="BJ127" s="18">
        <v>0.13021619593733938</v>
      </c>
      <c r="BK127" s="18">
        <v>-4.1320363921095504E-2</v>
      </c>
      <c r="BL127" s="18">
        <v>9.3340293860106768E-2</v>
      </c>
      <c r="BM127" s="18">
        <v>-1.5164723168018584E-3</v>
      </c>
      <c r="BN127" s="18">
        <v>0.17269392761992836</v>
      </c>
      <c r="BO127" s="18">
        <v>-0.17803771361179879</v>
      </c>
      <c r="BP127" s="18">
        <v>-1.2071758273441891E-2</v>
      </c>
      <c r="BQ127" s="18">
        <v>0.37575242425989197</v>
      </c>
      <c r="BR127" s="18">
        <v>-0.32105265866888111</v>
      </c>
      <c r="BS127" s="18">
        <v>-0.131376454597328</v>
      </c>
      <c r="BT127" s="18">
        <v>9.4719279253834207E-2</v>
      </c>
      <c r="BU127" s="18">
        <v>8.8038994710085292E-2</v>
      </c>
      <c r="BV127" s="18">
        <v>5.1176481759586487E-2</v>
      </c>
      <c r="BW127" s="18">
        <v>-9.632644477987376E-2</v>
      </c>
      <c r="BX127" s="18">
        <v>8.1836142639680018E-2</v>
      </c>
      <c r="BY127" s="18">
        <v>3.1267522616125226E-2</v>
      </c>
      <c r="BZ127" s="18">
        <v>-1.1094197194681757E-2</v>
      </c>
      <c r="CA127" s="18">
        <v>-0.14328758814954037</v>
      </c>
      <c r="CB127" s="18">
        <v>-0.14003812076347391</v>
      </c>
      <c r="CC127" s="18">
        <v>0.12584568497787638</v>
      </c>
      <c r="CD127" s="18">
        <v>-0.11763340223262364</v>
      </c>
      <c r="CE127" s="18">
        <v>0.22362279388788645</v>
      </c>
      <c r="CF127" s="18">
        <v>5.6350041581011277E-2</v>
      </c>
      <c r="CG127" s="18">
        <v>2.3312850483904673E-2</v>
      </c>
      <c r="CH127" s="18">
        <v>-0.22579359203887148</v>
      </c>
      <c r="CI127" s="18">
        <v>-8.4974070130773294E-2</v>
      </c>
      <c r="CJ127" s="18">
        <v>-9.1233498837975102E-3</v>
      </c>
      <c r="CK127" s="18">
        <v>0.19229756618120594</v>
      </c>
      <c r="CL127" s="18">
        <v>7.2485522582373882E-2</v>
      </c>
      <c r="CM127" s="18">
        <v>9.3501470692648869E-3</v>
      </c>
      <c r="CN127" s="19">
        <v>-0.10784219872355473</v>
      </c>
    </row>
    <row r="128" spans="1:92" x14ac:dyDescent="0.2">
      <c r="A128" s="2" t="s">
        <v>171</v>
      </c>
      <c r="B128" s="2">
        <v>4</v>
      </c>
      <c r="C128" s="2">
        <v>3</v>
      </c>
      <c r="D128" s="2">
        <v>3</v>
      </c>
      <c r="E128" s="2">
        <v>3</v>
      </c>
      <c r="F128" s="2">
        <v>3</v>
      </c>
      <c r="G128" s="2">
        <v>4</v>
      </c>
      <c r="H128" s="2">
        <v>4</v>
      </c>
      <c r="I128" s="2">
        <v>5</v>
      </c>
      <c r="J128" s="2">
        <v>4</v>
      </c>
      <c r="K128" s="2">
        <v>5</v>
      </c>
      <c r="L128" s="2">
        <v>4</v>
      </c>
      <c r="M128" s="2">
        <v>5</v>
      </c>
      <c r="N128" s="2">
        <v>4</v>
      </c>
      <c r="O128" s="2">
        <v>4</v>
      </c>
      <c r="P128" s="2">
        <v>4</v>
      </c>
      <c r="Q128" s="2">
        <v>3</v>
      </c>
      <c r="R128" s="2">
        <v>4</v>
      </c>
      <c r="S128" s="2">
        <v>3</v>
      </c>
      <c r="T128" s="2">
        <v>4</v>
      </c>
      <c r="U128" s="2">
        <v>3</v>
      </c>
      <c r="V128" s="2">
        <v>4</v>
      </c>
      <c r="W128" s="2">
        <v>4</v>
      </c>
      <c r="X128" s="2">
        <v>3</v>
      </c>
      <c r="Y128" s="2">
        <v>2</v>
      </c>
      <c r="Z128" s="2">
        <v>1</v>
      </c>
      <c r="AA128" s="2">
        <v>5</v>
      </c>
      <c r="AB128" s="2">
        <v>3</v>
      </c>
      <c r="AC128" s="2">
        <v>4</v>
      </c>
      <c r="AD128" s="2">
        <v>2</v>
      </c>
      <c r="AE128" s="2">
        <v>3</v>
      </c>
      <c r="AF128" s="2">
        <v>4</v>
      </c>
      <c r="AG128" s="2">
        <v>3</v>
      </c>
      <c r="AH128" s="2">
        <v>4</v>
      </c>
      <c r="AI128" s="2">
        <v>3</v>
      </c>
      <c r="AJ128" s="2">
        <v>3</v>
      </c>
      <c r="AK128" s="2">
        <v>3</v>
      </c>
      <c r="AL128" s="2">
        <v>4</v>
      </c>
      <c r="AM128" s="2">
        <v>5</v>
      </c>
      <c r="AN128" s="2">
        <v>5</v>
      </c>
      <c r="AO128" s="2">
        <v>5</v>
      </c>
      <c r="AP128" s="2">
        <v>5</v>
      </c>
      <c r="AQ128" s="2">
        <v>1</v>
      </c>
      <c r="AR128" s="2">
        <v>2</v>
      </c>
      <c r="AS128" s="2">
        <v>3</v>
      </c>
      <c r="AT128" s="2"/>
      <c r="AU128" s="2"/>
      <c r="AV128" s="2" t="str">
        <v>12.Construction cost underestimation</v>
      </c>
      <c r="AW128" s="10">
        <v>6.099843480642695E-2</v>
      </c>
      <c r="AX128" s="11">
        <v>-0.26014383527174789</v>
      </c>
      <c r="AY128" s="11">
        <v>2.3700146171464764E-2</v>
      </c>
      <c r="AZ128" s="18">
        <v>-0.16684942237648462</v>
      </c>
      <c r="BA128" s="18">
        <v>-5.8456098075734537E-4</v>
      </c>
      <c r="BB128" s="18">
        <v>0.10719843088411427</v>
      </c>
      <c r="BC128" s="18">
        <v>-0.11791538919220843</v>
      </c>
      <c r="BD128" s="18">
        <v>0.22125583929026613</v>
      </c>
      <c r="BE128" s="18">
        <v>-4.1847872829551568E-2</v>
      </c>
      <c r="BF128" s="18">
        <v>0.27477699365237934</v>
      </c>
      <c r="BG128" s="18">
        <v>0.13749895111049054</v>
      </c>
      <c r="BH128" s="18">
        <v>0.99999999999999978</v>
      </c>
      <c r="BI128" s="18">
        <v>0.39306905385913188</v>
      </c>
      <c r="BJ128" s="18">
        <v>-0.15007067058535817</v>
      </c>
      <c r="BK128" s="18">
        <v>-1.6672421273090311E-2</v>
      </c>
      <c r="BL128" s="18">
        <v>0.15125763341396573</v>
      </c>
      <c r="BM128" s="18">
        <v>-9.9639387713281805E-2</v>
      </c>
      <c r="BN128" s="18">
        <v>-7.8909790182300307E-2</v>
      </c>
      <c r="BO128" s="18">
        <v>0.21487892923909471</v>
      </c>
      <c r="BP128" s="18">
        <v>-0.19019497552090514</v>
      </c>
      <c r="BQ128" s="18">
        <v>0.14704674533592871</v>
      </c>
      <c r="BR128" s="18">
        <v>0.23287572718022953</v>
      </c>
      <c r="BS128" s="18">
        <v>1.0266665289587121E-2</v>
      </c>
      <c r="BT128" s="18">
        <v>3.6323991353713697E-2</v>
      </c>
      <c r="BU128" s="18">
        <v>-0.11257876047115947</v>
      </c>
      <c r="BV128" s="18">
        <v>2.6684737072770619E-2</v>
      </c>
      <c r="BW128" s="18">
        <v>-0.11083460087665029</v>
      </c>
      <c r="BX128" s="18">
        <v>2.6396490609229873E-2</v>
      </c>
      <c r="BY128" s="18">
        <v>0.11354520989659159</v>
      </c>
      <c r="BZ128" s="18">
        <v>-0.18985693029846812</v>
      </c>
      <c r="CA128" s="18">
        <v>3.1618757575376535E-2</v>
      </c>
      <c r="CB128" s="18">
        <v>-0.11041246779387552</v>
      </c>
      <c r="CC128" s="18">
        <v>0.17118686658262744</v>
      </c>
      <c r="CD128" s="18">
        <v>-3.4748526332742287E-2</v>
      </c>
      <c r="CE128" s="18">
        <v>-5.6784072014960663E-2</v>
      </c>
      <c r="CF128" s="18">
        <v>0.3148827472697992</v>
      </c>
      <c r="CG128" s="18">
        <v>-0.17688961094318612</v>
      </c>
      <c r="CH128" s="18">
        <v>6.692547624492394E-2</v>
      </c>
      <c r="CI128" s="18">
        <v>0.15780637109216122</v>
      </c>
      <c r="CJ128" s="18">
        <v>-0.16941500931132319</v>
      </c>
      <c r="CK128" s="18">
        <v>-1.902362514900338E-3</v>
      </c>
      <c r="CL128" s="18">
        <v>7.197975204790015E-2</v>
      </c>
      <c r="CM128" s="18">
        <v>0.23892255482639707</v>
      </c>
      <c r="CN128" s="19">
        <v>-3.0723432816173377E-2</v>
      </c>
    </row>
    <row r="129" spans="1:92" x14ac:dyDescent="0.2">
      <c r="A129" s="2" t="s">
        <v>172</v>
      </c>
      <c r="B129" s="2">
        <v>3</v>
      </c>
      <c r="C129" s="2">
        <v>3</v>
      </c>
      <c r="D129" s="2">
        <v>3</v>
      </c>
      <c r="E129" s="2">
        <v>3</v>
      </c>
      <c r="F129" s="2">
        <v>3</v>
      </c>
      <c r="G129" s="2">
        <v>3</v>
      </c>
      <c r="H129" s="2">
        <v>2</v>
      </c>
      <c r="I129" s="2">
        <v>3</v>
      </c>
      <c r="J129" s="2">
        <v>2</v>
      </c>
      <c r="K129" s="2">
        <v>3</v>
      </c>
      <c r="L129" s="2">
        <v>3</v>
      </c>
      <c r="M129" s="2">
        <v>3</v>
      </c>
      <c r="N129" s="2">
        <v>4</v>
      </c>
      <c r="O129" s="2">
        <v>4</v>
      </c>
      <c r="P129" s="2">
        <v>4</v>
      </c>
      <c r="Q129" s="2">
        <v>4</v>
      </c>
      <c r="R129" s="2">
        <v>5</v>
      </c>
      <c r="S129" s="2">
        <v>4</v>
      </c>
      <c r="T129" s="3"/>
      <c r="U129" s="2">
        <v>2</v>
      </c>
      <c r="V129" s="2">
        <v>2</v>
      </c>
      <c r="W129" s="2">
        <v>3</v>
      </c>
      <c r="X129" s="2">
        <v>3</v>
      </c>
      <c r="Y129" s="2">
        <v>2</v>
      </c>
      <c r="Z129" s="2">
        <v>3</v>
      </c>
      <c r="AA129" s="2">
        <v>3</v>
      </c>
      <c r="AB129" s="2">
        <v>4</v>
      </c>
      <c r="AC129" s="2">
        <v>3</v>
      </c>
      <c r="AD129" s="2">
        <v>3</v>
      </c>
      <c r="AE129" s="2">
        <v>4</v>
      </c>
      <c r="AF129" s="2">
        <v>3</v>
      </c>
      <c r="AG129" s="2">
        <v>3</v>
      </c>
      <c r="AH129" s="2">
        <v>3</v>
      </c>
      <c r="AI129" s="2">
        <v>2</v>
      </c>
      <c r="AJ129" s="2">
        <v>2</v>
      </c>
      <c r="AK129" s="2">
        <v>4</v>
      </c>
      <c r="AL129" s="2">
        <v>5</v>
      </c>
      <c r="AM129" s="2">
        <v>4</v>
      </c>
      <c r="AN129" s="2">
        <v>5</v>
      </c>
      <c r="AO129" s="2">
        <v>5</v>
      </c>
      <c r="AP129" s="2">
        <v>2</v>
      </c>
      <c r="AQ129" s="2">
        <v>2</v>
      </c>
      <c r="AR129" s="2">
        <v>2</v>
      </c>
      <c r="AS129" s="2">
        <v>4</v>
      </c>
      <c r="AT129" s="2"/>
      <c r="AU129" s="2"/>
      <c r="AV129" s="2" t="str">
        <v>13.Poor site management</v>
      </c>
      <c r="AW129" s="10">
        <v>-0.22844852709241734</v>
      </c>
      <c r="AX129" s="11">
        <v>0.13192236140132094</v>
      </c>
      <c r="AY129" s="11">
        <v>0.11214782437811013</v>
      </c>
      <c r="AZ129" s="18">
        <v>-3.0552861402372927E-2</v>
      </c>
      <c r="BA129" s="18">
        <v>0.36932508345481568</v>
      </c>
      <c r="BB129" s="18">
        <v>0.1212242585211343</v>
      </c>
      <c r="BC129" s="18">
        <v>0.17378132646699157</v>
      </c>
      <c r="BD129" s="18">
        <v>8.9747492763982709E-2</v>
      </c>
      <c r="BE129" s="18">
        <v>-9.6587210161588555E-2</v>
      </c>
      <c r="BF129" s="18">
        <v>-0.18292917527550567</v>
      </c>
      <c r="BG129" s="18">
        <v>0.27165104204181945</v>
      </c>
      <c r="BH129" s="18">
        <v>0.3930690538591321</v>
      </c>
      <c r="BI129" s="18">
        <v>1</v>
      </c>
      <c r="BJ129" s="18">
        <v>5.034570136822035E-3</v>
      </c>
      <c r="BK129" s="18">
        <v>0.14298838419443979</v>
      </c>
      <c r="BL129" s="18">
        <v>-0.10004550349070321</v>
      </c>
      <c r="BM129" s="18">
        <v>-1.3348627543273879E-2</v>
      </c>
      <c r="BN129" s="18">
        <v>7.0080511520952835E-2</v>
      </c>
      <c r="BO129" s="18">
        <v>-0.15005092701134842</v>
      </c>
      <c r="BP129" s="18">
        <v>-0.11243720123138411</v>
      </c>
      <c r="BQ129" s="18">
        <v>1.4808046213382582E-2</v>
      </c>
      <c r="BR129" s="18">
        <v>-0.10489931186668801</v>
      </c>
      <c r="BS129" s="18">
        <v>1.7707809235336599E-2</v>
      </c>
      <c r="BT129" s="18">
        <v>4.6143353348739063E-2</v>
      </c>
      <c r="BU129" s="18">
        <v>0.19184993406969039</v>
      </c>
      <c r="BV129" s="18">
        <v>-0.1997118562970796</v>
      </c>
      <c r="BW129" s="18">
        <v>0.17242369534366572</v>
      </c>
      <c r="BX129" s="18">
        <v>-0.11943616501410821</v>
      </c>
      <c r="BY129" s="18">
        <v>-0.16675834560679167</v>
      </c>
      <c r="BZ129" s="18">
        <v>0.22057558334916771</v>
      </c>
      <c r="CA129" s="18">
        <v>0.20935092212053097</v>
      </c>
      <c r="CB129" s="18">
        <v>-6.1142484101020189E-2</v>
      </c>
      <c r="CC129" s="18">
        <v>-0.14172392029502021</v>
      </c>
      <c r="CD129" s="18">
        <v>-0.13048758314664641</v>
      </c>
      <c r="CE129" s="18">
        <v>0.14869898635679721</v>
      </c>
      <c r="CF129" s="18">
        <v>3.7678614407174245E-2</v>
      </c>
      <c r="CG129" s="18">
        <v>-0.24676537724159969</v>
      </c>
      <c r="CH129" s="18">
        <v>-0.1093222468043001</v>
      </c>
      <c r="CI129" s="18">
        <v>-2.0163690580354953E-2</v>
      </c>
      <c r="CJ129" s="18">
        <v>0.33067705984103785</v>
      </c>
      <c r="CK129" s="18">
        <v>6.6017045783668113E-2</v>
      </c>
      <c r="CL129" s="18">
        <v>-8.1296798940790449E-2</v>
      </c>
      <c r="CM129" s="18">
        <v>-5.9503205117821048E-3</v>
      </c>
      <c r="CN129" s="19">
        <v>9.683402104498566E-2</v>
      </c>
    </row>
    <row r="130" spans="1:92" x14ac:dyDescent="0.2">
      <c r="A130" s="2" t="s">
        <v>173</v>
      </c>
      <c r="B130" s="2">
        <v>4</v>
      </c>
      <c r="C130" s="2">
        <v>4</v>
      </c>
      <c r="D130" s="2">
        <v>3</v>
      </c>
      <c r="E130" s="2">
        <v>4</v>
      </c>
      <c r="F130" s="2">
        <v>4</v>
      </c>
      <c r="G130" s="2">
        <v>4</v>
      </c>
      <c r="H130" s="2">
        <v>4</v>
      </c>
      <c r="I130" s="2">
        <v>4</v>
      </c>
      <c r="J130" s="2">
        <v>4</v>
      </c>
      <c r="K130" s="2">
        <v>4</v>
      </c>
      <c r="L130" s="2">
        <v>4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  <c r="W130" s="2">
        <v>4</v>
      </c>
      <c r="X130" s="2">
        <v>4</v>
      </c>
      <c r="Y130" s="2">
        <v>3</v>
      </c>
      <c r="Z130" s="2">
        <v>3</v>
      </c>
      <c r="AA130" s="2">
        <v>3</v>
      </c>
      <c r="AB130" s="2">
        <v>4</v>
      </c>
      <c r="AC130" s="2">
        <v>5</v>
      </c>
      <c r="AD130" s="2">
        <v>4</v>
      </c>
      <c r="AE130" s="2">
        <v>5</v>
      </c>
      <c r="AF130" s="2">
        <v>3</v>
      </c>
      <c r="AG130" s="2">
        <v>4</v>
      </c>
      <c r="AH130" s="2">
        <v>4</v>
      </c>
      <c r="AI130" s="2">
        <v>5</v>
      </c>
      <c r="AJ130" s="2">
        <v>4</v>
      </c>
      <c r="AK130" s="2">
        <v>4</v>
      </c>
      <c r="AL130" s="2">
        <v>4</v>
      </c>
      <c r="AM130" s="2">
        <v>4</v>
      </c>
      <c r="AN130" s="2">
        <v>4</v>
      </c>
      <c r="AO130" s="2">
        <v>5</v>
      </c>
      <c r="AP130" s="2">
        <v>5</v>
      </c>
      <c r="AQ130" s="2">
        <v>4</v>
      </c>
      <c r="AR130" s="2">
        <v>4</v>
      </c>
      <c r="AS130" s="2">
        <v>5</v>
      </c>
      <c r="AT130" s="2"/>
      <c r="AU130" s="2"/>
      <c r="AV130" s="2" t="str">
        <v>14.Delayed payment for completed work</v>
      </c>
      <c r="AW130" s="10">
        <v>-4.9173712387807107E-2</v>
      </c>
      <c r="AX130" s="11">
        <v>-0.21012074117580215</v>
      </c>
      <c r="AY130" s="11">
        <v>-6.2159638549291768E-2</v>
      </c>
      <c r="AZ130" s="18">
        <v>-0.13297089991006922</v>
      </c>
      <c r="BA130" s="18">
        <v>0.24608001262247289</v>
      </c>
      <c r="BB130" s="18">
        <v>-0.10195203865187297</v>
      </c>
      <c r="BC130" s="18">
        <v>0.29743639601511573</v>
      </c>
      <c r="BD130" s="18">
        <v>0.30903912581246146</v>
      </c>
      <c r="BE130" s="18">
        <v>-0.30616232903276608</v>
      </c>
      <c r="BF130" s="18">
        <v>-3.7306078104332438E-2</v>
      </c>
      <c r="BG130" s="18">
        <v>0.13021619593733907</v>
      </c>
      <c r="BH130" s="18">
        <v>-0.15007067058535822</v>
      </c>
      <c r="BI130" s="18">
        <v>5.0345701368217687E-3</v>
      </c>
      <c r="BJ130" s="18">
        <v>1</v>
      </c>
      <c r="BK130" s="18">
        <v>0.5248055797166874</v>
      </c>
      <c r="BL130" s="18">
        <v>0.21609119664149551</v>
      </c>
      <c r="BM130" s="18">
        <v>-9.6102660743935822E-2</v>
      </c>
      <c r="BN130" s="18">
        <v>0.11584306128885888</v>
      </c>
      <c r="BO130" s="18">
        <v>0.1206751394250811</v>
      </c>
      <c r="BP130" s="18">
        <v>-2.2517276246075017E-2</v>
      </c>
      <c r="BQ130" s="18">
        <v>-4.207600397952025E-2</v>
      </c>
      <c r="BR130" s="18">
        <v>0.17849331294462548</v>
      </c>
      <c r="BS130" s="18">
        <v>-7.7952786328335813E-2</v>
      </c>
      <c r="BT130" s="18">
        <v>0.16992750070751991</v>
      </c>
      <c r="BU130" s="18">
        <v>-0.12407694684511969</v>
      </c>
      <c r="BV130" s="18">
        <v>-0.26436336757981294</v>
      </c>
      <c r="BW130" s="18">
        <v>0.10132476253716416</v>
      </c>
      <c r="BX130" s="18">
        <v>0.12848491019876063</v>
      </c>
      <c r="BY130" s="18">
        <v>-0.11848640776194264</v>
      </c>
      <c r="BZ130" s="18">
        <v>3.2330710344976323E-3</v>
      </c>
      <c r="CA130" s="18">
        <v>0.31896834344403519</v>
      </c>
      <c r="CB130" s="18">
        <v>-7.7369879008441084E-2</v>
      </c>
      <c r="CC130" s="18">
        <v>1.924933626178022E-3</v>
      </c>
      <c r="CD130" s="18">
        <v>-8.3860139128745792E-2</v>
      </c>
      <c r="CE130" s="18">
        <v>-0.1900597527756164</v>
      </c>
      <c r="CF130" s="18">
        <v>0.12380563943449874</v>
      </c>
      <c r="CG130" s="18">
        <v>0.14146464550463173</v>
      </c>
      <c r="CH130" s="18">
        <v>-2.8840698204096051E-2</v>
      </c>
      <c r="CI130" s="18">
        <v>-0.14491146346295503</v>
      </c>
      <c r="CJ130" s="18">
        <v>0.19263137439895675</v>
      </c>
      <c r="CK130" s="18">
        <v>-0.13231615608313874</v>
      </c>
      <c r="CL130" s="18">
        <v>-0.2444750465234295</v>
      </c>
      <c r="CM130" s="18">
        <v>0.13761615839913088</v>
      </c>
      <c r="CN130" s="19">
        <v>0.28272857953561337</v>
      </c>
    </row>
    <row r="131" spans="1:92" x14ac:dyDescent="0.2">
      <c r="A131" s="2" t="s">
        <v>174</v>
      </c>
      <c r="B131" s="2">
        <v>2</v>
      </c>
      <c r="C131" s="2">
        <v>2</v>
      </c>
      <c r="D131" s="2">
        <v>3</v>
      </c>
      <c r="E131" s="2">
        <v>3</v>
      </c>
      <c r="F131" s="2">
        <v>1</v>
      </c>
      <c r="G131" s="2">
        <v>2</v>
      </c>
      <c r="H131" s="2">
        <v>3</v>
      </c>
      <c r="I131" s="2">
        <v>3</v>
      </c>
      <c r="J131" s="2">
        <v>2</v>
      </c>
      <c r="K131" s="2">
        <v>2</v>
      </c>
      <c r="L131" s="2">
        <v>3</v>
      </c>
      <c r="M131" s="2">
        <v>2</v>
      </c>
      <c r="N131" s="2">
        <v>3</v>
      </c>
      <c r="O131" s="2">
        <v>4</v>
      </c>
      <c r="P131" s="2">
        <v>4</v>
      </c>
      <c r="Q131" s="2">
        <v>1</v>
      </c>
      <c r="R131" s="2">
        <v>4</v>
      </c>
      <c r="S131" s="2">
        <v>2</v>
      </c>
      <c r="T131" s="2">
        <v>3</v>
      </c>
      <c r="U131" s="2">
        <v>3</v>
      </c>
      <c r="V131" s="2">
        <v>3</v>
      </c>
      <c r="W131" s="2">
        <v>3</v>
      </c>
      <c r="X131" s="2">
        <v>3</v>
      </c>
      <c r="Y131" s="2">
        <v>4</v>
      </c>
      <c r="Z131" s="2">
        <v>3</v>
      </c>
      <c r="AA131" s="2">
        <v>3</v>
      </c>
      <c r="AB131" s="2">
        <v>3</v>
      </c>
      <c r="AC131" s="2">
        <v>2</v>
      </c>
      <c r="AD131" s="2">
        <v>2</v>
      </c>
      <c r="AE131" s="2">
        <v>5</v>
      </c>
      <c r="AF131" s="2">
        <v>4</v>
      </c>
      <c r="AG131" s="2">
        <v>1</v>
      </c>
      <c r="AH131" s="2">
        <v>4</v>
      </c>
      <c r="AI131" s="2">
        <v>3</v>
      </c>
      <c r="AJ131" s="2">
        <v>3</v>
      </c>
      <c r="AK131" s="2">
        <v>3</v>
      </c>
      <c r="AL131" s="2">
        <v>4</v>
      </c>
      <c r="AM131" s="2">
        <v>4</v>
      </c>
      <c r="AN131" s="2">
        <v>4</v>
      </c>
      <c r="AO131" s="2">
        <v>3</v>
      </c>
      <c r="AP131" s="2">
        <v>3</v>
      </c>
      <c r="AQ131" s="2">
        <v>1</v>
      </c>
      <c r="AR131" s="2">
        <v>1</v>
      </c>
      <c r="AS131" s="2">
        <v>2</v>
      </c>
      <c r="AT131" s="2"/>
      <c r="AU131" s="2"/>
      <c r="AV131" s="2" t="str">
        <v>15.Cash flow problem during construction</v>
      </c>
      <c r="AW131" s="10">
        <v>0.19961920905688699</v>
      </c>
      <c r="AX131" s="11">
        <v>8.6403016652942269E-2</v>
      </c>
      <c r="AY131" s="11">
        <v>5.03448500800018E-2</v>
      </c>
      <c r="AZ131" s="18">
        <v>0.1827714832714577</v>
      </c>
      <c r="BA131" s="18">
        <v>-0.23699102214717235</v>
      </c>
      <c r="BB131" s="18">
        <v>-4.9929835496639131E-2</v>
      </c>
      <c r="BC131" s="18">
        <v>-0.28353010045562893</v>
      </c>
      <c r="BD131" s="18">
        <v>-0.28178638813946649</v>
      </c>
      <c r="BE131" s="18">
        <v>0.34723014230253874</v>
      </c>
      <c r="BF131" s="18">
        <v>8.2747812223539913E-2</v>
      </c>
      <c r="BG131" s="18">
        <v>-4.1320363921095872E-2</v>
      </c>
      <c r="BH131" s="18">
        <v>-1.6672421273090172E-2</v>
      </c>
      <c r="BI131" s="18">
        <v>0.14298838419443977</v>
      </c>
      <c r="BJ131" s="18">
        <v>0.52480557971668762</v>
      </c>
      <c r="BK131" s="18">
        <v>1</v>
      </c>
      <c r="BL131" s="18">
        <v>0.16772425926337389</v>
      </c>
      <c r="BM131" s="18">
        <v>0.49639925583744476</v>
      </c>
      <c r="BN131" s="18">
        <v>-0.27942902473822229</v>
      </c>
      <c r="BO131" s="18">
        <v>-0.10962535803750953</v>
      </c>
      <c r="BP131" s="18">
        <v>0.25939130369198382</v>
      </c>
      <c r="BQ131" s="18">
        <v>-8.8760696710149051E-2</v>
      </c>
      <c r="BR131" s="18">
        <v>-2.9119614758047998E-2</v>
      </c>
      <c r="BS131" s="18">
        <v>-7.3445446788294233E-2</v>
      </c>
      <c r="BT131" s="18">
        <v>-0.13291762767999196</v>
      </c>
      <c r="BU131" s="18">
        <v>9.5390683542701152E-2</v>
      </c>
      <c r="BV131" s="18">
        <v>0.13932717159673647</v>
      </c>
      <c r="BW131" s="18">
        <v>2.767862047625742E-2</v>
      </c>
      <c r="BX131" s="18">
        <v>-9.7935542154459959E-2</v>
      </c>
      <c r="BY131" s="18">
        <v>0.23460834465906952</v>
      </c>
      <c r="BZ131" s="18">
        <v>7.9680944777665033E-2</v>
      </c>
      <c r="CA131" s="18">
        <v>-0.23370468239799796</v>
      </c>
      <c r="CB131" s="18">
        <v>0.16669714990850384</v>
      </c>
      <c r="CC131" s="18">
        <v>-0.14899249145792193</v>
      </c>
      <c r="CD131" s="18">
        <v>0.39365938593947103</v>
      </c>
      <c r="CE131" s="18">
        <v>-0.20670210700294492</v>
      </c>
      <c r="CF131" s="18">
        <v>-0.33360565630428773</v>
      </c>
      <c r="CG131" s="18">
        <v>0.12669574011943002</v>
      </c>
      <c r="CH131" s="18">
        <v>0.11738344775376128</v>
      </c>
      <c r="CI131" s="18">
        <v>0.10055787597238333</v>
      </c>
      <c r="CJ131" s="18">
        <v>-0.17705668279336764</v>
      </c>
      <c r="CK131" s="18">
        <v>0.16095815697289773</v>
      </c>
      <c r="CL131" s="18">
        <v>-0.15846377990748881</v>
      </c>
      <c r="CM131" s="18">
        <v>1.8864821554941357E-2</v>
      </c>
      <c r="CN131" s="19">
        <v>-2.9464387310727102E-2</v>
      </c>
    </row>
    <row r="132" spans="1:92" x14ac:dyDescent="0.2">
      <c r="A132" s="2" t="s">
        <v>175</v>
      </c>
      <c r="B132" s="2">
        <v>3</v>
      </c>
      <c r="C132" s="2">
        <v>4</v>
      </c>
      <c r="D132" s="2">
        <v>2</v>
      </c>
      <c r="E132" s="2">
        <v>2</v>
      </c>
      <c r="F132" s="2">
        <v>3</v>
      </c>
      <c r="G132" s="2">
        <v>4</v>
      </c>
      <c r="H132" s="2">
        <v>4</v>
      </c>
      <c r="I132" s="2">
        <v>4</v>
      </c>
      <c r="J132" s="2">
        <v>5</v>
      </c>
      <c r="K132" s="2">
        <v>3</v>
      </c>
      <c r="L132" s="2">
        <v>5</v>
      </c>
      <c r="M132" s="2">
        <v>4</v>
      </c>
      <c r="N132" s="2">
        <v>5</v>
      </c>
      <c r="O132" s="2">
        <v>5</v>
      </c>
      <c r="P132" s="2">
        <v>5</v>
      </c>
      <c r="Q132" s="2">
        <v>3</v>
      </c>
      <c r="R132" s="2">
        <v>2</v>
      </c>
      <c r="S132" s="2">
        <v>2</v>
      </c>
      <c r="T132" s="2">
        <v>4</v>
      </c>
      <c r="U132" s="2">
        <v>4</v>
      </c>
      <c r="V132" s="2">
        <v>4</v>
      </c>
      <c r="W132" s="2">
        <v>4</v>
      </c>
      <c r="X132" s="2">
        <v>4</v>
      </c>
      <c r="Y132" s="2">
        <v>3</v>
      </c>
      <c r="Z132" s="2">
        <v>4</v>
      </c>
      <c r="AA132" s="2">
        <v>3</v>
      </c>
      <c r="AB132" s="2">
        <v>4</v>
      </c>
      <c r="AC132" s="2">
        <v>5</v>
      </c>
      <c r="AD132" s="2">
        <v>5</v>
      </c>
      <c r="AE132" s="2">
        <v>5</v>
      </c>
      <c r="AF132" s="2">
        <v>4</v>
      </c>
      <c r="AG132" s="2">
        <v>3</v>
      </c>
      <c r="AH132" s="2">
        <v>3</v>
      </c>
      <c r="AI132" s="2">
        <v>3</v>
      </c>
      <c r="AJ132" s="2">
        <v>3</v>
      </c>
      <c r="AK132" s="2">
        <v>3</v>
      </c>
      <c r="AL132" s="2">
        <v>3</v>
      </c>
      <c r="AM132" s="2">
        <v>3</v>
      </c>
      <c r="AN132" s="2">
        <v>4</v>
      </c>
      <c r="AO132" s="2">
        <v>5</v>
      </c>
      <c r="AP132" s="2">
        <v>3</v>
      </c>
      <c r="AQ132" s="2">
        <v>2</v>
      </c>
      <c r="AR132" s="2">
        <v>3</v>
      </c>
      <c r="AS132" s="2">
        <v>4</v>
      </c>
      <c r="AT132" s="2"/>
      <c r="AU132" s="2"/>
      <c r="AV132" s="2" t="str">
        <v>16.High rate of interest</v>
      </c>
      <c r="AW132" s="10">
        <v>-0.20382475273999576</v>
      </c>
      <c r="AX132" s="11">
        <v>0.14353473258608088</v>
      </c>
      <c r="AY132" s="11">
        <v>-0.11432649075092093</v>
      </c>
      <c r="AZ132" s="18">
        <v>-0.1122278496196556</v>
      </c>
      <c r="BA132" s="18">
        <v>8.1310047257958235E-2</v>
      </c>
      <c r="BB132" s="18">
        <v>0.13457126315406473</v>
      </c>
      <c r="BC132" s="18">
        <v>-4.3490642983562207E-2</v>
      </c>
      <c r="BD132" s="18">
        <v>-0.23685973542106234</v>
      </c>
      <c r="BE132" s="18">
        <v>5.6079795643276344E-2</v>
      </c>
      <c r="BF132" s="18">
        <v>0.11225912061859795</v>
      </c>
      <c r="BG132" s="18">
        <v>9.3340293860107448E-2</v>
      </c>
      <c r="BH132" s="18">
        <v>0.15125763341396561</v>
      </c>
      <c r="BI132" s="18">
        <v>-0.1000455034907024</v>
      </c>
      <c r="BJ132" s="18">
        <v>0.2160911966414957</v>
      </c>
      <c r="BK132" s="18">
        <v>0.16772425926337389</v>
      </c>
      <c r="BL132" s="18">
        <v>1</v>
      </c>
      <c r="BM132" s="18">
        <v>-4.7910886755592616E-2</v>
      </c>
      <c r="BN132" s="18">
        <v>0.16433797934327718</v>
      </c>
      <c r="BO132" s="18">
        <v>0.14593908606456818</v>
      </c>
      <c r="BP132" s="18">
        <v>-0.10580929977331734</v>
      </c>
      <c r="BQ132" s="18">
        <v>-4.7222712269976402E-2</v>
      </c>
      <c r="BR132" s="18">
        <v>-7.3032048024331608E-2</v>
      </c>
      <c r="BS132" s="18">
        <v>1.9661221778259543E-2</v>
      </c>
      <c r="BT132" s="18">
        <v>-3.8517956066911239E-3</v>
      </c>
      <c r="BU132" s="18">
        <v>0.10172743150228422</v>
      </c>
      <c r="BV132" s="18">
        <v>0.14266675607144888</v>
      </c>
      <c r="BW132" s="18">
        <v>-0.17585919053408094</v>
      </c>
      <c r="BX132" s="18">
        <v>4.6591398608425073E-2</v>
      </c>
      <c r="BY132" s="18">
        <v>-0.11721073876021045</v>
      </c>
      <c r="BZ132" s="18">
        <v>0.10625576323306425</v>
      </c>
      <c r="CA132" s="18">
        <v>-3.8555113130233347E-2</v>
      </c>
      <c r="CB132" s="18">
        <v>0.15031291692227544</v>
      </c>
      <c r="CC132" s="18">
        <v>-9.3905384998677746E-2</v>
      </c>
      <c r="CD132" s="18">
        <v>0.19136454704336719</v>
      </c>
      <c r="CE132" s="18">
        <v>3.876999290465119E-2</v>
      </c>
      <c r="CF132" s="18">
        <v>-0.16625949604947993</v>
      </c>
      <c r="CG132" s="18">
        <v>0.10093707935857399</v>
      </c>
      <c r="CH132" s="18">
        <v>-5.4255069587033092E-2</v>
      </c>
      <c r="CI132" s="18">
        <v>9.5359851911390223E-2</v>
      </c>
      <c r="CJ132" s="18">
        <v>-0.14042857923499355</v>
      </c>
      <c r="CK132" s="18">
        <v>8.4078794245134592E-2</v>
      </c>
      <c r="CL132" s="18">
        <v>0.21528442502953388</v>
      </c>
      <c r="CM132" s="18">
        <v>3.4291337954630054E-3</v>
      </c>
      <c r="CN132" s="19">
        <v>-0.21406984874814988</v>
      </c>
    </row>
    <row r="133" spans="1:92" x14ac:dyDescent="0.2">
      <c r="A133" s="2" t="s">
        <v>176</v>
      </c>
      <c r="B133" s="2">
        <v>2</v>
      </c>
      <c r="C133" s="2">
        <v>2</v>
      </c>
      <c r="D133" s="2">
        <v>2</v>
      </c>
      <c r="E133" s="2">
        <v>2</v>
      </c>
      <c r="F133" s="2">
        <v>1</v>
      </c>
      <c r="G133" s="2">
        <v>3</v>
      </c>
      <c r="H133" s="2">
        <v>3</v>
      </c>
      <c r="I133" s="2">
        <v>1</v>
      </c>
      <c r="J133" s="2">
        <v>1</v>
      </c>
      <c r="K133" s="2">
        <v>1</v>
      </c>
      <c r="L133" s="2">
        <v>1</v>
      </c>
      <c r="M133" s="2">
        <v>2</v>
      </c>
      <c r="N133" s="2">
        <v>3</v>
      </c>
      <c r="O133" s="2">
        <v>3</v>
      </c>
      <c r="P133" s="2">
        <v>3</v>
      </c>
      <c r="Q133" s="2">
        <v>1</v>
      </c>
      <c r="R133" s="2">
        <v>3</v>
      </c>
      <c r="S133" s="2">
        <v>1</v>
      </c>
      <c r="T133" s="2">
        <v>2</v>
      </c>
      <c r="U133" s="2">
        <v>1</v>
      </c>
      <c r="V133" s="2">
        <v>2</v>
      </c>
      <c r="W133" s="2">
        <v>3</v>
      </c>
      <c r="X133" s="2">
        <v>3</v>
      </c>
      <c r="Y133" s="2">
        <v>4</v>
      </c>
      <c r="Z133" s="2">
        <v>2</v>
      </c>
      <c r="AA133" s="2">
        <v>1</v>
      </c>
      <c r="AB133" s="2">
        <v>2</v>
      </c>
      <c r="AC133" s="2">
        <v>1</v>
      </c>
      <c r="AD133" s="2">
        <v>3</v>
      </c>
      <c r="AE133" s="2">
        <v>4</v>
      </c>
      <c r="AF133" s="2">
        <v>2</v>
      </c>
      <c r="AG133" s="2">
        <v>1</v>
      </c>
      <c r="AH133" s="2">
        <v>2</v>
      </c>
      <c r="AI133" s="2">
        <v>1</v>
      </c>
      <c r="AJ133" s="2">
        <v>2</v>
      </c>
      <c r="AK133" s="2">
        <v>3</v>
      </c>
      <c r="AL133" s="2">
        <v>3</v>
      </c>
      <c r="AM133" s="2">
        <v>5</v>
      </c>
      <c r="AN133" s="2">
        <v>5</v>
      </c>
      <c r="AO133" s="2">
        <v>4</v>
      </c>
      <c r="AP133" s="2">
        <v>4</v>
      </c>
      <c r="AQ133" s="2">
        <v>1</v>
      </c>
      <c r="AR133" s="2">
        <v>2</v>
      </c>
      <c r="AS133" s="2">
        <v>3</v>
      </c>
      <c r="AT133" s="2"/>
      <c r="AU133" s="2"/>
      <c r="AV133" s="2" t="str">
        <v>17.Contractor’s financial difficulties</v>
      </c>
      <c r="AW133" s="10">
        <v>-0.1285765710550309</v>
      </c>
      <c r="AX133" s="11">
        <v>0.17863204304717695</v>
      </c>
      <c r="AY133" s="11">
        <v>6.6598827675864947E-2</v>
      </c>
      <c r="AZ133" s="18">
        <v>-0.20155347737329393</v>
      </c>
      <c r="BA133" s="18">
        <v>-2.1045320656162068E-2</v>
      </c>
      <c r="BB133" s="18">
        <v>8.7153015244650162E-2</v>
      </c>
      <c r="BC133" s="18">
        <v>0.1422773222189643</v>
      </c>
      <c r="BD133" s="18">
        <v>0.16445429177504989</v>
      </c>
      <c r="BE133" s="18">
        <v>-0.45685069579596693</v>
      </c>
      <c r="BF133" s="18">
        <v>0.26951016037070058</v>
      </c>
      <c r="BG133" s="18">
        <v>-1.5164723168018545E-3</v>
      </c>
      <c r="BH133" s="18">
        <v>-9.9639387713281805E-2</v>
      </c>
      <c r="BI133" s="18">
        <v>-1.334862754327378E-2</v>
      </c>
      <c r="BJ133" s="18">
        <v>-9.6102660743936447E-2</v>
      </c>
      <c r="BK133" s="18">
        <v>0.49639925583744499</v>
      </c>
      <c r="BL133" s="18">
        <v>-4.7910886755592609E-2</v>
      </c>
      <c r="BM133" s="18">
        <v>0.99999999999999978</v>
      </c>
      <c r="BN133" s="18">
        <v>0.21819568525210128</v>
      </c>
      <c r="BO133" s="18">
        <v>-3.5249379657492121E-3</v>
      </c>
      <c r="BP133" s="18">
        <v>-0.25253959422075151</v>
      </c>
      <c r="BQ133" s="18">
        <v>0.13091315258482283</v>
      </c>
      <c r="BR133" s="18">
        <v>4.877860541992822E-2</v>
      </c>
      <c r="BS133" s="18">
        <v>0.22012218218922772</v>
      </c>
      <c r="BT133" s="18">
        <v>0.31526792258994529</v>
      </c>
      <c r="BU133" s="18">
        <v>-0.15043987516387386</v>
      </c>
      <c r="BV133" s="18">
        <v>-7.6681274789737477E-2</v>
      </c>
      <c r="BW133" s="18">
        <v>4.1470851134312384E-2</v>
      </c>
      <c r="BX133" s="18">
        <v>0.16828501788038178</v>
      </c>
      <c r="BY133" s="18">
        <v>-0.18343143817880542</v>
      </c>
      <c r="BZ133" s="18">
        <v>9.8317692888523225E-2</v>
      </c>
      <c r="CA133" s="18">
        <v>-3.4836211777283757E-2</v>
      </c>
      <c r="CB133" s="18">
        <v>4.9169667503608183E-2</v>
      </c>
      <c r="CC133" s="18">
        <v>4.6308625303819351E-4</v>
      </c>
      <c r="CD133" s="18">
        <v>-0.11780176489262305</v>
      </c>
      <c r="CE133" s="18">
        <v>0.24596092149108351</v>
      </c>
      <c r="CF133" s="18">
        <v>0.17311118746710902</v>
      </c>
      <c r="CG133" s="18">
        <v>-5.0565023935002534E-2</v>
      </c>
      <c r="CH133" s="18">
        <v>-2.1372304781511739E-2</v>
      </c>
      <c r="CI133" s="18">
        <v>-6.5734460266742997E-2</v>
      </c>
      <c r="CJ133" s="18">
        <v>-1.9470306732964199E-2</v>
      </c>
      <c r="CK133" s="18">
        <v>-2.5771390392753474E-2</v>
      </c>
      <c r="CL133" s="18">
        <v>0.10531528732112058</v>
      </c>
      <c r="CM133" s="18">
        <v>-0.11101254498965195</v>
      </c>
      <c r="CN133" s="19">
        <v>-0.13154817239828048</v>
      </c>
    </row>
    <row r="134" spans="1:92" x14ac:dyDescent="0.2">
      <c r="A134" s="2" t="s">
        <v>177</v>
      </c>
      <c r="B134" s="2">
        <v>3</v>
      </c>
      <c r="C134" s="2">
        <v>1</v>
      </c>
      <c r="D134" s="2">
        <v>1</v>
      </c>
      <c r="E134" s="2">
        <v>2</v>
      </c>
      <c r="F134" s="2">
        <v>1</v>
      </c>
      <c r="G134" s="2">
        <v>1</v>
      </c>
      <c r="H134" s="2">
        <v>1</v>
      </c>
      <c r="I134" s="2">
        <v>3</v>
      </c>
      <c r="J134" s="2">
        <v>1</v>
      </c>
      <c r="K134" s="2">
        <v>5</v>
      </c>
      <c r="L134" s="2">
        <v>1</v>
      </c>
      <c r="M134" s="2">
        <v>3</v>
      </c>
      <c r="N134" s="2">
        <v>1</v>
      </c>
      <c r="O134" s="2">
        <v>5</v>
      </c>
      <c r="P134" s="2">
        <v>4</v>
      </c>
      <c r="Q134" s="2">
        <v>2</v>
      </c>
      <c r="R134" s="2">
        <v>5</v>
      </c>
      <c r="S134" s="2">
        <v>5</v>
      </c>
      <c r="T134" s="2">
        <v>1</v>
      </c>
      <c r="U134" s="2">
        <v>1</v>
      </c>
      <c r="V134" s="2">
        <v>3</v>
      </c>
      <c r="W134" s="2">
        <v>5</v>
      </c>
      <c r="X134" s="2">
        <v>3</v>
      </c>
      <c r="Y134" s="2">
        <v>3</v>
      </c>
      <c r="Z134" s="2">
        <v>2</v>
      </c>
      <c r="AA134" s="2">
        <v>3</v>
      </c>
      <c r="AB134" s="2">
        <v>3</v>
      </c>
      <c r="AC134" s="2">
        <v>5</v>
      </c>
      <c r="AD134" s="2">
        <v>5</v>
      </c>
      <c r="AE134" s="2">
        <v>5</v>
      </c>
      <c r="AF134" s="2">
        <v>5</v>
      </c>
      <c r="AG134" s="2">
        <v>2</v>
      </c>
      <c r="AH134" s="2">
        <v>5</v>
      </c>
      <c r="AI134" s="2">
        <v>2</v>
      </c>
      <c r="AJ134" s="2">
        <v>2</v>
      </c>
      <c r="AK134" s="2">
        <v>1</v>
      </c>
      <c r="AL134" s="2">
        <v>4</v>
      </c>
      <c r="AM134" s="2">
        <v>5</v>
      </c>
      <c r="AN134" s="2">
        <v>5</v>
      </c>
      <c r="AO134" s="2">
        <v>5</v>
      </c>
      <c r="AP134" s="2">
        <v>1</v>
      </c>
      <c r="AQ134" s="2">
        <v>2</v>
      </c>
      <c r="AR134" s="2">
        <v>2</v>
      </c>
      <c r="AS134" s="2">
        <v>5</v>
      </c>
      <c r="AT134" s="2"/>
      <c r="AU134" s="2"/>
      <c r="AV134" s="2" t="str">
        <v>18.Increase in salaries of skilled laborers</v>
      </c>
      <c r="AW134" s="10">
        <v>0.27436322731440133</v>
      </c>
      <c r="AX134" s="11">
        <v>-0.18369461993879668</v>
      </c>
      <c r="AY134" s="11">
        <v>0.12617258631739484</v>
      </c>
      <c r="AZ134" s="18">
        <v>2.0580663770400336E-2</v>
      </c>
      <c r="BA134" s="18">
        <v>0.13212983371580608</v>
      </c>
      <c r="BB134" s="18">
        <v>3.429661134254346E-3</v>
      </c>
      <c r="BC134" s="18">
        <v>-0.15972728528834337</v>
      </c>
      <c r="BD134" s="18">
        <v>-3.957559986722007E-2</v>
      </c>
      <c r="BE134" s="18">
        <v>-3.9416731997674571E-2</v>
      </c>
      <c r="BF134" s="18">
        <v>1.4418248011461441E-2</v>
      </c>
      <c r="BG134" s="18">
        <v>0.17269392761992775</v>
      </c>
      <c r="BH134" s="18">
        <v>-7.8909790182300057E-2</v>
      </c>
      <c r="BI134" s="18">
        <v>7.0080511520953029E-2</v>
      </c>
      <c r="BJ134" s="18">
        <v>0.11584306128885861</v>
      </c>
      <c r="BK134" s="18">
        <v>-0.27942902473822234</v>
      </c>
      <c r="BL134" s="18">
        <v>0.16433797934327762</v>
      </c>
      <c r="BM134" s="18">
        <v>0.21819568525210117</v>
      </c>
      <c r="BN134" s="18">
        <v>1</v>
      </c>
      <c r="BO134" s="18">
        <v>0.16241665176143869</v>
      </c>
      <c r="BP134" s="18">
        <v>8.7132316290038717E-2</v>
      </c>
      <c r="BQ134" s="18">
        <v>-0.37763642120148666</v>
      </c>
      <c r="BR134" s="18">
        <v>0.25770124885277823</v>
      </c>
      <c r="BS134" s="18">
        <v>6.2530235251145629E-3</v>
      </c>
      <c r="BT134" s="18">
        <v>-1.3113222718648492E-3</v>
      </c>
      <c r="BU134" s="18">
        <v>-0.1924348120494298</v>
      </c>
      <c r="BV134" s="18">
        <v>0.3074816588112988</v>
      </c>
      <c r="BW134" s="18">
        <v>-0.14258809783491608</v>
      </c>
      <c r="BX134" s="18">
        <v>4.0055769755464377E-2</v>
      </c>
      <c r="BY134" s="18">
        <v>0.29323011720727832</v>
      </c>
      <c r="BZ134" s="18">
        <v>-7.6632855289866408E-2</v>
      </c>
      <c r="CA134" s="18">
        <v>6.7282267425958664E-2</v>
      </c>
      <c r="CB134" s="18">
        <v>7.9700298237621287E-2</v>
      </c>
      <c r="CC134" s="18">
        <v>-5.5942898623095004E-2</v>
      </c>
      <c r="CD134" s="18">
        <v>0.21680205178570883</v>
      </c>
      <c r="CE134" s="18">
        <v>-0.36891274573566057</v>
      </c>
      <c r="CF134" s="18">
        <v>-0.13708000714462829</v>
      </c>
      <c r="CG134" s="18">
        <v>-5.6362271546266579E-2</v>
      </c>
      <c r="CH134" s="18">
        <v>-5.4037018525074081E-2</v>
      </c>
      <c r="CI134" s="18">
        <v>0.18445185689804844</v>
      </c>
      <c r="CJ134" s="18">
        <v>1.094805422513302E-2</v>
      </c>
      <c r="CK134" s="18">
        <v>7.7360881257863806E-2</v>
      </c>
      <c r="CL134" s="18">
        <v>1.9865755222137335E-2</v>
      </c>
      <c r="CM134" s="18">
        <v>6.4589590852216869E-2</v>
      </c>
      <c r="CN134" s="19">
        <v>3.3582627818468977E-2</v>
      </c>
    </row>
    <row r="135" spans="1:92" x14ac:dyDescent="0.2">
      <c r="A135" s="2" t="s">
        <v>178</v>
      </c>
      <c r="B135" s="2">
        <v>4</v>
      </c>
      <c r="C135" s="2">
        <v>4</v>
      </c>
      <c r="D135" s="2">
        <v>1</v>
      </c>
      <c r="E135" s="2">
        <v>3</v>
      </c>
      <c r="F135" s="2">
        <v>3</v>
      </c>
      <c r="G135" s="2">
        <v>4</v>
      </c>
      <c r="H135" s="2">
        <v>4</v>
      </c>
      <c r="I135" s="2">
        <v>5</v>
      </c>
      <c r="J135" s="2">
        <v>4</v>
      </c>
      <c r="K135" s="2">
        <v>5</v>
      </c>
      <c r="L135" s="2">
        <v>3</v>
      </c>
      <c r="M135" s="2">
        <v>5</v>
      </c>
      <c r="N135" s="2">
        <v>5</v>
      </c>
      <c r="O135" s="2">
        <v>3</v>
      </c>
      <c r="P135" s="2">
        <v>5</v>
      </c>
      <c r="Q135" s="2">
        <v>3</v>
      </c>
      <c r="R135" s="2">
        <v>4</v>
      </c>
      <c r="S135" s="2">
        <v>2</v>
      </c>
      <c r="T135" s="2">
        <v>5</v>
      </c>
      <c r="U135" s="2">
        <v>5</v>
      </c>
      <c r="V135" s="2">
        <v>4</v>
      </c>
      <c r="W135" s="2">
        <v>5</v>
      </c>
      <c r="X135" s="2">
        <v>4</v>
      </c>
      <c r="Y135" s="2">
        <v>3</v>
      </c>
      <c r="Z135" s="2">
        <v>5</v>
      </c>
      <c r="AA135" s="2">
        <v>3</v>
      </c>
      <c r="AB135" s="2">
        <v>5</v>
      </c>
      <c r="AC135" s="2">
        <v>3</v>
      </c>
      <c r="AD135" s="2">
        <v>4</v>
      </c>
      <c r="AE135" s="2">
        <v>4</v>
      </c>
      <c r="AF135" s="2">
        <v>3</v>
      </c>
      <c r="AG135" s="2">
        <v>4</v>
      </c>
      <c r="AH135" s="2">
        <v>5</v>
      </c>
      <c r="AI135" s="2">
        <v>5</v>
      </c>
      <c r="AJ135" s="2">
        <v>5</v>
      </c>
      <c r="AK135" s="2">
        <v>3</v>
      </c>
      <c r="AL135" s="2">
        <v>2</v>
      </c>
      <c r="AM135" s="2">
        <v>5</v>
      </c>
      <c r="AN135" s="2">
        <v>5</v>
      </c>
      <c r="AO135" s="2">
        <v>5</v>
      </c>
      <c r="AP135" s="2">
        <v>4</v>
      </c>
      <c r="AQ135" s="2">
        <v>3</v>
      </c>
      <c r="AR135" s="2">
        <v>3</v>
      </c>
      <c r="AS135" s="2">
        <v>4</v>
      </c>
      <c r="AT135" s="2"/>
      <c r="AU135" s="2"/>
      <c r="AV135" s="2" t="str">
        <v>19.Change design</v>
      </c>
      <c r="AW135" s="10">
        <v>-0.21724599444195625</v>
      </c>
      <c r="AX135" s="11">
        <v>0.30732948923285142</v>
      </c>
      <c r="AY135" s="11">
        <v>7.6581753789305415E-2</v>
      </c>
      <c r="AZ135" s="18">
        <v>4.0203185803387394E-2</v>
      </c>
      <c r="BA135" s="18">
        <v>-0.12230007458558796</v>
      </c>
      <c r="BB135" s="18">
        <v>4.665184124130109E-2</v>
      </c>
      <c r="BC135" s="18">
        <v>7.6216074947372814E-2</v>
      </c>
      <c r="BD135" s="18">
        <v>0.10471690179381486</v>
      </c>
      <c r="BE135" s="18">
        <v>0.22195184218276692</v>
      </c>
      <c r="BF135" s="18">
        <v>-0.21407966694793307</v>
      </c>
      <c r="BG135" s="18">
        <v>-0.17803771361179832</v>
      </c>
      <c r="BH135" s="18">
        <v>0.21487892923909446</v>
      </c>
      <c r="BI135" s="18">
        <v>-0.15005092701134862</v>
      </c>
      <c r="BJ135" s="18">
        <v>0.12067513942508151</v>
      </c>
      <c r="BK135" s="18">
        <v>-0.10962535803750952</v>
      </c>
      <c r="BL135" s="18">
        <v>0.14593908606456749</v>
      </c>
      <c r="BM135" s="18">
        <v>-3.5249379657492524E-3</v>
      </c>
      <c r="BN135" s="18">
        <v>0.1624166517614388</v>
      </c>
      <c r="BO135" s="18">
        <v>1</v>
      </c>
      <c r="BP135" s="18">
        <v>0.34361467485298192</v>
      </c>
      <c r="BQ135" s="18">
        <v>0.37628211872712375</v>
      </c>
      <c r="BR135" s="18">
        <v>-3.5036704135203614E-2</v>
      </c>
      <c r="BS135" s="18">
        <v>-0.13828766519112298</v>
      </c>
      <c r="BT135" s="18">
        <v>4.1058267302727935E-2</v>
      </c>
      <c r="BU135" s="18">
        <v>0.12891201907617103</v>
      </c>
      <c r="BV135" s="18">
        <v>-5.1710164020891881E-2</v>
      </c>
      <c r="BW135" s="18">
        <v>1.1144551572693066E-2</v>
      </c>
      <c r="BX135" s="18">
        <v>-0.19317763513954844</v>
      </c>
      <c r="BY135" s="18">
        <v>-0.12002941063048644</v>
      </c>
      <c r="BZ135" s="18">
        <v>0.11126540887746347</v>
      </c>
      <c r="CA135" s="18">
        <v>-0.10509520414526215</v>
      </c>
      <c r="CB135" s="18">
        <v>9.7268253404380486E-2</v>
      </c>
      <c r="CC135" s="18">
        <v>1.4538560471683054E-2</v>
      </c>
      <c r="CD135" s="18">
        <v>-0.10502923986903454</v>
      </c>
      <c r="CE135" s="18">
        <v>0.21334239320023837</v>
      </c>
      <c r="CF135" s="18">
        <v>-1.8291111585834866E-2</v>
      </c>
      <c r="CG135" s="18">
        <v>-2.7336883387755456E-2</v>
      </c>
      <c r="CH135" s="18">
        <v>-8.6492063112345918E-2</v>
      </c>
      <c r="CI135" s="18">
        <v>9.8695624168242513E-2</v>
      </c>
      <c r="CJ135" s="18">
        <v>3.9588841720353762E-2</v>
      </c>
      <c r="CK135" s="18">
        <v>6.505649826612267E-2</v>
      </c>
      <c r="CL135" s="18">
        <v>-9.3262533553996413E-2</v>
      </c>
      <c r="CM135" s="18">
        <v>-0.11538244524663971</v>
      </c>
      <c r="CN135" s="19">
        <v>0.10507792639931482</v>
      </c>
    </row>
    <row r="136" spans="1:92" x14ac:dyDescent="0.2">
      <c r="A136" s="2" t="s">
        <v>179</v>
      </c>
      <c r="B136" s="2">
        <v>3</v>
      </c>
      <c r="C136" s="2">
        <v>3</v>
      </c>
      <c r="D136" s="2">
        <v>3</v>
      </c>
      <c r="E136" s="2">
        <v>3</v>
      </c>
      <c r="F136" s="2">
        <v>3</v>
      </c>
      <c r="G136" s="2">
        <v>3</v>
      </c>
      <c r="H136" s="2">
        <v>2</v>
      </c>
      <c r="I136" s="2">
        <v>3</v>
      </c>
      <c r="J136" s="2">
        <v>2</v>
      </c>
      <c r="K136" s="2">
        <v>3</v>
      </c>
      <c r="L136" s="2">
        <v>3</v>
      </c>
      <c r="M136" s="2">
        <v>3</v>
      </c>
      <c r="N136" s="2">
        <v>4</v>
      </c>
      <c r="O136" s="2">
        <v>4</v>
      </c>
      <c r="P136" s="2">
        <v>4</v>
      </c>
      <c r="Q136" s="2">
        <v>4</v>
      </c>
      <c r="R136" s="2">
        <v>5</v>
      </c>
      <c r="S136" s="2">
        <v>4</v>
      </c>
      <c r="T136" s="3"/>
      <c r="U136" s="2">
        <v>2</v>
      </c>
      <c r="V136" s="2">
        <v>2</v>
      </c>
      <c r="W136" s="2">
        <v>3</v>
      </c>
      <c r="X136" s="2">
        <v>3</v>
      </c>
      <c r="Y136" s="2">
        <v>2</v>
      </c>
      <c r="Z136" s="2">
        <v>3</v>
      </c>
      <c r="AA136" s="2">
        <v>3</v>
      </c>
      <c r="AB136" s="2">
        <v>4</v>
      </c>
      <c r="AC136" s="2">
        <v>3</v>
      </c>
      <c r="AD136" s="2">
        <v>3</v>
      </c>
      <c r="AE136" s="2">
        <v>4</v>
      </c>
      <c r="AF136" s="2">
        <v>3</v>
      </c>
      <c r="AG136" s="2">
        <v>3</v>
      </c>
      <c r="AH136" s="2">
        <v>3</v>
      </c>
      <c r="AI136" s="2">
        <v>2</v>
      </c>
      <c r="AJ136" s="2">
        <v>2</v>
      </c>
      <c r="AK136" s="2">
        <v>4</v>
      </c>
      <c r="AL136" s="2">
        <v>5</v>
      </c>
      <c r="AM136" s="2">
        <v>4</v>
      </c>
      <c r="AN136" s="2">
        <v>5</v>
      </c>
      <c r="AO136" s="2">
        <v>5</v>
      </c>
      <c r="AP136" s="2">
        <v>2</v>
      </c>
      <c r="AQ136" s="2">
        <v>2</v>
      </c>
      <c r="AR136" s="2">
        <v>2</v>
      </c>
      <c r="AS136" s="2">
        <v>4</v>
      </c>
      <c r="AT136" s="2"/>
      <c r="AU136" s="2"/>
      <c r="AV136" s="2" t="str">
        <v>20.Errors and omission in design</v>
      </c>
      <c r="AW136" s="10">
        <v>-0.11724372734798993</v>
      </c>
      <c r="AX136" s="11">
        <v>3.301325042316796E-2</v>
      </c>
      <c r="AY136" s="11">
        <v>1.3277759051267228E-2</v>
      </c>
      <c r="AZ136" s="18">
        <v>-0.16647231817478575</v>
      </c>
      <c r="BA136" s="18">
        <v>0.10247762341092576</v>
      </c>
      <c r="BB136" s="18">
        <v>3.6336189168153281E-2</v>
      </c>
      <c r="BC136" s="18">
        <v>1.0321704786429986E-2</v>
      </c>
      <c r="BD136" s="18">
        <v>0.19275347738777868</v>
      </c>
      <c r="BE136" s="18">
        <v>-9.9397612665830873E-2</v>
      </c>
      <c r="BF136" s="18">
        <v>0.10912908339320326</v>
      </c>
      <c r="BG136" s="18">
        <v>-1.2071758273441466E-2</v>
      </c>
      <c r="BH136" s="18">
        <v>-0.19019497552090556</v>
      </c>
      <c r="BI136" s="18">
        <v>-0.11243720123138394</v>
      </c>
      <c r="BJ136" s="18">
        <v>-2.2517276246075125E-2</v>
      </c>
      <c r="BK136" s="18">
        <v>0.2593913036919841</v>
      </c>
      <c r="BL136" s="18">
        <v>-0.10580929977331759</v>
      </c>
      <c r="BM136" s="18">
        <v>-0.25253959422075178</v>
      </c>
      <c r="BN136" s="18">
        <v>8.713231629003855E-2</v>
      </c>
      <c r="BO136" s="18">
        <v>0.34361467485298236</v>
      </c>
      <c r="BP136" s="18">
        <v>0.99999999999999978</v>
      </c>
      <c r="BQ136" s="18">
        <v>0.35665578000659309</v>
      </c>
      <c r="BR136" s="18">
        <v>-0.16809651017186705</v>
      </c>
      <c r="BS136" s="18">
        <v>0.25830407863654431</v>
      </c>
      <c r="BT136" s="18">
        <v>0.10748379703375602</v>
      </c>
      <c r="BU136" s="18">
        <v>0.13860519512355082</v>
      </c>
      <c r="BV136" s="18">
        <v>-3.3924400343983037E-2</v>
      </c>
      <c r="BW136" s="18">
        <v>-9.2818779590993564E-2</v>
      </c>
      <c r="BX136" s="18">
        <v>9.7648089255838413E-2</v>
      </c>
      <c r="BY136" s="18">
        <v>-0.16032882438005722</v>
      </c>
      <c r="BZ136" s="18">
        <v>4.7748931343935951E-2</v>
      </c>
      <c r="CA136" s="18">
        <v>-1.8953334664572628E-2</v>
      </c>
      <c r="CB136" s="18">
        <v>3.6814199026151115E-2</v>
      </c>
      <c r="CC136" s="18">
        <v>0.12854158633884222</v>
      </c>
      <c r="CD136" s="18">
        <v>-0.17259322288727569</v>
      </c>
      <c r="CE136" s="18">
        <v>0.20788954679918545</v>
      </c>
      <c r="CF136" s="18">
        <v>0.26761111344337829</v>
      </c>
      <c r="CG136" s="18">
        <v>-0.2465110073023066</v>
      </c>
      <c r="CH136" s="18">
        <v>-0.13696547638483916</v>
      </c>
      <c r="CI136" s="18">
        <v>1.4588156577132812E-2</v>
      </c>
      <c r="CJ136" s="18">
        <v>5.6997758968981536E-2</v>
      </c>
      <c r="CK136" s="18">
        <v>-4.3695730370747379E-2</v>
      </c>
      <c r="CL136" s="18">
        <v>0.24243975236665646</v>
      </c>
      <c r="CM136" s="18">
        <v>-0.12594749706142017</v>
      </c>
      <c r="CN136" s="19">
        <v>-4.5941797609517124E-2</v>
      </c>
    </row>
    <row r="137" spans="1:92" x14ac:dyDescent="0.2">
      <c r="A137" s="2" t="s">
        <v>180</v>
      </c>
      <c r="B137" s="2">
        <v>4</v>
      </c>
      <c r="C137" s="2">
        <v>4</v>
      </c>
      <c r="D137" s="2">
        <v>3</v>
      </c>
      <c r="E137" s="2">
        <v>4</v>
      </c>
      <c r="F137" s="2">
        <v>4</v>
      </c>
      <c r="G137" s="2">
        <v>4</v>
      </c>
      <c r="H137" s="2">
        <v>4</v>
      </c>
      <c r="I137" s="2">
        <v>4</v>
      </c>
      <c r="J137" s="2">
        <v>4</v>
      </c>
      <c r="K137" s="2">
        <v>4</v>
      </c>
      <c r="L137" s="2">
        <v>4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4</v>
      </c>
      <c r="S137" s="2">
        <v>4</v>
      </c>
      <c r="T137" s="2">
        <v>4</v>
      </c>
      <c r="U137" s="2">
        <v>4</v>
      </c>
      <c r="V137" s="2">
        <v>4</v>
      </c>
      <c r="W137" s="2">
        <v>4</v>
      </c>
      <c r="X137" s="2">
        <v>4</v>
      </c>
      <c r="Y137" s="2">
        <v>3</v>
      </c>
      <c r="Z137" s="2">
        <v>3</v>
      </c>
      <c r="AA137" s="2">
        <v>3</v>
      </c>
      <c r="AB137" s="2">
        <v>4</v>
      </c>
      <c r="AC137" s="2">
        <v>5</v>
      </c>
      <c r="AD137" s="2">
        <v>4</v>
      </c>
      <c r="AE137" s="2">
        <v>5</v>
      </c>
      <c r="AF137" s="2">
        <v>3</v>
      </c>
      <c r="AG137" s="2">
        <v>4</v>
      </c>
      <c r="AH137" s="2">
        <v>4</v>
      </c>
      <c r="AI137" s="2">
        <v>5</v>
      </c>
      <c r="AJ137" s="2">
        <v>4</v>
      </c>
      <c r="AK137" s="2">
        <v>4</v>
      </c>
      <c r="AL137" s="2">
        <v>4</v>
      </c>
      <c r="AM137" s="2">
        <v>4</v>
      </c>
      <c r="AN137" s="2">
        <v>4</v>
      </c>
      <c r="AO137" s="2">
        <v>5</v>
      </c>
      <c r="AP137" s="2">
        <v>5</v>
      </c>
      <c r="AQ137" s="2">
        <v>4</v>
      </c>
      <c r="AR137" s="2">
        <v>4</v>
      </c>
      <c r="AS137" s="2">
        <v>5</v>
      </c>
      <c r="AT137" s="2"/>
      <c r="AU137" s="2"/>
      <c r="AV137" s="2" t="str">
        <v>21.Incomplete design drawings and specifications at tendering stage</v>
      </c>
      <c r="AW137" s="10">
        <v>0.23086690387322054</v>
      </c>
      <c r="AX137" s="11">
        <v>-0.18944304807659612</v>
      </c>
      <c r="AY137" s="11">
        <v>8.8951087234924425E-2</v>
      </c>
      <c r="AZ137" s="18">
        <v>9.8829559876919739E-3</v>
      </c>
      <c r="BA137" s="18">
        <v>0.14073470825956477</v>
      </c>
      <c r="BB137" s="18">
        <v>-8.4308265104885732E-2</v>
      </c>
      <c r="BC137" s="18">
        <v>-0.1128986991264649</v>
      </c>
      <c r="BD137" s="18">
        <v>-0.2139596050290074</v>
      </c>
      <c r="BE137" s="18">
        <v>-0.15375906542064177</v>
      </c>
      <c r="BF137" s="18">
        <v>-1.5891553069782571E-2</v>
      </c>
      <c r="BG137" s="18">
        <v>0.37575242425989103</v>
      </c>
      <c r="BH137" s="18">
        <v>0.14704674533592962</v>
      </c>
      <c r="BI137" s="18">
        <v>1.4808046213382591E-2</v>
      </c>
      <c r="BJ137" s="18">
        <v>-4.2076003979520354E-2</v>
      </c>
      <c r="BK137" s="18">
        <v>-8.8760696710149536E-2</v>
      </c>
      <c r="BL137" s="18">
        <v>-4.7222712269975611E-2</v>
      </c>
      <c r="BM137" s="18">
        <v>0.13091315258482333</v>
      </c>
      <c r="BN137" s="18">
        <v>-0.37763642120148661</v>
      </c>
      <c r="BO137" s="18">
        <v>0.37628211872712319</v>
      </c>
      <c r="BP137" s="18">
        <v>0.35665578000659348</v>
      </c>
      <c r="BQ137" s="18">
        <v>1</v>
      </c>
      <c r="BR137" s="18">
        <v>0.24599030323677612</v>
      </c>
      <c r="BS137" s="18">
        <v>6.529394861353767E-2</v>
      </c>
      <c r="BT137" s="18">
        <v>-5.9313579735659847E-3</v>
      </c>
      <c r="BU137" s="18">
        <v>-0.19076946062048356</v>
      </c>
      <c r="BV137" s="18">
        <v>7.9721343106493953E-2</v>
      </c>
      <c r="BW137" s="18">
        <v>0.26359058795754703</v>
      </c>
      <c r="BX137" s="18">
        <v>0.1624383982085339</v>
      </c>
      <c r="BY137" s="18">
        <v>7.0207090263305891E-2</v>
      </c>
      <c r="BZ137" s="18">
        <v>2.8450465132126315E-2</v>
      </c>
      <c r="CA137" s="18">
        <v>-4.1423965840892779E-2</v>
      </c>
      <c r="CB137" s="18">
        <v>0.24833458842204334</v>
      </c>
      <c r="CC137" s="18">
        <v>-0.36083767874724781</v>
      </c>
      <c r="CD137" s="18">
        <v>0.40382829341853382</v>
      </c>
      <c r="CE137" s="18">
        <v>-0.40592087768822643</v>
      </c>
      <c r="CF137" s="18">
        <v>-0.41605070060281901</v>
      </c>
      <c r="CG137" s="18">
        <v>0.29960990261178722</v>
      </c>
      <c r="CH137" s="18">
        <v>0.18486937199806155</v>
      </c>
      <c r="CI137" s="18">
        <v>1.5495030449326796E-2</v>
      </c>
      <c r="CJ137" s="18">
        <v>6.7966232407575933E-2</v>
      </c>
      <c r="CK137" s="18">
        <v>-0.11032410718391795</v>
      </c>
      <c r="CL137" s="18">
        <v>-0.20349231960465275</v>
      </c>
      <c r="CM137" s="18">
        <v>0.15643600971121865</v>
      </c>
      <c r="CN137" s="19">
        <v>-3.6556897910881958E-2</v>
      </c>
    </row>
    <row r="138" spans="1:92" x14ac:dyDescent="0.2">
      <c r="A138" s="2" t="s">
        <v>181</v>
      </c>
      <c r="B138" s="2">
        <v>4</v>
      </c>
      <c r="C138" s="2">
        <v>5</v>
      </c>
      <c r="D138" s="2">
        <v>4</v>
      </c>
      <c r="E138" s="2">
        <v>3</v>
      </c>
      <c r="F138" s="2">
        <v>4</v>
      </c>
      <c r="G138" s="2">
        <v>4</v>
      </c>
      <c r="H138" s="2">
        <v>4</v>
      </c>
      <c r="I138" s="2">
        <v>4</v>
      </c>
      <c r="J138" s="2">
        <v>4</v>
      </c>
      <c r="K138" s="2">
        <v>4</v>
      </c>
      <c r="L138" s="2">
        <v>5</v>
      </c>
      <c r="M138" s="2">
        <v>5</v>
      </c>
      <c r="N138" s="2">
        <v>5</v>
      </c>
      <c r="O138" s="2">
        <v>3</v>
      </c>
      <c r="P138" s="2">
        <v>4</v>
      </c>
      <c r="Q138" s="2">
        <v>4</v>
      </c>
      <c r="R138" s="2">
        <v>5</v>
      </c>
      <c r="S138" s="2">
        <v>4</v>
      </c>
      <c r="T138" s="2">
        <v>4</v>
      </c>
      <c r="U138" s="2">
        <v>4</v>
      </c>
      <c r="V138" s="2">
        <v>4</v>
      </c>
      <c r="W138" s="2">
        <v>4</v>
      </c>
      <c r="X138" s="2">
        <v>4</v>
      </c>
      <c r="Y138" s="2">
        <v>5</v>
      </c>
      <c r="Z138" s="2">
        <v>4</v>
      </c>
      <c r="AA138" s="2">
        <v>4</v>
      </c>
      <c r="AB138" s="2">
        <v>4</v>
      </c>
      <c r="AC138" s="2">
        <v>5</v>
      </c>
      <c r="AD138" s="2">
        <v>5</v>
      </c>
      <c r="AE138" s="2">
        <v>4</v>
      </c>
      <c r="AF138" s="2">
        <v>4</v>
      </c>
      <c r="AG138" s="2">
        <v>4</v>
      </c>
      <c r="AH138" s="2">
        <v>3</v>
      </c>
      <c r="AI138" s="2">
        <v>4</v>
      </c>
      <c r="AJ138" s="2">
        <v>4</v>
      </c>
      <c r="AK138" s="2">
        <v>5</v>
      </c>
      <c r="AL138" s="2">
        <v>4</v>
      </c>
      <c r="AM138" s="2">
        <v>4</v>
      </c>
      <c r="AN138" s="2">
        <v>5</v>
      </c>
      <c r="AO138" s="2">
        <v>5</v>
      </c>
      <c r="AP138" s="2">
        <v>4</v>
      </c>
      <c r="AQ138" s="2">
        <v>4</v>
      </c>
      <c r="AR138" s="2">
        <v>3</v>
      </c>
      <c r="AS138" s="2">
        <v>4</v>
      </c>
      <c r="AT138" s="2"/>
      <c r="AU138" s="2"/>
      <c r="AV138" s="2" t="str">
        <v>22.Delay in preparation and approval of drawing</v>
      </c>
      <c r="AW138" s="10">
        <v>4.16306538251889E-2</v>
      </c>
      <c r="AX138" s="11">
        <v>0.13018887507271987</v>
      </c>
      <c r="AY138" s="11">
        <v>0.10931363429222786</v>
      </c>
      <c r="AZ138" s="18">
        <v>-9.6135050473913783E-2</v>
      </c>
      <c r="BA138" s="18">
        <v>-7.700370840029494E-2</v>
      </c>
      <c r="BB138" s="18">
        <v>-3.3476970440870064E-3</v>
      </c>
      <c r="BC138" s="18">
        <v>6.6459103267572692E-2</v>
      </c>
      <c r="BD138" s="18">
        <v>-6.8024307983126128E-2</v>
      </c>
      <c r="BE138" s="18">
        <v>0.11741469023138149</v>
      </c>
      <c r="BF138" s="18">
        <v>-7.8096758244716194E-2</v>
      </c>
      <c r="BG138" s="18">
        <v>-0.32105265866888039</v>
      </c>
      <c r="BH138" s="18">
        <v>0.23287572718022947</v>
      </c>
      <c r="BI138" s="18">
        <v>-0.10489931186668822</v>
      </c>
      <c r="BJ138" s="18">
        <v>0.17849331294462523</v>
      </c>
      <c r="BK138" s="18">
        <v>-2.9119614758047134E-2</v>
      </c>
      <c r="BL138" s="18">
        <v>-7.3032048024331997E-2</v>
      </c>
      <c r="BM138" s="18">
        <v>4.8778605419927686E-2</v>
      </c>
      <c r="BN138" s="18">
        <v>0.25770124885277834</v>
      </c>
      <c r="BO138" s="18">
        <v>-3.5036704135203205E-2</v>
      </c>
      <c r="BP138" s="18">
        <v>-0.16809651017186736</v>
      </c>
      <c r="BQ138" s="18">
        <v>0.24599030323677598</v>
      </c>
      <c r="BR138" s="18">
        <v>1</v>
      </c>
      <c r="BS138" s="18">
        <v>0.27492423960015161</v>
      </c>
      <c r="BT138" s="18">
        <v>-0.12521079858462419</v>
      </c>
      <c r="BU138" s="18">
        <v>0.26029374379796594</v>
      </c>
      <c r="BV138" s="18">
        <v>0.12704620249210571</v>
      </c>
      <c r="BW138" s="18">
        <v>-4.5498085788477451E-2</v>
      </c>
      <c r="BX138" s="18">
        <v>1.4381361166115686E-2</v>
      </c>
      <c r="BY138" s="18">
        <v>-0.15382854524766107</v>
      </c>
      <c r="BZ138" s="18">
        <v>0.20272617933495465</v>
      </c>
      <c r="CA138" s="18">
        <v>-0.21020327735489766</v>
      </c>
      <c r="CB138" s="18">
        <v>-5.160861408468667E-3</v>
      </c>
      <c r="CC138" s="18">
        <v>0.13011985290146802</v>
      </c>
      <c r="CD138" s="18">
        <v>-9.49351411331813E-2</v>
      </c>
      <c r="CE138" s="18">
        <v>0.21233367106826451</v>
      </c>
      <c r="CF138" s="18">
        <v>-0.10352215777273874</v>
      </c>
      <c r="CG138" s="18">
        <v>-0.13683875173744278</v>
      </c>
      <c r="CH138" s="18">
        <v>7.0566913751363647E-2</v>
      </c>
      <c r="CI138" s="18">
        <v>-0.14185079749406981</v>
      </c>
      <c r="CJ138" s="18">
        <v>0.22498437529341467</v>
      </c>
      <c r="CK138" s="18">
        <v>8.3660875377000662E-3</v>
      </c>
      <c r="CL138" s="18">
        <v>0.18588821200720582</v>
      </c>
      <c r="CM138" s="18">
        <v>-0.27464916844075754</v>
      </c>
      <c r="CN138" s="19">
        <v>0.11453880900395937</v>
      </c>
    </row>
    <row r="139" spans="1:92" x14ac:dyDescent="0.2">
      <c r="A139" s="2" t="s">
        <v>182</v>
      </c>
      <c r="B139" s="2">
        <v>2</v>
      </c>
      <c r="C139" s="2">
        <v>2</v>
      </c>
      <c r="D139" s="2">
        <v>3</v>
      </c>
      <c r="E139" s="2">
        <v>3</v>
      </c>
      <c r="F139" s="2">
        <v>1</v>
      </c>
      <c r="G139" s="2">
        <v>2</v>
      </c>
      <c r="H139" s="2">
        <v>3</v>
      </c>
      <c r="I139" s="2">
        <v>3</v>
      </c>
      <c r="J139" s="2">
        <v>2</v>
      </c>
      <c r="K139" s="2">
        <v>2</v>
      </c>
      <c r="L139" s="2">
        <v>3</v>
      </c>
      <c r="M139" s="2">
        <v>2</v>
      </c>
      <c r="N139" s="2">
        <v>3</v>
      </c>
      <c r="O139" s="2">
        <v>4</v>
      </c>
      <c r="P139" s="2">
        <v>4</v>
      </c>
      <c r="Q139" s="2">
        <v>1</v>
      </c>
      <c r="R139" s="2">
        <v>4</v>
      </c>
      <c r="S139" s="2">
        <v>2</v>
      </c>
      <c r="T139" s="2">
        <v>3</v>
      </c>
      <c r="U139" s="2">
        <v>3</v>
      </c>
      <c r="V139" s="2">
        <v>3</v>
      </c>
      <c r="W139" s="2">
        <v>3</v>
      </c>
      <c r="X139" s="2">
        <v>3</v>
      </c>
      <c r="Y139" s="2">
        <v>4</v>
      </c>
      <c r="Z139" s="2">
        <v>3</v>
      </c>
      <c r="AA139" s="2">
        <v>3</v>
      </c>
      <c r="AB139" s="2">
        <v>3</v>
      </c>
      <c r="AC139" s="2">
        <v>2</v>
      </c>
      <c r="AD139" s="2">
        <v>2</v>
      </c>
      <c r="AE139" s="2">
        <v>5</v>
      </c>
      <c r="AF139" s="2">
        <v>4</v>
      </c>
      <c r="AG139" s="2">
        <v>1</v>
      </c>
      <c r="AH139" s="2">
        <v>4</v>
      </c>
      <c r="AI139" s="2">
        <v>3</v>
      </c>
      <c r="AJ139" s="2">
        <v>3</v>
      </c>
      <c r="AK139" s="2">
        <v>3</v>
      </c>
      <c r="AL139" s="2">
        <v>4</v>
      </c>
      <c r="AM139" s="2">
        <v>4</v>
      </c>
      <c r="AN139" s="2">
        <v>4</v>
      </c>
      <c r="AO139" s="2">
        <v>3</v>
      </c>
      <c r="AP139" s="2">
        <v>3</v>
      </c>
      <c r="AQ139" s="2">
        <v>1</v>
      </c>
      <c r="AR139" s="2">
        <v>1</v>
      </c>
      <c r="AS139" s="2">
        <v>2</v>
      </c>
      <c r="AT139" s="2"/>
      <c r="AU139" s="2"/>
      <c r="AV139" s="2" t="str">
        <v>23.Inaccurate quantity take-off</v>
      </c>
      <c r="AW139" s="10">
        <v>-0.33244194551422873</v>
      </c>
      <c r="AX139" s="11">
        <v>7.903142812568742E-2</v>
      </c>
      <c r="AY139" s="11">
        <v>-0.25672391703393199</v>
      </c>
      <c r="AZ139" s="18">
        <v>0.2162924499414258</v>
      </c>
      <c r="BA139" s="18">
        <v>8.5328023832924205E-2</v>
      </c>
      <c r="BB139" s="18">
        <v>7.2539405804582111E-2</v>
      </c>
      <c r="BC139" s="18">
        <v>-0.11655263725070553</v>
      </c>
      <c r="BD139" s="18">
        <v>-0.19573576621098551</v>
      </c>
      <c r="BE139" s="18">
        <v>0.24148655008226463</v>
      </c>
      <c r="BF139" s="18">
        <v>8.2113536180132882E-2</v>
      </c>
      <c r="BG139" s="18">
        <v>-0.13137645459732775</v>
      </c>
      <c r="BH139" s="18">
        <v>1.0266665289587367E-2</v>
      </c>
      <c r="BI139" s="18">
        <v>1.770780923533611E-2</v>
      </c>
      <c r="BJ139" s="18">
        <v>-7.7952786328335577E-2</v>
      </c>
      <c r="BK139" s="18">
        <v>-7.3445446788294122E-2</v>
      </c>
      <c r="BL139" s="18">
        <v>1.9661221778259259E-2</v>
      </c>
      <c r="BM139" s="18">
        <v>0.22012218218922769</v>
      </c>
      <c r="BN139" s="18">
        <v>6.2530235251145889E-3</v>
      </c>
      <c r="BO139" s="18">
        <v>-0.1382876651911229</v>
      </c>
      <c r="BP139" s="18">
        <v>0.25830407863654392</v>
      </c>
      <c r="BQ139" s="18">
        <v>6.5293948613537628E-2</v>
      </c>
      <c r="BR139" s="18">
        <v>0.27492423960015122</v>
      </c>
      <c r="BS139" s="18">
        <v>0.99999999999999978</v>
      </c>
      <c r="BT139" s="18">
        <v>0.15743852554608104</v>
      </c>
      <c r="BU139" s="18">
        <v>0.17711875110605832</v>
      </c>
      <c r="BV139" s="18">
        <v>0.17993974874345889</v>
      </c>
      <c r="BW139" s="18">
        <v>-9.6257879503192062E-2</v>
      </c>
      <c r="BX139" s="18">
        <v>-0.15667534853607598</v>
      </c>
      <c r="BY139" s="18">
        <v>0.17149828809957218</v>
      </c>
      <c r="BZ139" s="18">
        <v>-8.6438063313346414E-2</v>
      </c>
      <c r="CA139" s="18">
        <v>0.16286060849796305</v>
      </c>
      <c r="CB139" s="18">
        <v>-1.1923301257206413E-2</v>
      </c>
      <c r="CC139" s="18">
        <v>-4.4328223406646425E-2</v>
      </c>
      <c r="CD139" s="18">
        <v>-5.960212198242637E-2</v>
      </c>
      <c r="CE139" s="18">
        <v>-0.12301196845601091</v>
      </c>
      <c r="CF139" s="18">
        <v>4.8646767181486507E-2</v>
      </c>
      <c r="CG139" s="18">
        <v>0.10936289581973965</v>
      </c>
      <c r="CH139" s="18">
        <v>-0.14229706651874</v>
      </c>
      <c r="CI139" s="18">
        <v>7.8984992670597387E-2</v>
      </c>
      <c r="CJ139" s="18">
        <v>-9.22259121180804E-2</v>
      </c>
      <c r="CK139" s="18">
        <v>0.30706282113597122</v>
      </c>
      <c r="CL139" s="18">
        <v>-5.8796745839575061E-3</v>
      </c>
      <c r="CM139" s="18">
        <v>0.15605583513209773</v>
      </c>
      <c r="CN139" s="19">
        <v>-9.0029366961549062E-2</v>
      </c>
    </row>
    <row r="140" spans="1:92" x14ac:dyDescent="0.2">
      <c r="A140" s="2" t="s">
        <v>183</v>
      </c>
      <c r="B140" s="2">
        <v>5</v>
      </c>
      <c r="C140" s="2">
        <v>3</v>
      </c>
      <c r="D140" s="2">
        <v>2</v>
      </c>
      <c r="E140" s="2">
        <v>3</v>
      </c>
      <c r="F140" s="2">
        <v>5</v>
      </c>
      <c r="G140" s="2">
        <v>5</v>
      </c>
      <c r="H140" s="2">
        <v>5</v>
      </c>
      <c r="I140" s="2">
        <v>5</v>
      </c>
      <c r="J140" s="2">
        <v>5</v>
      </c>
      <c r="K140" s="2">
        <v>4</v>
      </c>
      <c r="L140" s="2">
        <v>5</v>
      </c>
      <c r="M140" s="2">
        <v>5</v>
      </c>
      <c r="N140" s="2">
        <v>5</v>
      </c>
      <c r="O140" s="2">
        <v>5</v>
      </c>
      <c r="P140" s="2">
        <v>5</v>
      </c>
      <c r="Q140" s="2">
        <v>4</v>
      </c>
      <c r="R140" s="2">
        <v>4</v>
      </c>
      <c r="S140" s="2">
        <v>4</v>
      </c>
      <c r="T140" s="2">
        <v>5</v>
      </c>
      <c r="U140" s="2">
        <v>5</v>
      </c>
      <c r="V140" s="2">
        <v>5</v>
      </c>
      <c r="W140" s="2">
        <v>5</v>
      </c>
      <c r="X140" s="2">
        <v>4</v>
      </c>
      <c r="Y140" s="2">
        <v>5</v>
      </c>
      <c r="Z140" s="2">
        <v>5</v>
      </c>
      <c r="AA140" s="2">
        <v>4</v>
      </c>
      <c r="AB140" s="2">
        <v>4</v>
      </c>
      <c r="AC140" s="2">
        <v>4</v>
      </c>
      <c r="AD140" s="2">
        <v>5</v>
      </c>
      <c r="AE140" s="2">
        <v>5</v>
      </c>
      <c r="AF140" s="2">
        <v>4</v>
      </c>
      <c r="AG140" s="2">
        <v>4</v>
      </c>
      <c r="AH140" s="2">
        <v>4</v>
      </c>
      <c r="AI140" s="2">
        <v>5</v>
      </c>
      <c r="AJ140" s="2">
        <v>5</v>
      </c>
      <c r="AK140" s="2">
        <v>4</v>
      </c>
      <c r="AL140" s="2">
        <v>5</v>
      </c>
      <c r="AM140" s="2">
        <v>5</v>
      </c>
      <c r="AN140" s="2">
        <v>5</v>
      </c>
      <c r="AO140" s="2">
        <v>5</v>
      </c>
      <c r="AP140" s="2">
        <v>4</v>
      </c>
      <c r="AQ140" s="2">
        <v>4</v>
      </c>
      <c r="AR140" s="2">
        <v>4</v>
      </c>
      <c r="AS140" s="2">
        <v>5</v>
      </c>
      <c r="AT140" s="2"/>
      <c r="AU140" s="2"/>
      <c r="AV140" s="2" t="str">
        <v>24.Long period from planning of project to construction</v>
      </c>
      <c r="AW140" s="10">
        <v>0.11601344384910657</v>
      </c>
      <c r="AX140" s="11">
        <v>-0.14006094790265813</v>
      </c>
      <c r="AY140" s="11">
        <v>0.16431465429891789</v>
      </c>
      <c r="AZ140" s="18">
        <v>-1.6337154408235507E-2</v>
      </c>
      <c r="BA140" s="18">
        <v>-0.16707648383634191</v>
      </c>
      <c r="BB140" s="18">
        <v>-0.1536768225320351</v>
      </c>
      <c r="BC140" s="18">
        <v>-7.1735583863461932E-2</v>
      </c>
      <c r="BD140" s="18">
        <v>-5.819686770566556E-2</v>
      </c>
      <c r="BE140" s="18">
        <v>0.13166488225580794</v>
      </c>
      <c r="BF140" s="18">
        <v>-0.17016697348435422</v>
      </c>
      <c r="BG140" s="18">
        <v>9.4719279253834374E-2</v>
      </c>
      <c r="BH140" s="18">
        <v>3.6323991353713322E-2</v>
      </c>
      <c r="BI140" s="18">
        <v>4.6143353348739119E-2</v>
      </c>
      <c r="BJ140" s="18">
        <v>0.16992750070751969</v>
      </c>
      <c r="BK140" s="18">
        <v>-0.13291762767999177</v>
      </c>
      <c r="BL140" s="18">
        <v>-3.8517956066909335E-3</v>
      </c>
      <c r="BM140" s="18">
        <v>0.31526792258994485</v>
      </c>
      <c r="BN140" s="18">
        <v>-1.3113222718649196E-3</v>
      </c>
      <c r="BO140" s="18">
        <v>4.1058267302728088E-2</v>
      </c>
      <c r="BP140" s="18">
        <v>0.10748379703375574</v>
      </c>
      <c r="BQ140" s="18">
        <v>-5.931357973565885E-3</v>
      </c>
      <c r="BR140" s="18">
        <v>-0.12521079858462414</v>
      </c>
      <c r="BS140" s="18">
        <v>0.15743852554608109</v>
      </c>
      <c r="BT140" s="18">
        <v>1</v>
      </c>
      <c r="BU140" s="18">
        <v>0.29479541816339744</v>
      </c>
      <c r="BV140" s="18">
        <v>4.2254031842832274E-2</v>
      </c>
      <c r="BW140" s="18">
        <v>-2.9555784498306509E-2</v>
      </c>
      <c r="BX140" s="18">
        <v>-0.13992570909407742</v>
      </c>
      <c r="BY140" s="18">
        <v>9.9893086791779509E-2</v>
      </c>
      <c r="BZ140" s="18">
        <v>-4.3400776192469022E-2</v>
      </c>
      <c r="CA140" s="18">
        <v>-4.5635461065633071E-2</v>
      </c>
      <c r="CB140" s="18">
        <v>-0.12698353924682368</v>
      </c>
      <c r="CC140" s="18">
        <v>0.16686193689868312</v>
      </c>
      <c r="CD140" s="18">
        <v>-0.15179793223544383</v>
      </c>
      <c r="CE140" s="18">
        <v>0.10121117023567248</v>
      </c>
      <c r="CF140" s="18">
        <v>0.10124454364862798</v>
      </c>
      <c r="CG140" s="18">
        <v>-3.9241566283411647E-2</v>
      </c>
      <c r="CH140" s="18">
        <v>0.10999745435392008</v>
      </c>
      <c r="CI140" s="18">
        <v>6.5007067057145151E-2</v>
      </c>
      <c r="CJ140" s="18">
        <v>-5.7357052052947916E-2</v>
      </c>
      <c r="CK140" s="18">
        <v>-6.8353645523727941E-2</v>
      </c>
      <c r="CL140" s="18">
        <v>4.761463180130017E-2</v>
      </c>
      <c r="CM140" s="18">
        <v>7.6568926194846648E-2</v>
      </c>
      <c r="CN140" s="19">
        <v>-4.5489154069617468E-2</v>
      </c>
    </row>
    <row r="141" spans="1:92" x14ac:dyDescent="0.2">
      <c r="A141" s="2" t="s">
        <v>184</v>
      </c>
      <c r="B141" s="2">
        <v>3</v>
      </c>
      <c r="C141" s="2">
        <v>3</v>
      </c>
      <c r="D141" s="2">
        <v>3</v>
      </c>
      <c r="E141" s="2">
        <v>3</v>
      </c>
      <c r="F141" s="2">
        <v>3</v>
      </c>
      <c r="G141" s="2">
        <v>4</v>
      </c>
      <c r="H141" s="2">
        <v>4</v>
      </c>
      <c r="I141" s="2">
        <v>4</v>
      </c>
      <c r="J141" s="2">
        <v>4</v>
      </c>
      <c r="K141" s="2">
        <v>4</v>
      </c>
      <c r="L141" s="2">
        <v>4</v>
      </c>
      <c r="M141" s="2">
        <v>4</v>
      </c>
      <c r="N141" s="2">
        <v>4</v>
      </c>
      <c r="O141" s="2">
        <v>3</v>
      </c>
      <c r="P141" s="2">
        <v>2</v>
      </c>
      <c r="Q141" s="2">
        <v>4</v>
      </c>
      <c r="R141" s="2">
        <v>2</v>
      </c>
      <c r="S141" s="2">
        <v>2</v>
      </c>
      <c r="T141" s="2">
        <v>4</v>
      </c>
      <c r="U141" s="2">
        <v>4</v>
      </c>
      <c r="V141" s="2">
        <v>4</v>
      </c>
      <c r="W141" s="2">
        <v>4</v>
      </c>
      <c r="X141" s="2">
        <v>4</v>
      </c>
      <c r="Y141" s="2">
        <v>4</v>
      </c>
      <c r="Z141" s="2">
        <v>5</v>
      </c>
      <c r="AA141" s="2">
        <v>4</v>
      </c>
      <c r="AB141" s="2">
        <v>4</v>
      </c>
      <c r="AC141" s="2">
        <v>3</v>
      </c>
      <c r="AD141" s="2">
        <v>3</v>
      </c>
      <c r="AE141" s="2">
        <v>3</v>
      </c>
      <c r="AF141" s="2">
        <v>4</v>
      </c>
      <c r="AG141" s="2">
        <v>4</v>
      </c>
      <c r="AH141" s="2">
        <v>4</v>
      </c>
      <c r="AI141" s="2">
        <v>4</v>
      </c>
      <c r="AJ141" s="2">
        <v>4</v>
      </c>
      <c r="AK141" s="2">
        <v>4</v>
      </c>
      <c r="AL141" s="2">
        <v>4</v>
      </c>
      <c r="AM141" s="2">
        <v>3</v>
      </c>
      <c r="AN141" s="2">
        <v>3</v>
      </c>
      <c r="AO141" s="2">
        <v>3</v>
      </c>
      <c r="AP141" s="2">
        <v>3</v>
      </c>
      <c r="AQ141" s="2">
        <v>3</v>
      </c>
      <c r="AR141" s="2">
        <v>3</v>
      </c>
      <c r="AS141" s="2">
        <v>3</v>
      </c>
      <c r="AT141" s="2"/>
      <c r="AU141" s="2"/>
      <c r="AV141" s="2" t="str">
        <v>25.Delays in issuing information to the contractor during construction stage</v>
      </c>
      <c r="AW141" s="10">
        <v>0.20857046554547198</v>
      </c>
      <c r="AX141" s="11">
        <v>-4.948700211298148E-2</v>
      </c>
      <c r="AY141" s="11">
        <v>-0.13858831268319852</v>
      </c>
      <c r="AZ141" s="18">
        <v>-3.1899745436118156E-2</v>
      </c>
      <c r="BA141" s="18">
        <v>0.11268808653592277</v>
      </c>
      <c r="BB141" s="18">
        <v>1.1246987935089557E-3</v>
      </c>
      <c r="BC141" s="18">
        <v>0.13760352933686781</v>
      </c>
      <c r="BD141" s="18">
        <v>0.13671548715235579</v>
      </c>
      <c r="BE141" s="18">
        <v>-0.21000776115856917</v>
      </c>
      <c r="BF141" s="18">
        <v>-6.7453180845576999E-2</v>
      </c>
      <c r="BG141" s="18">
        <v>8.8038994710084681E-2</v>
      </c>
      <c r="BH141" s="18">
        <v>-0.11257876047115919</v>
      </c>
      <c r="BI141" s="18">
        <v>0.19184993406969045</v>
      </c>
      <c r="BJ141" s="18">
        <v>-0.12407694684511951</v>
      </c>
      <c r="BK141" s="18">
        <v>9.5390683542700749E-2</v>
      </c>
      <c r="BL141" s="18">
        <v>0.10172743150228448</v>
      </c>
      <c r="BM141" s="18">
        <v>-0.1504398751638735</v>
      </c>
      <c r="BN141" s="18">
        <v>-0.19243481204942967</v>
      </c>
      <c r="BO141" s="18">
        <v>0.12891201907617028</v>
      </c>
      <c r="BP141" s="18">
        <v>0.13860519512355129</v>
      </c>
      <c r="BQ141" s="18">
        <v>-0.19076946062048308</v>
      </c>
      <c r="BR141" s="18">
        <v>0.2602937437979661</v>
      </c>
      <c r="BS141" s="18">
        <v>0.17711875110605763</v>
      </c>
      <c r="BT141" s="18">
        <v>0.29479541816339766</v>
      </c>
      <c r="BU141" s="18">
        <v>1</v>
      </c>
      <c r="BV141" s="18">
        <v>-1.4534486788180957E-2</v>
      </c>
      <c r="BW141" s="18">
        <v>0.26284194238903108</v>
      </c>
      <c r="BX141" s="18">
        <v>-3.1535242301274691E-2</v>
      </c>
      <c r="BY141" s="18">
        <v>0.22357099626776045</v>
      </c>
      <c r="BZ141" s="18">
        <v>-6.8216657099370998E-2</v>
      </c>
      <c r="CA141" s="18">
        <v>0.17943999921220877</v>
      </c>
      <c r="CB141" s="18">
        <v>3.0333992093323102E-3</v>
      </c>
      <c r="CC141" s="18">
        <v>-8.2596117029074309E-2</v>
      </c>
      <c r="CD141" s="18">
        <v>0.1704683183428409</v>
      </c>
      <c r="CE141" s="18">
        <v>-0.1920728269045259</v>
      </c>
      <c r="CF141" s="18">
        <v>-8.1818317547918532E-2</v>
      </c>
      <c r="CG141" s="18">
        <v>8.4724876256579221E-2</v>
      </c>
      <c r="CH141" s="18">
        <v>-2.0608298076358528E-2</v>
      </c>
      <c r="CI141" s="18">
        <v>-9.8885254786835089E-2</v>
      </c>
      <c r="CJ141" s="18">
        <v>-4.4879308084554578E-2</v>
      </c>
      <c r="CK141" s="18">
        <v>-0.16817726493084081</v>
      </c>
      <c r="CL141" s="18">
        <v>6.8603061972801974E-3</v>
      </c>
      <c r="CM141" s="18">
        <v>-1.0695726312385731E-2</v>
      </c>
      <c r="CN141" s="19">
        <v>-2.329858975042657E-2</v>
      </c>
    </row>
    <row r="142" spans="1:92" x14ac:dyDescent="0.2">
      <c r="A142" s="2" t="s">
        <v>185</v>
      </c>
      <c r="B142" s="2">
        <v>3</v>
      </c>
      <c r="C142" s="2">
        <v>2</v>
      </c>
      <c r="D142" s="2">
        <v>3</v>
      </c>
      <c r="E142" s="2">
        <v>3</v>
      </c>
      <c r="F142" s="2">
        <v>3</v>
      </c>
      <c r="G142" s="2">
        <v>4</v>
      </c>
      <c r="H142" s="2">
        <v>4</v>
      </c>
      <c r="I142" s="2">
        <v>3</v>
      </c>
      <c r="J142" s="2">
        <v>4</v>
      </c>
      <c r="K142" s="2">
        <v>3</v>
      </c>
      <c r="L142" s="2">
        <v>3</v>
      </c>
      <c r="M142" s="2">
        <v>5</v>
      </c>
      <c r="N142" s="2">
        <v>4</v>
      </c>
      <c r="O142" s="2">
        <v>2</v>
      </c>
      <c r="P142" s="2">
        <v>2</v>
      </c>
      <c r="Q142" s="2">
        <v>3</v>
      </c>
      <c r="R142" s="2">
        <v>2</v>
      </c>
      <c r="S142" s="2">
        <v>3</v>
      </c>
      <c r="T142" s="2">
        <v>4</v>
      </c>
      <c r="U142" s="2">
        <v>3</v>
      </c>
      <c r="V142" s="2">
        <v>2</v>
      </c>
      <c r="W142" s="2">
        <v>3</v>
      </c>
      <c r="X142" s="2">
        <v>4</v>
      </c>
      <c r="Y142" s="2">
        <v>4</v>
      </c>
      <c r="Z142" s="2">
        <v>3</v>
      </c>
      <c r="AA142" s="2">
        <v>3</v>
      </c>
      <c r="AB142" s="2">
        <v>3</v>
      </c>
      <c r="AC142" s="2">
        <v>2</v>
      </c>
      <c r="AD142" s="2">
        <v>2</v>
      </c>
      <c r="AE142" s="2">
        <v>3</v>
      </c>
      <c r="AF142" s="2">
        <v>4</v>
      </c>
      <c r="AG142" s="2">
        <v>4</v>
      </c>
      <c r="AH142" s="2">
        <v>4</v>
      </c>
      <c r="AI142" s="2">
        <v>3</v>
      </c>
      <c r="AJ142" s="2">
        <v>3</v>
      </c>
      <c r="AK142" s="2">
        <v>4</v>
      </c>
      <c r="AL142" s="2">
        <v>3</v>
      </c>
      <c r="AM142" s="2">
        <v>4</v>
      </c>
      <c r="AN142" s="2">
        <v>4</v>
      </c>
      <c r="AO142" s="2">
        <v>3</v>
      </c>
      <c r="AP142" s="2">
        <v>4</v>
      </c>
      <c r="AQ142" s="2">
        <v>3</v>
      </c>
      <c r="AR142" s="2">
        <v>3</v>
      </c>
      <c r="AS142" s="2">
        <v>2</v>
      </c>
      <c r="AT142" s="2"/>
      <c r="AU142" s="2"/>
      <c r="AV142" s="2" t="str">
        <v>26.No practical use of earned value management system</v>
      </c>
      <c r="AW142" s="10">
        <v>7.4733596568611532E-2</v>
      </c>
      <c r="AX142" s="11">
        <v>-0.19543104203368791</v>
      </c>
      <c r="AY142" s="11">
        <v>0.21903621121826872</v>
      </c>
      <c r="AZ142" s="18">
        <v>-6.5615182367947902E-2</v>
      </c>
      <c r="BA142" s="18">
        <v>0.23871860043240511</v>
      </c>
      <c r="BB142" s="18">
        <v>-0.18165843928792597</v>
      </c>
      <c r="BC142" s="18">
        <v>0.18134840888642542</v>
      </c>
      <c r="BD142" s="18">
        <v>0.33200778533483427</v>
      </c>
      <c r="BE142" s="18">
        <v>-0.17742562619836769</v>
      </c>
      <c r="BF142" s="18">
        <v>-6.5037729125015653E-2</v>
      </c>
      <c r="BG142" s="18">
        <v>5.1176481759586112E-2</v>
      </c>
      <c r="BH142" s="18">
        <v>2.668473707277054E-2</v>
      </c>
      <c r="BI142" s="18">
        <v>-0.19971185629707963</v>
      </c>
      <c r="BJ142" s="18">
        <v>-0.2643633675798126</v>
      </c>
      <c r="BK142" s="18">
        <v>0.13932717159673616</v>
      </c>
      <c r="BL142" s="18">
        <v>0.14266675607144855</v>
      </c>
      <c r="BM142" s="18">
        <v>-7.6681274789737144E-2</v>
      </c>
      <c r="BN142" s="18">
        <v>0.30748165881129891</v>
      </c>
      <c r="BO142" s="18">
        <v>-5.1710164020892221E-2</v>
      </c>
      <c r="BP142" s="18">
        <v>-3.3924400343983252E-2</v>
      </c>
      <c r="BQ142" s="18">
        <v>7.9721343106494535E-2</v>
      </c>
      <c r="BR142" s="18">
        <v>0.12704620249210555</v>
      </c>
      <c r="BS142" s="18">
        <v>0.17993974874345914</v>
      </c>
      <c r="BT142" s="18">
        <v>4.2254031842832072E-2</v>
      </c>
      <c r="BU142" s="18">
        <v>-1.4534486788181127E-2</v>
      </c>
      <c r="BV142" s="18">
        <v>1</v>
      </c>
      <c r="BW142" s="18">
        <v>0.41047564601248376</v>
      </c>
      <c r="BX142" s="18">
        <v>9.811366660985979E-2</v>
      </c>
      <c r="BY142" s="18">
        <v>-0.21511239954598785</v>
      </c>
      <c r="BZ142" s="18">
        <v>6.2611286477185821E-2</v>
      </c>
      <c r="CA142" s="18">
        <v>0.25958166052258297</v>
      </c>
      <c r="CB142" s="18">
        <v>-9.970649191824546E-2</v>
      </c>
      <c r="CC142" s="18">
        <v>-0.21873962836511984</v>
      </c>
      <c r="CD142" s="18">
        <v>-6.0505628846884714E-2</v>
      </c>
      <c r="CE142" s="18">
        <v>0.232934059716388</v>
      </c>
      <c r="CF142" s="18">
        <v>0.15043209785506501</v>
      </c>
      <c r="CG142" s="18">
        <v>3.6788357450252676E-2</v>
      </c>
      <c r="CH142" s="18">
        <v>4.4519436495141444E-2</v>
      </c>
      <c r="CI142" s="18">
        <v>-0.17270229933282591</v>
      </c>
      <c r="CJ142" s="18">
        <v>0.12460021235391065</v>
      </c>
      <c r="CK142" s="18">
        <v>-0.17288398868461935</v>
      </c>
      <c r="CL142" s="18">
        <v>-0.30216373664160318</v>
      </c>
      <c r="CM142" s="18">
        <v>5.3867479850584661E-2</v>
      </c>
      <c r="CN142" s="19">
        <v>3.2140616494822118E-2</v>
      </c>
    </row>
    <row r="143" spans="1:92" x14ac:dyDescent="0.2">
      <c r="A143" s="2" t="s">
        <v>186</v>
      </c>
      <c r="B143" s="2">
        <v>3</v>
      </c>
      <c r="C143" s="2">
        <v>2</v>
      </c>
      <c r="D143" s="2">
        <v>3</v>
      </c>
      <c r="E143" s="2">
        <v>3</v>
      </c>
      <c r="F143" s="2">
        <v>3</v>
      </c>
      <c r="G143" s="2">
        <v>4</v>
      </c>
      <c r="H143" s="2">
        <v>4</v>
      </c>
      <c r="I143" s="2">
        <v>3</v>
      </c>
      <c r="J143" s="2">
        <v>4</v>
      </c>
      <c r="K143" s="2">
        <v>3</v>
      </c>
      <c r="L143" s="2">
        <v>3</v>
      </c>
      <c r="M143" s="2">
        <v>5</v>
      </c>
      <c r="N143" s="2">
        <v>4</v>
      </c>
      <c r="O143" s="2">
        <v>2</v>
      </c>
      <c r="P143" s="2">
        <v>2</v>
      </c>
      <c r="Q143" s="2">
        <v>3</v>
      </c>
      <c r="R143" s="2">
        <v>2</v>
      </c>
      <c r="S143" s="2">
        <v>3</v>
      </c>
      <c r="T143" s="2">
        <v>4</v>
      </c>
      <c r="U143" s="2">
        <v>3</v>
      </c>
      <c r="V143" s="2">
        <v>2</v>
      </c>
      <c r="W143" s="2">
        <v>3</v>
      </c>
      <c r="X143" s="2">
        <v>4</v>
      </c>
      <c r="Y143" s="2">
        <v>4</v>
      </c>
      <c r="Z143" s="2">
        <v>3</v>
      </c>
      <c r="AA143" s="2">
        <v>3</v>
      </c>
      <c r="AB143" s="2">
        <v>3</v>
      </c>
      <c r="AC143" s="2">
        <v>2</v>
      </c>
      <c r="AD143" s="2">
        <v>2</v>
      </c>
      <c r="AE143" s="2">
        <v>3</v>
      </c>
      <c r="AF143" s="2">
        <v>4</v>
      </c>
      <c r="AG143" s="2">
        <v>4</v>
      </c>
      <c r="AH143" s="2">
        <v>4</v>
      </c>
      <c r="AI143" s="2">
        <v>3</v>
      </c>
      <c r="AJ143" s="2">
        <v>3</v>
      </c>
      <c r="AK143" s="2">
        <v>4</v>
      </c>
      <c r="AL143" s="2">
        <v>3</v>
      </c>
      <c r="AM143" s="2">
        <v>4</v>
      </c>
      <c r="AN143" s="2">
        <v>4</v>
      </c>
      <c r="AO143" s="2">
        <v>3</v>
      </c>
      <c r="AP143" s="2">
        <v>4</v>
      </c>
      <c r="AQ143" s="2">
        <v>3</v>
      </c>
      <c r="AR143" s="2">
        <v>3</v>
      </c>
      <c r="AS143" s="2">
        <v>2</v>
      </c>
      <c r="AT143" s="2"/>
      <c r="AU143" s="2"/>
      <c r="AV143" s="2" t="str">
        <v>27.Lack of cost planning/monitoring during pre and post contract stage</v>
      </c>
      <c r="AW143" s="10">
        <v>-0.12774726892597862</v>
      </c>
      <c r="AX143" s="11">
        <v>0.14277592090478625</v>
      </c>
      <c r="AY143" s="11">
        <v>-0.16233559802185885</v>
      </c>
      <c r="AZ143" s="18">
        <v>9.6228595627389626E-2</v>
      </c>
      <c r="BA143" s="18">
        <v>-0.14557069582014029</v>
      </c>
      <c r="BB143" s="18">
        <v>0.21738138695159195</v>
      </c>
      <c r="BC143" s="18">
        <v>-0.12761370320094606</v>
      </c>
      <c r="BD143" s="18">
        <v>-0.31801098513994008</v>
      </c>
      <c r="BE143" s="18">
        <v>0.21455768888478222</v>
      </c>
      <c r="BF143" s="18">
        <v>0.22993324595179976</v>
      </c>
      <c r="BG143" s="18">
        <v>-9.6326444779872733E-2</v>
      </c>
      <c r="BH143" s="18">
        <v>-0.11083460087665069</v>
      </c>
      <c r="BI143" s="18">
        <v>0.17242369534366575</v>
      </c>
      <c r="BJ143" s="18">
        <v>0.10132476253716353</v>
      </c>
      <c r="BK143" s="18">
        <v>2.7678620476258312E-2</v>
      </c>
      <c r="BL143" s="18">
        <v>-0.17585919053408089</v>
      </c>
      <c r="BM143" s="18">
        <v>4.1470851134311808E-2</v>
      </c>
      <c r="BN143" s="18">
        <v>-0.14258809783491652</v>
      </c>
      <c r="BO143" s="18">
        <v>1.1144551572694355E-2</v>
      </c>
      <c r="BP143" s="18">
        <v>-9.2818779590993564E-2</v>
      </c>
      <c r="BQ143" s="18">
        <v>0.26359058795754547</v>
      </c>
      <c r="BR143" s="18">
        <v>-4.5498085788476979E-2</v>
      </c>
      <c r="BS143" s="18">
        <v>-9.625787950319184E-2</v>
      </c>
      <c r="BT143" s="18">
        <v>-2.955578449830638E-2</v>
      </c>
      <c r="BU143" s="18">
        <v>0.2628419423890308</v>
      </c>
      <c r="BV143" s="18">
        <v>0.4104756460124836</v>
      </c>
      <c r="BW143" s="18">
        <v>1</v>
      </c>
      <c r="BX143" s="18">
        <v>9.3992895277489233E-2</v>
      </c>
      <c r="BY143" s="18">
        <v>6.3171855185569004E-2</v>
      </c>
      <c r="BZ143" s="18">
        <v>2.629897110876998E-2</v>
      </c>
      <c r="CA143" s="18">
        <v>-5.4619697245452813E-2</v>
      </c>
      <c r="CB143" s="18">
        <v>-5.9399409012887282E-2</v>
      </c>
      <c r="CC143" s="18">
        <v>0.2443041836256982</v>
      </c>
      <c r="CD143" s="18">
        <v>-8.4495760891992469E-2</v>
      </c>
      <c r="CE143" s="18">
        <v>7.8374502633334509E-2</v>
      </c>
      <c r="CF143" s="18">
        <v>8.0411690329213845E-2</v>
      </c>
      <c r="CG143" s="18">
        <v>-0.14061965006850619</v>
      </c>
      <c r="CH143" s="18">
        <v>9.5086669209523231E-2</v>
      </c>
      <c r="CI143" s="18">
        <v>0.11015829892766821</v>
      </c>
      <c r="CJ143" s="18">
        <v>-0.26555289499252754</v>
      </c>
      <c r="CK143" s="18">
        <v>0.1886908263847451</v>
      </c>
      <c r="CL143" s="18">
        <v>0.26735749647244678</v>
      </c>
      <c r="CM143" s="18">
        <v>-0.13098291495797182</v>
      </c>
      <c r="CN143" s="19">
        <v>3.3090563095670884E-2</v>
      </c>
    </row>
    <row r="144" spans="1:92" x14ac:dyDescent="0.2">
      <c r="A144" s="2" t="s">
        <v>187</v>
      </c>
      <c r="B144" s="2">
        <v>2</v>
      </c>
      <c r="C144" s="2">
        <v>2</v>
      </c>
      <c r="D144" s="2">
        <v>3</v>
      </c>
      <c r="E144" s="2">
        <v>2</v>
      </c>
      <c r="F144" s="2">
        <v>1</v>
      </c>
      <c r="G144" s="2">
        <v>2</v>
      </c>
      <c r="H144" s="2">
        <v>2</v>
      </c>
      <c r="I144" s="2">
        <v>3</v>
      </c>
      <c r="J144" s="2">
        <v>2</v>
      </c>
      <c r="K144" s="2">
        <v>3</v>
      </c>
      <c r="L144" s="2">
        <v>2</v>
      </c>
      <c r="M144" s="2">
        <v>3</v>
      </c>
      <c r="N144" s="2">
        <v>2</v>
      </c>
      <c r="O144" s="2">
        <v>4</v>
      </c>
      <c r="P144" s="2">
        <v>4</v>
      </c>
      <c r="Q144" s="2">
        <v>2</v>
      </c>
      <c r="R144" s="2">
        <v>3</v>
      </c>
      <c r="S144" s="2">
        <v>2</v>
      </c>
      <c r="T144" s="2">
        <v>2</v>
      </c>
      <c r="U144" s="2">
        <v>2</v>
      </c>
      <c r="V144" s="2">
        <v>2</v>
      </c>
      <c r="W144" s="2">
        <v>2</v>
      </c>
      <c r="X144" s="2">
        <v>2</v>
      </c>
      <c r="Y144" s="2">
        <v>4</v>
      </c>
      <c r="Z144" s="2">
        <v>2</v>
      </c>
      <c r="AA144" s="2">
        <v>2</v>
      </c>
      <c r="AB144" s="2">
        <v>2</v>
      </c>
      <c r="AC144" s="2">
        <v>2</v>
      </c>
      <c r="AD144" s="2">
        <v>3</v>
      </c>
      <c r="AE144" s="2">
        <v>3</v>
      </c>
      <c r="AF144" s="2">
        <v>3</v>
      </c>
      <c r="AG144" s="2">
        <v>2</v>
      </c>
      <c r="AH144" s="2">
        <v>3</v>
      </c>
      <c r="AI144" s="2">
        <v>4</v>
      </c>
      <c r="AJ144" s="2">
        <v>2</v>
      </c>
      <c r="AK144" s="2">
        <v>4</v>
      </c>
      <c r="AL144" s="2">
        <v>3</v>
      </c>
      <c r="AM144" s="2">
        <v>4</v>
      </c>
      <c r="AN144" s="2">
        <v>4</v>
      </c>
      <c r="AO144" s="2">
        <v>3</v>
      </c>
      <c r="AP144" s="2">
        <v>2</v>
      </c>
      <c r="AQ144" s="2">
        <v>2</v>
      </c>
      <c r="AR144" s="2">
        <v>2</v>
      </c>
      <c r="AS144" s="2">
        <v>4</v>
      </c>
      <c r="AT144" s="2"/>
      <c r="AU144" s="2"/>
      <c r="AV144" s="2" t="str">
        <v>28.Poor communication between client, consultant and contractor</v>
      </c>
      <c r="AW144" s="10">
        <v>-1.2012729894218893E-2</v>
      </c>
      <c r="AX144" s="11">
        <v>-5.7571294630524801E-2</v>
      </c>
      <c r="AY144" s="11">
        <v>-5.3678434982363694E-2</v>
      </c>
      <c r="AZ144" s="18">
        <v>0.16886765686380442</v>
      </c>
      <c r="BA144" s="18">
        <v>0.11498520969497067</v>
      </c>
      <c r="BB144" s="18">
        <v>-0.20601960950291812</v>
      </c>
      <c r="BC144" s="18">
        <v>8.9634889887450719E-2</v>
      </c>
      <c r="BD144" s="18">
        <v>1.0022709110965172E-2</v>
      </c>
      <c r="BE144" s="18">
        <v>0.11006089273366439</v>
      </c>
      <c r="BF144" s="18">
        <v>0.14575123474014667</v>
      </c>
      <c r="BG144" s="18">
        <v>8.183614263968006E-2</v>
      </c>
      <c r="BH144" s="18">
        <v>2.6396490609229561E-2</v>
      </c>
      <c r="BI144" s="18">
        <v>-0.11943616501410802</v>
      </c>
      <c r="BJ144" s="18">
        <v>0.12848491019876074</v>
      </c>
      <c r="BK144" s="18">
        <v>-9.7935542154459959E-2</v>
      </c>
      <c r="BL144" s="18">
        <v>4.6591398608424643E-2</v>
      </c>
      <c r="BM144" s="18">
        <v>0.16828501788038147</v>
      </c>
      <c r="BN144" s="18">
        <v>4.0055769755464141E-2</v>
      </c>
      <c r="BO144" s="18">
        <v>-0.19317763513954841</v>
      </c>
      <c r="BP144" s="18">
        <v>9.7648089255838233E-2</v>
      </c>
      <c r="BQ144" s="18">
        <v>0.16243839820853442</v>
      </c>
      <c r="BR144" s="18">
        <v>1.4381361166115719E-2</v>
      </c>
      <c r="BS144" s="18">
        <v>-0.15667534853607631</v>
      </c>
      <c r="BT144" s="18">
        <v>-0.13992570909407723</v>
      </c>
      <c r="BU144" s="18">
        <v>-3.1535242301274212E-2</v>
      </c>
      <c r="BV144" s="18">
        <v>9.8113666609860303E-2</v>
      </c>
      <c r="BW144" s="18">
        <v>9.3992895277487915E-2</v>
      </c>
      <c r="BX144" s="18">
        <v>1</v>
      </c>
      <c r="BY144" s="18">
        <v>0.47780293358119624</v>
      </c>
      <c r="BZ144" s="18">
        <v>-4.9539900503949297E-2</v>
      </c>
      <c r="CA144" s="18">
        <v>0.2532709285165412</v>
      </c>
      <c r="CB144" s="18">
        <v>-8.3942733551624696E-2</v>
      </c>
      <c r="CC144" s="18">
        <v>-8.7717399924528358E-2</v>
      </c>
      <c r="CD144" s="18">
        <v>-7.0255364645258125E-2</v>
      </c>
      <c r="CE144" s="18">
        <v>1.6447820441389951E-2</v>
      </c>
      <c r="CF144" s="18">
        <v>0.1606176192685787</v>
      </c>
      <c r="CG144" s="18">
        <v>-0.15380387576326751</v>
      </c>
      <c r="CH144" s="18">
        <v>-0.19392426908022506</v>
      </c>
      <c r="CI144" s="18">
        <v>-8.9386288757017027E-3</v>
      </c>
      <c r="CJ144" s="18">
        <v>0.19527979331552714</v>
      </c>
      <c r="CK144" s="18">
        <v>3.9674871884534314E-2</v>
      </c>
      <c r="CL144" s="18">
        <v>-6.6813499167650836E-2</v>
      </c>
      <c r="CM144" s="18">
        <v>0.11084798998144407</v>
      </c>
      <c r="CN144" s="19">
        <v>2.8768145077970628E-3</v>
      </c>
    </row>
    <row r="145" spans="1:92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 t="str">
        <v>29.Insufficient coordination between local authority who is responsible about road projects and service authorities</v>
      </c>
      <c r="AW145" s="25">
        <v>-0.11540550593939815</v>
      </c>
      <c r="AX145" s="26">
        <v>0.11843150214144342</v>
      </c>
      <c r="AY145" s="26">
        <v>0.14893563947090563</v>
      </c>
      <c r="AZ145" s="18">
        <v>-0.18557645308298198</v>
      </c>
      <c r="BA145" s="18">
        <v>-2.4617934012504797E-2</v>
      </c>
      <c r="BB145" s="18">
        <v>0.28815239709452545</v>
      </c>
      <c r="BC145" s="18">
        <v>-8.0496942917552841E-2</v>
      </c>
      <c r="BD145" s="18">
        <v>-3.7495054177174331E-2</v>
      </c>
      <c r="BE145" s="18">
        <v>2.0170449819596047E-2</v>
      </c>
      <c r="BF145" s="18">
        <v>-1.9130367619035655E-2</v>
      </c>
      <c r="BG145" s="18">
        <v>3.1267522616125885E-2</v>
      </c>
      <c r="BH145" s="18">
        <v>0.11354520989659121</v>
      </c>
      <c r="BI145" s="18">
        <v>-0.16675834560679181</v>
      </c>
      <c r="BJ145" s="18">
        <v>-0.11848640776194271</v>
      </c>
      <c r="BK145" s="18">
        <v>0.23460834465906952</v>
      </c>
      <c r="BL145" s="18">
        <v>-0.11721073876021033</v>
      </c>
      <c r="BM145" s="18">
        <v>-0.18343143817880542</v>
      </c>
      <c r="BN145" s="18">
        <v>0.29323011720727798</v>
      </c>
      <c r="BO145" s="18">
        <v>-0.12002941063048583</v>
      </c>
      <c r="BP145" s="18">
        <v>-0.16032882438005744</v>
      </c>
      <c r="BQ145" s="18">
        <v>7.0207090263305377E-2</v>
      </c>
      <c r="BR145" s="18">
        <v>-0.1538285452476606</v>
      </c>
      <c r="BS145" s="18">
        <v>0.17149828809957274</v>
      </c>
      <c r="BT145" s="18">
        <v>9.9893086791779467E-2</v>
      </c>
      <c r="BU145" s="18">
        <v>0.22357099626775978</v>
      </c>
      <c r="BV145" s="18">
        <v>-0.21511239954598826</v>
      </c>
      <c r="BW145" s="18">
        <v>6.3171855185569753E-2</v>
      </c>
      <c r="BX145" s="18">
        <v>0.47780293358119608</v>
      </c>
      <c r="BY145" s="18">
        <v>1</v>
      </c>
      <c r="BZ145" s="18">
        <v>0.36494021785523439</v>
      </c>
      <c r="CA145" s="18">
        <v>-0.23791098554036186</v>
      </c>
      <c r="CB145" s="18">
        <v>0.110944583894106</v>
      </c>
      <c r="CC145" s="18">
        <v>-2.0809325533057164E-2</v>
      </c>
      <c r="CD145" s="18">
        <v>-0.13800215563322338</v>
      </c>
      <c r="CE145" s="18">
        <v>0.31912481852828661</v>
      </c>
      <c r="CF145" s="18">
        <v>-6.6310192959273803E-2</v>
      </c>
      <c r="CG145" s="18">
        <v>-1.2614903180510112E-2</v>
      </c>
      <c r="CH145" s="18">
        <v>0.14119138877642223</v>
      </c>
      <c r="CI145" s="18">
        <v>2.7175707076368381E-2</v>
      </c>
      <c r="CJ145" s="18">
        <v>-1.2799973962371728E-2</v>
      </c>
      <c r="CK145" s="18">
        <v>-0.26379648076533296</v>
      </c>
      <c r="CL145" s="18">
        <v>1.986730669420125E-2</v>
      </c>
      <c r="CM145" s="18">
        <v>-0.21261959970386246</v>
      </c>
      <c r="CN145" s="19">
        <v>0.21294180967440171</v>
      </c>
    </row>
    <row r="146" spans="1:92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 t="str">
        <v>30.Delays in decisions making by the approval authorities</v>
      </c>
      <c r="AW146" s="25">
        <v>5.2083762158074073E-2</v>
      </c>
      <c r="AX146" s="26">
        <v>-0.38237201264168275</v>
      </c>
      <c r="AY146" s="26">
        <v>-0.25776550507631663</v>
      </c>
      <c r="AZ146" s="18">
        <v>0.21309041748961391</v>
      </c>
      <c r="BA146" s="18">
        <v>-0.13354274894209944</v>
      </c>
      <c r="BB146" s="18">
        <v>-0.174623344439883</v>
      </c>
      <c r="BC146" s="18">
        <v>0.14640933386694663</v>
      </c>
      <c r="BD146" s="18">
        <v>0.17550735112400911</v>
      </c>
      <c r="BE146" s="18">
        <v>4.0572869249486498E-2</v>
      </c>
      <c r="BF146" s="18">
        <v>-0.3157437243760135</v>
      </c>
      <c r="BG146" s="18">
        <v>-1.1094197194682203E-2</v>
      </c>
      <c r="BH146" s="18">
        <v>-0.18985693029846812</v>
      </c>
      <c r="BI146" s="18">
        <v>0.22057558334916785</v>
      </c>
      <c r="BJ146" s="18">
        <v>3.2330710344973964E-3</v>
      </c>
      <c r="BK146" s="18">
        <v>7.9680944777665033E-2</v>
      </c>
      <c r="BL146" s="18">
        <v>0.10625576323306475</v>
      </c>
      <c r="BM146" s="18">
        <v>9.8317692888523378E-2</v>
      </c>
      <c r="BN146" s="18">
        <v>-7.6632855289866159E-2</v>
      </c>
      <c r="BO146" s="18">
        <v>0.11126540887746296</v>
      </c>
      <c r="BP146" s="18">
        <v>4.7748931343936214E-2</v>
      </c>
      <c r="BQ146" s="18">
        <v>2.8450465132126707E-2</v>
      </c>
      <c r="BR146" s="18">
        <v>0.20272617933495457</v>
      </c>
      <c r="BS146" s="18">
        <v>-8.6438063313346886E-2</v>
      </c>
      <c r="BT146" s="18">
        <v>-4.3400776192469077E-2</v>
      </c>
      <c r="BU146" s="18">
        <v>-6.8216657099370859E-2</v>
      </c>
      <c r="BV146" s="18">
        <v>6.2611286477185807E-2</v>
      </c>
      <c r="BW146" s="18">
        <v>2.6298971108770032E-2</v>
      </c>
      <c r="BX146" s="18">
        <v>-4.9539900503949491E-2</v>
      </c>
      <c r="BY146" s="18">
        <v>0.36494021785523478</v>
      </c>
      <c r="BZ146" s="18">
        <v>1</v>
      </c>
      <c r="CA146" s="18">
        <v>0.17309274376890657</v>
      </c>
      <c r="CB146" s="18">
        <v>-0.26057300431561631</v>
      </c>
      <c r="CC146" s="18">
        <v>0.25021724015889213</v>
      </c>
      <c r="CD146" s="18">
        <v>-0.16085301989037101</v>
      </c>
      <c r="CE146" s="18">
        <v>-0.12024112441906727</v>
      </c>
      <c r="CF146" s="18">
        <v>0.12190598797678946</v>
      </c>
      <c r="CG146" s="18">
        <v>1.4301912657116391E-2</v>
      </c>
      <c r="CH146" s="18">
        <v>-0.20221656920163358</v>
      </c>
      <c r="CI146" s="18">
        <v>0.19821749950750733</v>
      </c>
      <c r="CJ146" s="18">
        <v>-7.3864930090503517E-2</v>
      </c>
      <c r="CK146" s="18">
        <v>7.3107346384881311E-2</v>
      </c>
      <c r="CL146" s="18">
        <v>0.1965642960738381</v>
      </c>
      <c r="CM146" s="18">
        <v>6.6846671913930192E-2</v>
      </c>
      <c r="CN146" s="19">
        <v>0.10515242168745123</v>
      </c>
    </row>
    <row r="147" spans="1:92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 t="str">
        <v>31.Change schedule</v>
      </c>
      <c r="AW147" s="25">
        <v>-0.10269633963206924</v>
      </c>
      <c r="AX147" s="26">
        <v>8.3486068462059707E-2</v>
      </c>
      <c r="AY147" s="26">
        <v>0.11782390418569627</v>
      </c>
      <c r="AZ147" s="18">
        <v>6.0659430439194618E-2</v>
      </c>
      <c r="BA147" s="18">
        <v>-0.39209150012956567</v>
      </c>
      <c r="BB147" s="18">
        <v>5.2194446429745911E-2</v>
      </c>
      <c r="BC147" s="18">
        <v>-0.28985964158439692</v>
      </c>
      <c r="BD147" s="18">
        <v>-7.5243212390448025E-2</v>
      </c>
      <c r="BE147" s="18">
        <v>0.18596337580301744</v>
      </c>
      <c r="BF147" s="18">
        <v>-1.8181932092676419E-3</v>
      </c>
      <c r="BG147" s="18">
        <v>-0.1432875881495401</v>
      </c>
      <c r="BH147" s="18">
        <v>3.1618757575376466E-2</v>
      </c>
      <c r="BI147" s="18">
        <v>0.20935092212053111</v>
      </c>
      <c r="BJ147" s="18">
        <v>0.31896834344403524</v>
      </c>
      <c r="BK147" s="18">
        <v>-0.23370468239799808</v>
      </c>
      <c r="BL147" s="18">
        <v>-3.8555113130232979E-2</v>
      </c>
      <c r="BM147" s="18">
        <v>-3.4836211777283854E-2</v>
      </c>
      <c r="BN147" s="18">
        <v>6.7282267425958817E-2</v>
      </c>
      <c r="BO147" s="18">
        <v>-0.10509520414526209</v>
      </c>
      <c r="BP147" s="18">
        <v>-1.8953334664572611E-2</v>
      </c>
      <c r="BQ147" s="18">
        <v>-4.1423965840892897E-2</v>
      </c>
      <c r="BR147" s="18">
        <v>-0.21020327735489797</v>
      </c>
      <c r="BS147" s="18">
        <v>0.16286060849796324</v>
      </c>
      <c r="BT147" s="18">
        <v>-4.5635461065633091E-2</v>
      </c>
      <c r="BU147" s="18">
        <v>0.17943999921220857</v>
      </c>
      <c r="BV147" s="18">
        <v>0.25958166052258302</v>
      </c>
      <c r="BW147" s="18">
        <v>-5.4619697245452896E-2</v>
      </c>
      <c r="BX147" s="18">
        <v>0.25327092851654087</v>
      </c>
      <c r="BY147" s="18">
        <v>-0.23791098554036219</v>
      </c>
      <c r="BZ147" s="18">
        <v>0.17309274376890668</v>
      </c>
      <c r="CA147" s="18">
        <v>1</v>
      </c>
      <c r="CB147" s="18">
        <v>0.45895733208744882</v>
      </c>
      <c r="CC147" s="18">
        <v>5.0242297276819933E-2</v>
      </c>
      <c r="CD147" s="18">
        <v>0.16770477088102914</v>
      </c>
      <c r="CE147" s="18">
        <v>9.8502041122331671E-2</v>
      </c>
      <c r="CF147" s="18">
        <v>-0.26618292609922667</v>
      </c>
      <c r="CG147" s="18">
        <v>0.21965645701782097</v>
      </c>
      <c r="CH147" s="18">
        <v>0.16850502234758777</v>
      </c>
      <c r="CI147" s="18">
        <v>0.11424119737415968</v>
      </c>
      <c r="CJ147" s="18">
        <v>-0.12412804491005769</v>
      </c>
      <c r="CK147" s="18">
        <v>-6.4665826816926619E-2</v>
      </c>
      <c r="CL147" s="18">
        <v>0.12840065469832082</v>
      </c>
      <c r="CM147" s="18">
        <v>-0.21640577621904414</v>
      </c>
      <c r="CN147" s="19">
        <v>-1.2033638472082E-2</v>
      </c>
    </row>
    <row r="148" spans="1:92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 t="str">
        <v>32.Stoppages because of work being rejected by consultant</v>
      </c>
      <c r="AW148" s="25">
        <v>9.6307322363689232E-2</v>
      </c>
      <c r="AX148" s="26">
        <v>-5.7392230383358188E-2</v>
      </c>
      <c r="AY148" s="26">
        <v>-0.15222069778216127</v>
      </c>
      <c r="AZ148" s="18">
        <v>-1.6605847017897475E-3</v>
      </c>
      <c r="BA148" s="18">
        <v>0.22465397062314432</v>
      </c>
      <c r="BB148" s="18">
        <v>-8.3606865554377574E-3</v>
      </c>
      <c r="BC148" s="18">
        <v>0.25769409230157714</v>
      </c>
      <c r="BD148" s="18">
        <v>6.2213713109038823E-2</v>
      </c>
      <c r="BE148" s="18">
        <v>-4.7108567834921788E-2</v>
      </c>
      <c r="BF148" s="18">
        <v>-5.0719385077715631E-2</v>
      </c>
      <c r="BG148" s="18">
        <v>-0.1400381207634738</v>
      </c>
      <c r="BH148" s="18">
        <v>-0.11041246779387567</v>
      </c>
      <c r="BI148" s="18">
        <v>-6.1142484101020356E-2</v>
      </c>
      <c r="BJ148" s="18">
        <v>-7.7369879008441264E-2</v>
      </c>
      <c r="BK148" s="18">
        <v>0.16669714990850432</v>
      </c>
      <c r="BL148" s="18">
        <v>0.15031291692227541</v>
      </c>
      <c r="BM148" s="18">
        <v>4.9169667503607864E-2</v>
      </c>
      <c r="BN148" s="18">
        <v>7.97002982376213E-2</v>
      </c>
      <c r="BO148" s="18">
        <v>9.7268253404380459E-2</v>
      </c>
      <c r="BP148" s="18">
        <v>3.6814199026151011E-2</v>
      </c>
      <c r="BQ148" s="18">
        <v>0.24833458842204337</v>
      </c>
      <c r="BR148" s="18">
        <v>-5.1608614084684059E-3</v>
      </c>
      <c r="BS148" s="18">
        <v>-1.1923301257206309E-2</v>
      </c>
      <c r="BT148" s="18">
        <v>-0.12698353924682365</v>
      </c>
      <c r="BU148" s="18">
        <v>3.0333992093322013E-3</v>
      </c>
      <c r="BV148" s="18">
        <v>-9.9706491918245516E-2</v>
      </c>
      <c r="BW148" s="18">
        <v>-5.939940901288706E-2</v>
      </c>
      <c r="BX148" s="18">
        <v>-8.3942733551624571E-2</v>
      </c>
      <c r="BY148" s="18">
        <v>0.11094458389410586</v>
      </c>
      <c r="BZ148" s="18">
        <v>-0.26057300431561609</v>
      </c>
      <c r="CA148" s="18">
        <v>0.45895733208744882</v>
      </c>
      <c r="CB148" s="18">
        <v>1.0000000000000002</v>
      </c>
      <c r="CC148" s="18">
        <v>0.39166572089475998</v>
      </c>
      <c r="CD148" s="18">
        <v>-0.340273480359157</v>
      </c>
      <c r="CE148" s="18">
        <v>2.4317967297083173E-2</v>
      </c>
      <c r="CF148" s="18">
        <v>0.39300199860060114</v>
      </c>
      <c r="CG148" s="18">
        <v>-0.38362389848107831</v>
      </c>
      <c r="CH148" s="18">
        <v>8.8506399736466568E-2</v>
      </c>
      <c r="CI148" s="18">
        <v>-0.33188676469069534</v>
      </c>
      <c r="CJ148" s="18">
        <v>0.10658164265150086</v>
      </c>
      <c r="CK148" s="18">
        <v>0.1402616555976986</v>
      </c>
      <c r="CL148" s="18">
        <v>0.2213499185078002</v>
      </c>
      <c r="CM148" s="18">
        <v>5.1312401525737843E-2</v>
      </c>
      <c r="CN148" s="19">
        <v>-8.6204991021631913E-3</v>
      </c>
    </row>
    <row r="149" spans="1:92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 t="str">
        <v>33.Lowest bid price</v>
      </c>
      <c r="AW149" s="25">
        <v>0.11669472354398404</v>
      </c>
      <c r="AX149" s="26">
        <v>5.0672644852291907E-2</v>
      </c>
      <c r="AY149" s="26">
        <v>9.6694119958587191E-2</v>
      </c>
      <c r="AZ149" s="18">
        <v>0.10008644251683775</v>
      </c>
      <c r="BA149" s="18">
        <v>0.20019189359303283</v>
      </c>
      <c r="BB149" s="18">
        <v>-0.2219353990267881</v>
      </c>
      <c r="BC149" s="18">
        <v>6.6811030013183059E-2</v>
      </c>
      <c r="BD149" s="18">
        <v>-8.2239968040984407E-2</v>
      </c>
      <c r="BE149" s="18">
        <v>-8.077064380212437E-2</v>
      </c>
      <c r="BF149" s="18">
        <v>0.20747513264750389</v>
      </c>
      <c r="BG149" s="18">
        <v>0.12584568497787557</v>
      </c>
      <c r="BH149" s="18">
        <v>0.17118686658262755</v>
      </c>
      <c r="BI149" s="18">
        <v>-0.14172392029501982</v>
      </c>
      <c r="BJ149" s="18">
        <v>1.9249336261783266E-3</v>
      </c>
      <c r="BK149" s="18">
        <v>-0.14899249145792245</v>
      </c>
      <c r="BL149" s="18">
        <v>-9.3905384998677899E-2</v>
      </c>
      <c r="BM149" s="18">
        <v>4.6308625303861792E-4</v>
      </c>
      <c r="BN149" s="18">
        <v>-5.5942898623094969E-2</v>
      </c>
      <c r="BO149" s="18">
        <v>1.4538560471682796E-2</v>
      </c>
      <c r="BP149" s="18">
        <v>0.12854158633884219</v>
      </c>
      <c r="BQ149" s="18">
        <v>-0.36083767874724715</v>
      </c>
      <c r="BR149" s="18">
        <v>0.1301198529014676</v>
      </c>
      <c r="BS149" s="18">
        <v>-4.4328223406646473E-2</v>
      </c>
      <c r="BT149" s="18">
        <v>0.16686193689868301</v>
      </c>
      <c r="BU149" s="18">
        <v>-8.2596117029074101E-2</v>
      </c>
      <c r="BV149" s="18">
        <v>-0.21873962836511973</v>
      </c>
      <c r="BW149" s="18">
        <v>0.24430418362569795</v>
      </c>
      <c r="BX149" s="18">
        <v>-8.7717399924528566E-2</v>
      </c>
      <c r="BY149" s="18">
        <v>-2.0809325533056797E-2</v>
      </c>
      <c r="BZ149" s="18">
        <v>0.25021724015889191</v>
      </c>
      <c r="CA149" s="18">
        <v>5.0242297276819836E-2</v>
      </c>
      <c r="CB149" s="18">
        <v>0.39166572089475971</v>
      </c>
      <c r="CC149" s="18">
        <v>1</v>
      </c>
      <c r="CD149" s="18">
        <v>0.50283292215161768</v>
      </c>
      <c r="CE149" s="18">
        <v>-8.8486486535183623E-2</v>
      </c>
      <c r="CF149" s="18">
        <v>-0.21710798738447845</v>
      </c>
      <c r="CG149" s="18">
        <v>0.18885360190968775</v>
      </c>
      <c r="CH149" s="18">
        <v>6.4634612443214209E-2</v>
      </c>
      <c r="CI149" s="18">
        <v>2.1893290732137437E-2</v>
      </c>
      <c r="CJ149" s="18">
        <v>6.1691235475639983E-2</v>
      </c>
      <c r="CK149" s="18">
        <v>-0.25233219994941236</v>
      </c>
      <c r="CL149" s="18">
        <v>-0.53789764462010703</v>
      </c>
      <c r="CM149" s="18">
        <v>0.24489355859915968</v>
      </c>
      <c r="CN149" s="19">
        <v>-2.2455218851055586E-2</v>
      </c>
    </row>
    <row r="150" spans="1:92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 t="str">
        <v>34.Insufficient time for preparation of contract documents</v>
      </c>
      <c r="AW150" s="25">
        <v>-0.2091330667113081</v>
      </c>
      <c r="AX150" s="26">
        <v>-6.0035094779737806E-2</v>
      </c>
      <c r="AY150" s="26">
        <v>2.315113881378348E-2</v>
      </c>
      <c r="AZ150" s="18">
        <v>-6.0220411679186396E-2</v>
      </c>
      <c r="BA150" s="18">
        <v>2.8513708913093266E-2</v>
      </c>
      <c r="BB150" s="18">
        <v>0.11130408467652135</v>
      </c>
      <c r="BC150" s="18">
        <v>5.6900475018448533E-2</v>
      </c>
      <c r="BD150" s="18">
        <v>0.30934550899786484</v>
      </c>
      <c r="BE150" s="18">
        <v>-9.7610008775750046E-2</v>
      </c>
      <c r="BF150" s="18">
        <v>-0.15741152951657653</v>
      </c>
      <c r="BG150" s="18">
        <v>-0.11763340223262286</v>
      </c>
      <c r="BH150" s="18">
        <v>-3.4748526332742669E-2</v>
      </c>
      <c r="BI150" s="18">
        <v>-0.13048758314664693</v>
      </c>
      <c r="BJ150" s="18">
        <v>-8.3860139128745986E-2</v>
      </c>
      <c r="BK150" s="18">
        <v>0.39365938593947164</v>
      </c>
      <c r="BL150" s="18">
        <v>0.19136454704336678</v>
      </c>
      <c r="BM150" s="18">
        <v>-0.11780176489262378</v>
      </c>
      <c r="BN150" s="18">
        <v>0.21680205178570897</v>
      </c>
      <c r="BO150" s="18">
        <v>-0.10502923986903438</v>
      </c>
      <c r="BP150" s="18">
        <v>-0.17259322288727602</v>
      </c>
      <c r="BQ150" s="18">
        <v>0.4038282934185336</v>
      </c>
      <c r="BR150" s="18">
        <v>-9.4935141133180759E-2</v>
      </c>
      <c r="BS150" s="18">
        <v>-5.9602121982426114E-2</v>
      </c>
      <c r="BT150" s="18">
        <v>-0.15179793223544372</v>
      </c>
      <c r="BU150" s="18">
        <v>0.17046831834284082</v>
      </c>
      <c r="BV150" s="18">
        <v>-6.0505628846884978E-2</v>
      </c>
      <c r="BW150" s="18">
        <v>-8.4495760891992067E-2</v>
      </c>
      <c r="BX150" s="18">
        <v>-7.0255364645258112E-2</v>
      </c>
      <c r="BY150" s="18">
        <v>-0.13800215563322371</v>
      </c>
      <c r="BZ150" s="18">
        <v>-0.16085301989037074</v>
      </c>
      <c r="CA150" s="18">
        <v>0.16770477088102922</v>
      </c>
      <c r="CB150" s="18">
        <v>-0.3402734803591565</v>
      </c>
      <c r="CC150" s="18">
        <v>0.50283292215161723</v>
      </c>
      <c r="CD150" s="18">
        <v>1</v>
      </c>
      <c r="CE150" s="18">
        <v>0.59547563459717623</v>
      </c>
      <c r="CF150" s="18">
        <v>0.45350368900725119</v>
      </c>
      <c r="CG150" s="18">
        <v>-0.2910131418488146</v>
      </c>
      <c r="CH150" s="18">
        <v>-0.1835115514955529</v>
      </c>
      <c r="CI150" s="18">
        <v>5.4054503206652144E-2</v>
      </c>
      <c r="CJ150" s="18">
        <v>0.15038763603092087</v>
      </c>
      <c r="CK150" s="18">
        <v>3.7511327406268773E-2</v>
      </c>
      <c r="CL150" s="18">
        <v>0.36740002325472454</v>
      </c>
      <c r="CM150" s="18">
        <v>-0.13430959634798195</v>
      </c>
      <c r="CN150" s="19">
        <v>-1.7049995934335174E-2</v>
      </c>
    </row>
    <row r="151" spans="1:92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 t="str">
        <v>35.Discrepancies in contract documents</v>
      </c>
      <c r="AW151" s="25">
        <v>0.21941035341637208</v>
      </c>
      <c r="AX151" s="26">
        <v>-0.15862491823697586</v>
      </c>
      <c r="AY151" s="26">
        <v>-0.21365282054796778</v>
      </c>
      <c r="AZ151" s="18">
        <v>5.0274605053040856E-2</v>
      </c>
      <c r="BA151" s="18">
        <v>9.813894111935717E-2</v>
      </c>
      <c r="BB151" s="18">
        <v>-0.15173235018960887</v>
      </c>
      <c r="BC151" s="18">
        <v>4.3397276006543715E-2</v>
      </c>
      <c r="BD151" s="18">
        <v>-0.15723721910571681</v>
      </c>
      <c r="BE151" s="18">
        <v>4.8391024835573733E-2</v>
      </c>
      <c r="BF151" s="18">
        <v>-3.2454127758849989E-2</v>
      </c>
      <c r="BG151" s="18">
        <v>0.22362279388788553</v>
      </c>
      <c r="BH151" s="18">
        <v>-5.6784072014960253E-2</v>
      </c>
      <c r="BI151" s="18">
        <v>0.14869898635679749</v>
      </c>
      <c r="BJ151" s="18">
        <v>-0.19005975277561629</v>
      </c>
      <c r="BK151" s="18">
        <v>-0.20670210700294533</v>
      </c>
      <c r="BL151" s="18">
        <v>3.8769992904651621E-2</v>
      </c>
      <c r="BM151" s="18">
        <v>0.24596092149108381</v>
      </c>
      <c r="BN151" s="18">
        <v>-0.3689127457356603</v>
      </c>
      <c r="BO151" s="18">
        <v>0.2133423932002379</v>
      </c>
      <c r="BP151" s="18">
        <v>0.20788954679918581</v>
      </c>
      <c r="BQ151" s="18">
        <v>-0.40592087768822604</v>
      </c>
      <c r="BR151" s="18">
        <v>0.21233367106826412</v>
      </c>
      <c r="BS151" s="18">
        <v>-0.12301196845601128</v>
      </c>
      <c r="BT151" s="18">
        <v>0.10121117023567251</v>
      </c>
      <c r="BU151" s="18">
        <v>-0.19207282690452568</v>
      </c>
      <c r="BV151" s="18">
        <v>0.23293405971638789</v>
      </c>
      <c r="BW151" s="18">
        <v>7.8374502633334495E-2</v>
      </c>
      <c r="BX151" s="18">
        <v>1.6447820441389968E-2</v>
      </c>
      <c r="BY151" s="18">
        <v>0.31912481852828678</v>
      </c>
      <c r="BZ151" s="18">
        <v>-0.12024112441906727</v>
      </c>
      <c r="CA151" s="18">
        <v>9.8502041122331394E-2</v>
      </c>
      <c r="CB151" s="18">
        <v>2.4317967297082948E-2</v>
      </c>
      <c r="CC151" s="18">
        <v>-8.8486486535183484E-2</v>
      </c>
      <c r="CD151" s="18">
        <v>0.59547563459717578</v>
      </c>
      <c r="CE151" s="18">
        <v>1</v>
      </c>
      <c r="CF151" s="18">
        <v>-0.21161542767483599</v>
      </c>
      <c r="CG151" s="18">
        <v>0.16059203707411474</v>
      </c>
      <c r="CH151" s="18">
        <v>5.5946079265075804E-2</v>
      </c>
      <c r="CI151" s="18">
        <v>-5.68157799618337E-2</v>
      </c>
      <c r="CJ151" s="18">
        <v>-1.429402690971281E-2</v>
      </c>
      <c r="CK151" s="18">
        <v>0.1787047909259834</v>
      </c>
      <c r="CL151" s="18">
        <v>-0.10088474789353163</v>
      </c>
      <c r="CM151" s="18">
        <v>8.0877509262173755E-2</v>
      </c>
      <c r="CN151" s="19">
        <v>0.11605463632054491</v>
      </c>
    </row>
    <row r="152" spans="1:92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 t="str">
        <v>36.Underestimation of time for completion of project</v>
      </c>
      <c r="AW152" s="25">
        <v>4.8894978935445664E-2</v>
      </c>
      <c r="AX152" s="26">
        <v>0.12929126983775074</v>
      </c>
      <c r="AY152" s="26">
        <v>-3.0495663359800897E-2</v>
      </c>
      <c r="AZ152" s="18">
        <v>0.16724216651075152</v>
      </c>
      <c r="BA152" s="18">
        <v>-0.25041685272255954</v>
      </c>
      <c r="BB152" s="18">
        <v>9.1587831380786661E-2</v>
      </c>
      <c r="BC152" s="18">
        <v>-0.16268246732939459</v>
      </c>
      <c r="BD152" s="18">
        <v>-0.39309333738708796</v>
      </c>
      <c r="BE152" s="18">
        <v>0.35350773659920698</v>
      </c>
      <c r="BF152" s="18">
        <v>-0.15319651814916466</v>
      </c>
      <c r="BG152" s="18">
        <v>5.6350041581010951E-2</v>
      </c>
      <c r="BH152" s="18">
        <v>0.31488274726979976</v>
      </c>
      <c r="BI152" s="18">
        <v>3.7678614407174335E-2</v>
      </c>
      <c r="BJ152" s="18">
        <v>0.123805639434499</v>
      </c>
      <c r="BK152" s="18">
        <v>-0.33360565630428807</v>
      </c>
      <c r="BL152" s="18">
        <v>-0.16625949604947954</v>
      </c>
      <c r="BM152" s="18">
        <v>0.17311118746710957</v>
      </c>
      <c r="BN152" s="18">
        <v>-0.13708000714462812</v>
      </c>
      <c r="BO152" s="18">
        <v>-1.8291111585835088E-2</v>
      </c>
      <c r="BP152" s="18">
        <v>0.26761111344337851</v>
      </c>
      <c r="BQ152" s="18">
        <v>-0.41605070060281873</v>
      </c>
      <c r="BR152" s="18">
        <v>-0.10352215777273917</v>
      </c>
      <c r="BS152" s="18">
        <v>4.8646767181486493E-2</v>
      </c>
      <c r="BT152" s="18">
        <v>0.10124454364862751</v>
      </c>
      <c r="BU152" s="18">
        <v>-8.1818317547918323E-2</v>
      </c>
      <c r="BV152" s="18">
        <v>0.15043209785506495</v>
      </c>
      <c r="BW152" s="18">
        <v>8.0411690329213678E-2</v>
      </c>
      <c r="BX152" s="18">
        <v>0.16061761926857857</v>
      </c>
      <c r="BY152" s="18">
        <v>-6.6310192959274164E-2</v>
      </c>
      <c r="BZ152" s="18">
        <v>0.12190598797678942</v>
      </c>
      <c r="CA152" s="18">
        <v>-0.26618292609922667</v>
      </c>
      <c r="CB152" s="18">
        <v>0.3930019986006007</v>
      </c>
      <c r="CC152" s="18">
        <v>-0.21710798738447823</v>
      </c>
      <c r="CD152" s="18">
        <v>0.45350368900725074</v>
      </c>
      <c r="CE152" s="18">
        <v>-0.21161542767483563</v>
      </c>
      <c r="CF152" s="18">
        <v>1.0000000000000002</v>
      </c>
      <c r="CG152" s="18">
        <v>0.52052699876494468</v>
      </c>
      <c r="CH152" s="18">
        <v>8.9580773749739676E-2</v>
      </c>
      <c r="CI152" s="18">
        <v>9.0951940085029229E-2</v>
      </c>
      <c r="CJ152" s="18">
        <v>-0.20184526787350673</v>
      </c>
      <c r="CK152" s="18">
        <v>0.13851272457259553</v>
      </c>
      <c r="CL152" s="18">
        <v>-7.8517987415851143E-2</v>
      </c>
      <c r="CM152" s="18">
        <v>-0.13605878199522589</v>
      </c>
      <c r="CN152" s="19">
        <v>0.20642298393749417</v>
      </c>
    </row>
    <row r="153" spans="1:92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 t="str">
        <v>37.Extension of time with cost claims</v>
      </c>
      <c r="AW153" s="25">
        <v>8.7769777028340351E-2</v>
      </c>
      <c r="AX153" s="26">
        <v>5.3678529834435378E-2</v>
      </c>
      <c r="AY153" s="26">
        <v>7.1959784522091702E-2</v>
      </c>
      <c r="AZ153" s="18">
        <v>-0.10107726359955704</v>
      </c>
      <c r="BA153" s="18">
        <v>0.25439576924620089</v>
      </c>
      <c r="BB153" s="18">
        <v>0.13989944325822368</v>
      </c>
      <c r="BC153" s="18">
        <v>-1.7190414446710392E-2</v>
      </c>
      <c r="BD153" s="18">
        <v>0.10162753455584665</v>
      </c>
      <c r="BE153" s="18">
        <v>-0.10441827883925921</v>
      </c>
      <c r="BF153" s="18">
        <v>5.6852505837922861E-2</v>
      </c>
      <c r="BG153" s="18">
        <v>2.3312850483905377E-2</v>
      </c>
      <c r="BH153" s="18">
        <v>-0.17688961094318625</v>
      </c>
      <c r="BI153" s="18">
        <v>-0.24676537724159983</v>
      </c>
      <c r="BJ153" s="18">
        <v>0.14146464550463114</v>
      </c>
      <c r="BK153" s="18">
        <v>0.12669574011943049</v>
      </c>
      <c r="BL153" s="18">
        <v>0.10093707935857375</v>
      </c>
      <c r="BM153" s="18">
        <v>-5.0565023935003083E-2</v>
      </c>
      <c r="BN153" s="18">
        <v>-5.6362271546266988E-2</v>
      </c>
      <c r="BO153" s="18">
        <v>-2.7336883387754744E-2</v>
      </c>
      <c r="BP153" s="18">
        <v>-0.2465110073023066</v>
      </c>
      <c r="BQ153" s="18">
        <v>0.29960990261178655</v>
      </c>
      <c r="BR153" s="18">
        <v>-0.13683875173744228</v>
      </c>
      <c r="BS153" s="18">
        <v>0.10936289581973994</v>
      </c>
      <c r="BT153" s="18">
        <v>-3.9241566283411349E-2</v>
      </c>
      <c r="BU153" s="18">
        <v>8.4724876256578874E-2</v>
      </c>
      <c r="BV153" s="18">
        <v>3.6788357450252697E-2</v>
      </c>
      <c r="BW153" s="18">
        <v>-0.14061965006850619</v>
      </c>
      <c r="BX153" s="18">
        <v>-0.15380387576326715</v>
      </c>
      <c r="BY153" s="18">
        <v>-1.2614903180509977E-2</v>
      </c>
      <c r="BZ153" s="18">
        <v>1.430191265711633E-2</v>
      </c>
      <c r="CA153" s="18">
        <v>0.21965645701782133</v>
      </c>
      <c r="CB153" s="18">
        <v>-0.38362389848107831</v>
      </c>
      <c r="CC153" s="18">
        <v>0.18885360190968753</v>
      </c>
      <c r="CD153" s="18">
        <v>-0.29101314184881422</v>
      </c>
      <c r="CE153" s="18">
        <v>0.16059203707411421</v>
      </c>
      <c r="CF153" s="18">
        <v>0.5205269987649449</v>
      </c>
      <c r="CG153" s="18">
        <v>1</v>
      </c>
      <c r="CH153" s="18">
        <v>1.8445776691921909E-2</v>
      </c>
      <c r="CI153" s="18">
        <v>-1.8983136971341717E-2</v>
      </c>
      <c r="CJ153" s="18">
        <v>0.17647522976664282</v>
      </c>
      <c r="CK153" s="18">
        <v>2.4354206457267484E-2</v>
      </c>
      <c r="CL153" s="18">
        <v>0.18542544918220027</v>
      </c>
      <c r="CM153" s="18">
        <v>-5.7896712706853183E-2</v>
      </c>
      <c r="CN153" s="19">
        <v>0.13483175078085433</v>
      </c>
    </row>
    <row r="154" spans="1:92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 t="str">
        <v>38.Scope and specification changes</v>
      </c>
      <c r="AW154" s="25">
        <v>-7.2370892600805453E-2</v>
      </c>
      <c r="AX154" s="26">
        <v>-0.2543679404082741</v>
      </c>
      <c r="AY154" s="26">
        <v>8.8570397808758722E-2</v>
      </c>
      <c r="AZ154" s="18">
        <v>-5.0990070781168857E-2</v>
      </c>
      <c r="BA154" s="18">
        <v>8.7522098647145136E-2</v>
      </c>
      <c r="BB154" s="18">
        <v>2.5412210459839966E-2</v>
      </c>
      <c r="BC154" s="18">
        <v>7.8465705995088175E-2</v>
      </c>
      <c r="BD154" s="18">
        <v>0.30855012212705507</v>
      </c>
      <c r="BE154" s="18">
        <v>-0.11872765596777553</v>
      </c>
      <c r="BF154" s="18">
        <v>-0.11630389418389016</v>
      </c>
      <c r="BG154" s="18">
        <v>-0.22579359203887181</v>
      </c>
      <c r="BH154" s="18">
        <v>6.6925476244923648E-2</v>
      </c>
      <c r="BI154" s="18">
        <v>-0.10932224680429972</v>
      </c>
      <c r="BJ154" s="18">
        <v>-2.884069820409544E-2</v>
      </c>
      <c r="BK154" s="18">
        <v>0.11738344775376093</v>
      </c>
      <c r="BL154" s="18">
        <v>-5.4255069587033605E-2</v>
      </c>
      <c r="BM154" s="18">
        <v>-2.1372304781511517E-2</v>
      </c>
      <c r="BN154" s="18">
        <v>-5.4037018525073942E-2</v>
      </c>
      <c r="BO154" s="18">
        <v>-8.6492063112346237E-2</v>
      </c>
      <c r="BP154" s="18">
        <v>-0.13696547638483925</v>
      </c>
      <c r="BQ154" s="18">
        <v>0.18486937199806222</v>
      </c>
      <c r="BR154" s="18">
        <v>7.0566913751363522E-2</v>
      </c>
      <c r="BS154" s="18">
        <v>-0.14229706651874025</v>
      </c>
      <c r="BT154" s="18">
        <v>0.10999745435392008</v>
      </c>
      <c r="BU154" s="18">
        <v>-2.060829807635824E-2</v>
      </c>
      <c r="BV154" s="18">
        <v>4.4519436495141944E-2</v>
      </c>
      <c r="BW154" s="18">
        <v>9.5086669209522481E-2</v>
      </c>
      <c r="BX154" s="18">
        <v>-0.1939242690802252</v>
      </c>
      <c r="BY154" s="18">
        <v>0.14119138877642248</v>
      </c>
      <c r="BZ154" s="18">
        <v>-0.20221656920163375</v>
      </c>
      <c r="CA154" s="18">
        <v>0.16850502234758735</v>
      </c>
      <c r="CB154" s="18">
        <v>8.8506399736466776E-2</v>
      </c>
      <c r="CC154" s="18">
        <v>6.4634612443214501E-2</v>
      </c>
      <c r="CD154" s="18">
        <v>-0.18351155149555268</v>
      </c>
      <c r="CE154" s="18">
        <v>5.594607926507579E-2</v>
      </c>
      <c r="CF154" s="18">
        <v>8.9580773749739454E-2</v>
      </c>
      <c r="CG154" s="18">
        <v>1.8445776691921708E-2</v>
      </c>
      <c r="CH154" s="18">
        <v>1</v>
      </c>
      <c r="CI154" s="18">
        <v>0.47279772916265833</v>
      </c>
      <c r="CJ154" s="18">
        <v>0.19806096870839637</v>
      </c>
      <c r="CK154" s="18">
        <v>0.18910261870271458</v>
      </c>
      <c r="CL154" s="18">
        <v>0.11361322667697407</v>
      </c>
      <c r="CM154" s="18">
        <v>8.8467199726603538E-2</v>
      </c>
      <c r="CN154" s="19">
        <v>-2.6682489200510279E-2</v>
      </c>
    </row>
    <row r="155" spans="1:92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 t="str">
        <v>39.Changes in client requirements</v>
      </c>
      <c r="AW155" s="25">
        <v>8.2589646523495222E-3</v>
      </c>
      <c r="AX155" s="26">
        <v>0.16995398100204476</v>
      </c>
      <c r="AY155" s="26">
        <v>-3.8686728792166267E-2</v>
      </c>
      <c r="AZ155" s="18">
        <v>1.0508078219113606E-2</v>
      </c>
      <c r="BA155" s="18">
        <v>0.19368380904776755</v>
      </c>
      <c r="BB155" s="18">
        <v>-0.18646346059405045</v>
      </c>
      <c r="BC155" s="18">
        <v>0.29504751379949046</v>
      </c>
      <c r="BD155" s="18">
        <v>-5.4775532755384028E-2</v>
      </c>
      <c r="BE155" s="18">
        <v>-0.14212638476587292</v>
      </c>
      <c r="BF155" s="18">
        <v>0.16413976846986383</v>
      </c>
      <c r="BG155" s="18">
        <v>-8.4974070130773544E-2</v>
      </c>
      <c r="BH155" s="18">
        <v>0.15780637109216136</v>
      </c>
      <c r="BI155" s="18">
        <v>-2.0163690580355081E-2</v>
      </c>
      <c r="BJ155" s="18">
        <v>-0.14491146346295519</v>
      </c>
      <c r="BK155" s="18">
        <v>0.10055787597238353</v>
      </c>
      <c r="BL155" s="18">
        <v>9.5359851911390056E-2</v>
      </c>
      <c r="BM155" s="18">
        <v>-6.5734460266742969E-2</v>
      </c>
      <c r="BN155" s="18">
        <v>0.18445185689804841</v>
      </c>
      <c r="BO155" s="18">
        <v>9.869562416824236E-2</v>
      </c>
      <c r="BP155" s="18">
        <v>1.4588156577132749E-2</v>
      </c>
      <c r="BQ155" s="18">
        <v>1.5495030449326893E-2</v>
      </c>
      <c r="BR155" s="18">
        <v>-0.14185079749406967</v>
      </c>
      <c r="BS155" s="18">
        <v>7.8984992670597262E-2</v>
      </c>
      <c r="BT155" s="18">
        <v>6.5007067057145068E-2</v>
      </c>
      <c r="BU155" s="18">
        <v>-9.8885254786835047E-2</v>
      </c>
      <c r="BV155" s="18">
        <v>-0.17270229933282583</v>
      </c>
      <c r="BW155" s="18">
        <v>0.11015829892766837</v>
      </c>
      <c r="BX155" s="18">
        <v>-8.938628875701923E-3</v>
      </c>
      <c r="BY155" s="18">
        <v>2.7175707076368363E-2</v>
      </c>
      <c r="BZ155" s="18">
        <v>0.19821749950750744</v>
      </c>
      <c r="CA155" s="18">
        <v>0.11424119737415979</v>
      </c>
      <c r="CB155" s="18">
        <v>-0.33188676469069528</v>
      </c>
      <c r="CC155" s="18">
        <v>2.1893290732137569E-2</v>
      </c>
      <c r="CD155" s="18">
        <v>5.4054503206651727E-2</v>
      </c>
      <c r="CE155" s="18">
        <v>-5.681577996183345E-2</v>
      </c>
      <c r="CF155" s="18">
        <v>9.0951940085029326E-2</v>
      </c>
      <c r="CG155" s="18">
        <v>-1.8983136971341529E-2</v>
      </c>
      <c r="CH155" s="18">
        <v>0.47279772916265744</v>
      </c>
      <c r="CI155" s="18">
        <v>1</v>
      </c>
      <c r="CJ155" s="18">
        <v>0.37347248244272419</v>
      </c>
      <c r="CK155" s="18">
        <v>-0.12278963189889884</v>
      </c>
      <c r="CL155" s="18">
        <v>-0.19723120454867285</v>
      </c>
      <c r="CM155" s="18">
        <v>3.1249311520026253E-2</v>
      </c>
      <c r="CN155" s="19">
        <v>-8.7310339170445492E-2</v>
      </c>
    </row>
    <row r="156" spans="1:92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 t="str">
        <v>40.Frequency of variation orders and additional works</v>
      </c>
      <c r="AW156" s="25">
        <v>5.4436561789164513E-2</v>
      </c>
      <c r="AX156" s="26">
        <v>0.10821075429235671</v>
      </c>
      <c r="AY156" s="26">
        <v>-0.21551484905046162</v>
      </c>
      <c r="AZ156" s="18">
        <v>3.2489264203922466E-2</v>
      </c>
      <c r="BA156" s="18">
        <v>-0.31713022188726586</v>
      </c>
      <c r="BB156" s="18">
        <v>0.18089603048272671</v>
      </c>
      <c r="BC156" s="18">
        <v>-0.31379495072991254</v>
      </c>
      <c r="BD156" s="18">
        <v>-0.26778218909290463</v>
      </c>
      <c r="BE156" s="18">
        <v>0.30387625942267116</v>
      </c>
      <c r="BF156" s="18">
        <v>6.3132390722878601E-2</v>
      </c>
      <c r="BG156" s="18">
        <v>-9.1233498837972552E-3</v>
      </c>
      <c r="BH156" s="18">
        <v>-0.1694150093113235</v>
      </c>
      <c r="BI156" s="18">
        <v>0.33067705984103812</v>
      </c>
      <c r="BJ156" s="18">
        <v>0.19263137439895658</v>
      </c>
      <c r="BK156" s="18">
        <v>-0.1770566827933677</v>
      </c>
      <c r="BL156" s="18">
        <v>-0.140428579234993</v>
      </c>
      <c r="BM156" s="18">
        <v>-1.9470306732964158E-2</v>
      </c>
      <c r="BN156" s="18">
        <v>1.0948054225133128E-2</v>
      </c>
      <c r="BO156" s="18">
        <v>3.9588841720353984E-2</v>
      </c>
      <c r="BP156" s="18">
        <v>5.6997758968981703E-2</v>
      </c>
      <c r="BQ156" s="18">
        <v>6.7966232407575711E-2</v>
      </c>
      <c r="BR156" s="18">
        <v>0.22498437529341442</v>
      </c>
      <c r="BS156" s="18">
        <v>-9.2225912118080414E-2</v>
      </c>
      <c r="BT156" s="18">
        <v>-5.7357052052947992E-2</v>
      </c>
      <c r="BU156" s="18">
        <v>-4.487930808455437E-2</v>
      </c>
      <c r="BV156" s="18">
        <v>0.1246002123539105</v>
      </c>
      <c r="BW156" s="18">
        <v>-0.26555289499252777</v>
      </c>
      <c r="BX156" s="18">
        <v>0.19527979331552761</v>
      </c>
      <c r="BY156" s="18">
        <v>-1.2799973962372129E-2</v>
      </c>
      <c r="BZ156" s="18">
        <v>-7.3864930090503489E-2</v>
      </c>
      <c r="CA156" s="18">
        <v>-0.12412804491005783</v>
      </c>
      <c r="CB156" s="18">
        <v>0.10658164265150059</v>
      </c>
      <c r="CC156" s="18">
        <v>6.1691235475640087E-2</v>
      </c>
      <c r="CD156" s="18">
        <v>0.15038763603092081</v>
      </c>
      <c r="CE156" s="18">
        <v>-1.4294026909712761E-2</v>
      </c>
      <c r="CF156" s="18">
        <v>-0.20184526787350668</v>
      </c>
      <c r="CG156" s="18">
        <v>0.17647522976664279</v>
      </c>
      <c r="CH156" s="18">
        <v>0.19806096870839748</v>
      </c>
      <c r="CI156" s="18">
        <v>0.37347248244272369</v>
      </c>
      <c r="CJ156" s="18">
        <v>1</v>
      </c>
      <c r="CK156" s="18">
        <v>0.17378440065032755</v>
      </c>
      <c r="CL156" s="18">
        <v>0.10032098656360221</v>
      </c>
      <c r="CM156" s="18">
        <v>-8.4576724512451809E-2</v>
      </c>
      <c r="CN156" s="19">
        <v>-1.4286668334078307E-2</v>
      </c>
    </row>
    <row r="157" spans="1:92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 t="str">
        <v>41.Rework due to error in execution</v>
      </c>
      <c r="AW157" s="25">
        <v>0.16460565896338691</v>
      </c>
      <c r="AX157" s="26">
        <v>-9.4451001295570242E-2</v>
      </c>
      <c r="AY157" s="26">
        <v>0.13189050527856699</v>
      </c>
      <c r="AZ157" s="18">
        <v>-9.8162223604221679E-2</v>
      </c>
      <c r="BA157" s="18">
        <v>1.9851362099492599E-2</v>
      </c>
      <c r="BB157" s="18">
        <v>-0.10661552170885288</v>
      </c>
      <c r="BC157" s="18">
        <v>0.21868087835268199</v>
      </c>
      <c r="BD157" s="18">
        <v>4.284718480164381E-2</v>
      </c>
      <c r="BE157" s="18">
        <v>-0.21032234513491205</v>
      </c>
      <c r="BF157" s="18">
        <v>2.7044796150344906E-2</v>
      </c>
      <c r="BG157" s="18">
        <v>0.19229756618120583</v>
      </c>
      <c r="BH157" s="18">
        <v>-1.902362514900567E-3</v>
      </c>
      <c r="BI157" s="18">
        <v>6.6017045783668044E-2</v>
      </c>
      <c r="BJ157" s="18">
        <v>-0.13231615608313901</v>
      </c>
      <c r="BK157" s="18">
        <v>0.16095815697289761</v>
      </c>
      <c r="BL157" s="18">
        <v>8.4078794245134716E-2</v>
      </c>
      <c r="BM157" s="18">
        <v>-2.577139039275346E-2</v>
      </c>
      <c r="BN157" s="18">
        <v>7.736088125786357E-2</v>
      </c>
      <c r="BO157" s="18">
        <v>6.5056498266122642E-2</v>
      </c>
      <c r="BP157" s="18">
        <v>-4.3695730370747365E-2</v>
      </c>
      <c r="BQ157" s="18">
        <v>-0.11032410718391789</v>
      </c>
      <c r="BR157" s="18">
        <v>8.3660875377004756E-3</v>
      </c>
      <c r="BS157" s="18">
        <v>0.30706282113597111</v>
      </c>
      <c r="BT157" s="18">
        <v>-6.8353645523727635E-2</v>
      </c>
      <c r="BU157" s="18">
        <v>-0.16817726493084129</v>
      </c>
      <c r="BV157" s="18">
        <v>-0.17288398868461932</v>
      </c>
      <c r="BW157" s="18">
        <v>0.18869082638474544</v>
      </c>
      <c r="BX157" s="18">
        <v>3.9674871884533669E-2</v>
      </c>
      <c r="BY157" s="18">
        <v>-0.26379648076533208</v>
      </c>
      <c r="BZ157" s="18">
        <v>7.3107346384880909E-2</v>
      </c>
      <c r="CA157" s="18">
        <v>-6.4665826816926023E-2</v>
      </c>
      <c r="CB157" s="18">
        <v>0.14026165559769863</v>
      </c>
      <c r="CC157" s="18">
        <v>-0.25233219994941269</v>
      </c>
      <c r="CD157" s="18">
        <v>3.7511327406269064E-2</v>
      </c>
      <c r="CE157" s="18">
        <v>0.17870479092598285</v>
      </c>
      <c r="CF157" s="18">
        <v>0.13851272457259578</v>
      </c>
      <c r="CG157" s="18">
        <v>2.4354206457267605E-2</v>
      </c>
      <c r="CH157" s="18">
        <v>0.18910261870271383</v>
      </c>
      <c r="CI157" s="18">
        <v>-0.12278963189889888</v>
      </c>
      <c r="CJ157" s="18">
        <v>0.17378440065032791</v>
      </c>
      <c r="CK157" s="18">
        <v>0.99999999999999978</v>
      </c>
      <c r="CL157" s="18">
        <v>-0.20215816794249505</v>
      </c>
      <c r="CM157" s="18">
        <v>0.12834378895479928</v>
      </c>
      <c r="CN157" s="19">
        <v>-8.1059160459615393E-2</v>
      </c>
    </row>
    <row r="158" spans="1:92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 t="str">
        <v>42.Weather conditions</v>
      </c>
      <c r="AW158" s="25">
        <v>7.9640391444831343E-2</v>
      </c>
      <c r="AX158" s="26">
        <v>-2.1851907757906602E-2</v>
      </c>
      <c r="AY158" s="26">
        <v>9.2058114517114778E-2</v>
      </c>
      <c r="AZ158" s="18">
        <v>0.10035025571081067</v>
      </c>
      <c r="BA158" s="18">
        <v>0.11572683970867556</v>
      </c>
      <c r="BB158" s="18">
        <v>-0.16798176385335217</v>
      </c>
      <c r="BC158" s="18">
        <v>3.8429359100200171E-2</v>
      </c>
      <c r="BD158" s="18">
        <v>2.9782276268528984E-2</v>
      </c>
      <c r="BE158" s="18">
        <v>-8.6067890884972797E-2</v>
      </c>
      <c r="BF158" s="18">
        <v>0.15963900718882446</v>
      </c>
      <c r="BG158" s="18">
        <v>7.2485522582373077E-2</v>
      </c>
      <c r="BH158" s="18">
        <v>7.1979752047900178E-2</v>
      </c>
      <c r="BI158" s="18">
        <v>-8.1296798940790282E-2</v>
      </c>
      <c r="BJ158" s="18">
        <v>-0.24447504652342908</v>
      </c>
      <c r="BK158" s="18">
        <v>-0.15846377990748964</v>
      </c>
      <c r="BL158" s="18">
        <v>0.21528442502953354</v>
      </c>
      <c r="BM158" s="18">
        <v>0.10531528732112116</v>
      </c>
      <c r="BN158" s="18">
        <v>1.9865755222137346E-2</v>
      </c>
      <c r="BO158" s="18">
        <v>-9.3262533553996926E-2</v>
      </c>
      <c r="BP158" s="18">
        <v>0.24243975236665635</v>
      </c>
      <c r="BQ158" s="18">
        <v>-0.20349231960465217</v>
      </c>
      <c r="BR158" s="18">
        <v>0.18588821200720523</v>
      </c>
      <c r="BS158" s="18">
        <v>-5.8796745839577187E-3</v>
      </c>
      <c r="BT158" s="18">
        <v>4.7614631801300204E-2</v>
      </c>
      <c r="BU158" s="18">
        <v>6.8603061972806328E-3</v>
      </c>
      <c r="BV158" s="18">
        <v>-0.30216373664160306</v>
      </c>
      <c r="BW158" s="18">
        <v>0.26735749647244633</v>
      </c>
      <c r="BX158" s="18">
        <v>-6.681349916765103E-2</v>
      </c>
      <c r="BY158" s="18">
        <v>1.9867306694201541E-2</v>
      </c>
      <c r="BZ158" s="18">
        <v>0.19656429607383838</v>
      </c>
      <c r="CA158" s="18">
        <v>0.1284006546983206</v>
      </c>
      <c r="CB158" s="18">
        <v>0.22134991850780036</v>
      </c>
      <c r="CC158" s="18">
        <v>-0.53789764462010736</v>
      </c>
      <c r="CD158" s="18">
        <v>0.36740002325472509</v>
      </c>
      <c r="CE158" s="18">
        <v>-0.10088474789353181</v>
      </c>
      <c r="CF158" s="18">
        <v>-7.8517987415851476E-2</v>
      </c>
      <c r="CG158" s="18">
        <v>0.18542544918220061</v>
      </c>
      <c r="CH158" s="18">
        <v>0.11361322667697371</v>
      </c>
      <c r="CI158" s="18">
        <v>-0.19723120454867288</v>
      </c>
      <c r="CJ158" s="18">
        <v>0.10032098656360222</v>
      </c>
      <c r="CK158" s="18">
        <v>-0.20215816794249478</v>
      </c>
      <c r="CL158" s="18">
        <v>1</v>
      </c>
      <c r="CM158" s="18">
        <v>0.55574347874497898</v>
      </c>
      <c r="CN158" s="19">
        <v>0.13575419165803648</v>
      </c>
    </row>
    <row r="159" spans="1:92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 t="str">
        <v>43.Accidents during construction</v>
      </c>
      <c r="AW159" s="25">
        <v>3.5909776591315522E-2</v>
      </c>
      <c r="AX159" s="26">
        <v>0.19368049870216045</v>
      </c>
      <c r="AY159" s="26">
        <v>-6.4999668680731787E-2</v>
      </c>
      <c r="AZ159" s="18">
        <v>9.2969640569126072E-2</v>
      </c>
      <c r="BA159" s="18">
        <v>-0.16723347430847513</v>
      </c>
      <c r="BB159" s="18">
        <v>1.5226687524178321E-2</v>
      </c>
      <c r="BC159" s="18">
        <v>-9.3118991955106631E-2</v>
      </c>
      <c r="BD159" s="18">
        <v>-7.4912355204027767E-2</v>
      </c>
      <c r="BE159" s="18">
        <v>0.18447212524593143</v>
      </c>
      <c r="BF159" s="18">
        <v>-0.22206384963162409</v>
      </c>
      <c r="BG159" s="18">
        <v>9.3501470692655617E-3</v>
      </c>
      <c r="BH159" s="18">
        <v>0.23892255482639707</v>
      </c>
      <c r="BI159" s="18">
        <v>-5.9503205117822514E-3</v>
      </c>
      <c r="BJ159" s="18">
        <v>0.13761615839913061</v>
      </c>
      <c r="BK159" s="18">
        <v>1.8864821554942065E-2</v>
      </c>
      <c r="BL159" s="18">
        <v>3.4291337954632404E-3</v>
      </c>
      <c r="BM159" s="18">
        <v>-0.11101254498965238</v>
      </c>
      <c r="BN159" s="18">
        <v>6.4589590852216966E-2</v>
      </c>
      <c r="BO159" s="18">
        <v>-0.11538244524663932</v>
      </c>
      <c r="BP159" s="18">
        <v>-0.12594749706142025</v>
      </c>
      <c r="BQ159" s="18">
        <v>0.15643600971121829</v>
      </c>
      <c r="BR159" s="18">
        <v>-0.27464916844075732</v>
      </c>
      <c r="BS159" s="18">
        <v>0.15605583513209795</v>
      </c>
      <c r="BT159" s="18">
        <v>7.6568926194846565E-2</v>
      </c>
      <c r="BU159" s="18">
        <v>-1.0695726312385899E-2</v>
      </c>
      <c r="BV159" s="18">
        <v>5.3867479850584592E-2</v>
      </c>
      <c r="BW159" s="18">
        <v>-0.13098291495797171</v>
      </c>
      <c r="BX159" s="18">
        <v>0.11084798998144414</v>
      </c>
      <c r="BY159" s="18">
        <v>-0.21261959970386299</v>
      </c>
      <c r="BZ159" s="18">
        <v>6.6846671913930039E-2</v>
      </c>
      <c r="CA159" s="18">
        <v>-0.21640577621904392</v>
      </c>
      <c r="CB159" s="18">
        <v>5.1312401525737635E-2</v>
      </c>
      <c r="CC159" s="18">
        <v>0.24489355859915993</v>
      </c>
      <c r="CD159" s="18">
        <v>-0.13430959634798259</v>
      </c>
      <c r="CE159" s="18">
        <v>8.0877509262174074E-2</v>
      </c>
      <c r="CF159" s="18">
        <v>-0.13605878199522553</v>
      </c>
      <c r="CG159" s="18">
        <v>-5.7896712706853461E-2</v>
      </c>
      <c r="CH159" s="18">
        <v>8.846719972660369E-2</v>
      </c>
      <c r="CI159" s="18">
        <v>3.1249311520026107E-2</v>
      </c>
      <c r="CJ159" s="18">
        <v>-8.4576724512451587E-2</v>
      </c>
      <c r="CK159" s="18">
        <v>0.12834378895479875</v>
      </c>
      <c r="CL159" s="18">
        <v>0.55574347874497909</v>
      </c>
      <c r="CM159" s="18">
        <v>1</v>
      </c>
      <c r="CN159" s="19">
        <v>0.19921251838828075</v>
      </c>
    </row>
    <row r="160" spans="1:92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 t="str">
        <v>44.Delay in getting NOCs from different government authorities</v>
      </c>
      <c r="AW160" s="27">
        <v>-3.2904807917917743E-2</v>
      </c>
      <c r="AX160" s="28">
        <v>0.19577664237854445</v>
      </c>
      <c r="AY160" s="28">
        <v>2.0534709654759477E-2</v>
      </c>
      <c r="AZ160" s="20">
        <v>-0.24483644045443115</v>
      </c>
      <c r="BA160" s="20">
        <v>6.2953077200517668E-2</v>
      </c>
      <c r="BB160" s="20">
        <v>-9.8569528763427144E-2</v>
      </c>
      <c r="BC160" s="20">
        <v>0.15415656587048707</v>
      </c>
      <c r="BD160" s="20">
        <v>5.6195562919276583E-2</v>
      </c>
      <c r="BE160" s="20">
        <v>-0.29519642800256191</v>
      </c>
      <c r="BF160" s="20">
        <v>0.25877157233666315</v>
      </c>
      <c r="BG160" s="20">
        <v>-0.10784219872355502</v>
      </c>
      <c r="BH160" s="20">
        <v>-3.0723432816173214E-2</v>
      </c>
      <c r="BI160" s="20">
        <v>9.6834021044985771E-2</v>
      </c>
      <c r="BJ160" s="20">
        <v>0.28272857953561376</v>
      </c>
      <c r="BK160" s="20">
        <v>-2.946438731072739E-2</v>
      </c>
      <c r="BL160" s="20">
        <v>-0.21406984874814983</v>
      </c>
      <c r="BM160" s="20">
        <v>-0.13154817239828051</v>
      </c>
      <c r="BN160" s="20">
        <v>3.3582627818468866E-2</v>
      </c>
      <c r="BO160" s="20">
        <v>0.1050779263993146</v>
      </c>
      <c r="BP160" s="20">
        <v>-4.5941797609516992E-2</v>
      </c>
      <c r="BQ160" s="20">
        <v>-3.6556897910881986E-2</v>
      </c>
      <c r="BR160" s="20">
        <v>0.11453880900395919</v>
      </c>
      <c r="BS160" s="20">
        <v>-9.0029366961549021E-2</v>
      </c>
      <c r="BT160" s="20">
        <v>-4.548915406961742E-2</v>
      </c>
      <c r="BU160" s="20">
        <v>-2.329858975042676E-2</v>
      </c>
      <c r="BV160" s="20">
        <v>3.2140616494822333E-2</v>
      </c>
      <c r="BW160" s="20">
        <v>3.3090563095671266E-2</v>
      </c>
      <c r="BX160" s="20">
        <v>2.8768145077967869E-3</v>
      </c>
      <c r="BY160" s="20">
        <v>0.21294180967440213</v>
      </c>
      <c r="BZ160" s="20">
        <v>0.10515242168745112</v>
      </c>
      <c r="CA160" s="20">
        <v>-1.2033638472082176E-2</v>
      </c>
      <c r="CB160" s="20">
        <v>-8.6204991021629693E-3</v>
      </c>
      <c r="CC160" s="20">
        <v>-2.2455218851055555E-2</v>
      </c>
      <c r="CD160" s="20">
        <v>-1.7049995934334941E-2</v>
      </c>
      <c r="CE160" s="20">
        <v>0.11605463632054477</v>
      </c>
      <c r="CF160" s="20">
        <v>0.2064229839374937</v>
      </c>
      <c r="CG160" s="20">
        <v>0.13483175078085444</v>
      </c>
      <c r="CH160" s="20">
        <v>-2.668248920051048E-2</v>
      </c>
      <c r="CI160" s="20">
        <v>-8.7310339170445339E-2</v>
      </c>
      <c r="CJ160" s="20">
        <v>-1.4286668334078406E-2</v>
      </c>
      <c r="CK160" s="20">
        <v>-8.1059160459615073E-2</v>
      </c>
      <c r="CL160" s="20">
        <v>0.13575419165803651</v>
      </c>
      <c r="CM160" s="20">
        <v>0.19921251838828069</v>
      </c>
      <c r="CN160" s="21">
        <v>0.99999999999999978</v>
      </c>
    </row>
    <row r="161" spans="1:93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>
        <f>SUMSQ(AW117:AW160)-1</f>
        <v>1.0789055197720119</v>
      </c>
      <c r="AX161" s="3">
        <f t="shared" ref="AX161:CN161" si="5">SUMSQ(AX117:AX160)-1</f>
        <v>1.199875048681903</v>
      </c>
      <c r="AY161" s="3">
        <f t="shared" si="5"/>
        <v>0.93451688263481092</v>
      </c>
      <c r="AZ161" s="3">
        <f t="shared" si="5"/>
        <v>1.1655183706686123</v>
      </c>
      <c r="BA161" s="3">
        <f t="shared" si="5"/>
        <v>1.4294698897721485</v>
      </c>
      <c r="BB161" s="3">
        <f t="shared" si="5"/>
        <v>1.0013494767693563</v>
      </c>
      <c r="BC161" s="3">
        <f t="shared" si="5"/>
        <v>1.458994417674913</v>
      </c>
      <c r="BD161" s="3">
        <f t="shared" si="5"/>
        <v>1.8368190316917272</v>
      </c>
      <c r="BE161" s="3">
        <f t="shared" si="5"/>
        <v>2.0340223105023778</v>
      </c>
      <c r="BF161" s="3">
        <f t="shared" si="5"/>
        <v>0.98122940073398923</v>
      </c>
      <c r="BG161" s="3">
        <f t="shared" si="5"/>
        <v>0.80890372772822383</v>
      </c>
      <c r="BH161" s="3">
        <f t="shared" si="5"/>
        <v>1.0202373566446221</v>
      </c>
      <c r="BI161" s="3">
        <f t="shared" si="5"/>
        <v>1.1362725022569089</v>
      </c>
      <c r="BJ161" s="3">
        <f t="shared" si="5"/>
        <v>1.4335111661129565</v>
      </c>
      <c r="BK161" s="3">
        <f t="shared" si="5"/>
        <v>1.8280691807543072</v>
      </c>
      <c r="BL161" s="3">
        <f t="shared" si="5"/>
        <v>0.70115511467776237</v>
      </c>
      <c r="BM161" s="3">
        <f t="shared" si="5"/>
        <v>1.235926750515302</v>
      </c>
      <c r="BN161" s="3">
        <f t="shared" si="5"/>
        <v>1.1349674010680051</v>
      </c>
      <c r="BO161" s="3">
        <f t="shared" si="5"/>
        <v>0.95242131377491024</v>
      </c>
      <c r="BP161" s="3">
        <f t="shared" si="5"/>
        <v>1.0557243317780531</v>
      </c>
      <c r="BQ161" s="3">
        <f t="shared" si="5"/>
        <v>1.9218727803571105</v>
      </c>
      <c r="BR161" s="3">
        <f t="shared" si="5"/>
        <v>1.0256505659261852</v>
      </c>
      <c r="BS161" s="3">
        <f t="shared" si="5"/>
        <v>0.9853192076244337</v>
      </c>
      <c r="BT161" s="3">
        <f t="shared" si="5"/>
        <v>0.62542880506754006</v>
      </c>
      <c r="BU161" s="3">
        <f t="shared" si="5"/>
        <v>0.86013037923680336</v>
      </c>
      <c r="BV161" s="3">
        <f t="shared" si="5"/>
        <v>1.286707247796925</v>
      </c>
      <c r="BW161" s="3">
        <f t="shared" si="5"/>
        <v>1.1366570864754313</v>
      </c>
      <c r="BX161" s="3">
        <f t="shared" si="5"/>
        <v>0.8073462717237414</v>
      </c>
      <c r="BY161" s="3">
        <f t="shared" si="5"/>
        <v>1.366365891948413</v>
      </c>
      <c r="BZ161" s="3">
        <f t="shared" si="5"/>
        <v>1.1525225845745317</v>
      </c>
      <c r="CA161" s="3">
        <f t="shared" si="5"/>
        <v>1.3785276048264361</v>
      </c>
      <c r="CB161" s="3">
        <f t="shared" si="5"/>
        <v>1.4342981588196122</v>
      </c>
      <c r="CC161" s="3">
        <f t="shared" si="5"/>
        <v>1.5851706400285037</v>
      </c>
      <c r="CD161" s="3">
        <f t="shared" si="5"/>
        <v>2.0743668629712553</v>
      </c>
      <c r="CE161" s="3">
        <f t="shared" si="5"/>
        <v>1.586220811317157</v>
      </c>
      <c r="CF161" s="3">
        <f t="shared" si="5"/>
        <v>2.0418711102414528</v>
      </c>
      <c r="CG161" s="3">
        <f t="shared" si="5"/>
        <v>1.2164314695461949</v>
      </c>
      <c r="CH161" s="3">
        <f t="shared" si="5"/>
        <v>0.91919265510196402</v>
      </c>
      <c r="CI161" s="3">
        <f t="shared" si="5"/>
        <v>1.0478010310349966</v>
      </c>
      <c r="CJ161" s="3">
        <f t="shared" si="5"/>
        <v>1.2440502819127235</v>
      </c>
      <c r="CK161" s="3">
        <f t="shared" si="5"/>
        <v>0.84112905242093827</v>
      </c>
      <c r="CL161" s="3">
        <f t="shared" si="5"/>
        <v>1.584599629661589</v>
      </c>
      <c r="CM161" s="3">
        <f t="shared" si="5"/>
        <v>1.0487807057059393</v>
      </c>
      <c r="CN161" s="3">
        <f t="shared" si="5"/>
        <v>0.70685540562582005</v>
      </c>
      <c r="CO161">
        <f>SUM(AW161:CN161)</f>
        <v>54.305185434158602</v>
      </c>
    </row>
    <row r="162" spans="1:93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93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 t="s">
        <v>197</v>
      </c>
      <c r="AW163" s="3"/>
      <c r="AX163" s="3"/>
      <c r="AY163" s="3"/>
    </row>
    <row r="164" spans="1:93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93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 t="str">
        <f t="array" ref="AW165:CN165">B1:AS1</f>
        <v>1.Delay in delivering material to construction site</v>
      </c>
      <c r="AX165" s="3" t="str">
        <v>2.Monopoly of material by some suppliers</v>
      </c>
      <c r="AY165" s="3" t="str">
        <v>3.Prices fluctuation</v>
      </c>
      <c r="AZ165" t="str">
        <v>4.Types of material availability at local market</v>
      </c>
      <c r="BA165" t="str">
        <v>5.Lack of consultant’s knowledge of available materials</v>
      </c>
      <c r="BB165" t="str">
        <v>6.Low productivity</v>
      </c>
      <c r="BC165" t="str">
        <v>7.Poor work execution</v>
      </c>
      <c r="BD165" t="str">
        <v>8.Shortage of laborers</v>
      </c>
      <c r="BE165" t="str">
        <v>9.Mistakes happens during construction phase</v>
      </c>
      <c r="BF165" t="str">
        <v>10.Unavailability of equipment</v>
      </c>
      <c r="BG165" t="str">
        <v>11.Lack of engineering experience</v>
      </c>
      <c r="BH165" t="str">
        <v>12.Construction cost underestimation</v>
      </c>
      <c r="BI165" t="str">
        <v>13.Poor site management</v>
      </c>
      <c r="BJ165" t="str">
        <v>14.Delayed payment for completed work</v>
      </c>
      <c r="BK165" t="str">
        <v>15.Cash flow problem during construction</v>
      </c>
      <c r="BL165" t="str">
        <v>16.High rate of interest</v>
      </c>
      <c r="BM165" t="str">
        <v>17.Contractor’s financial difficulties</v>
      </c>
      <c r="BN165" t="str">
        <v>18.Increase in salaries of skilled laborers</v>
      </c>
      <c r="BO165" t="str">
        <v>19.Change design</v>
      </c>
      <c r="BP165" t="str">
        <v>20.Errors and omission in design</v>
      </c>
      <c r="BQ165" t="str">
        <v>21.Incomplete design drawings and specifications at tendering stage</v>
      </c>
      <c r="BR165" t="str">
        <v>22.Delay in preparation and approval of drawing</v>
      </c>
      <c r="BS165" t="str">
        <v>23.Inaccurate quantity take-off</v>
      </c>
      <c r="BT165" t="str">
        <v>24.Long period from planning of project to construction</v>
      </c>
      <c r="BU165" t="str">
        <v>25.Delays in issuing information to the contractor during construction stage</v>
      </c>
      <c r="BV165" t="str">
        <v>26.No practical use of earned value management system</v>
      </c>
      <c r="BW165" t="str">
        <v>27.Lack of cost planning/monitoring during pre and post contract stage</v>
      </c>
      <c r="BX165" t="str">
        <v>28.Poor communication between client, consultant and contractor</v>
      </c>
      <c r="BY165" t="str">
        <v>29.Insufficient coordination between local authority who is responsible about road projects and service authorities</v>
      </c>
      <c r="BZ165" t="str">
        <v>30.Delays in decisions making by the approval authorities</v>
      </c>
      <c r="CA165" t="str">
        <v>31.Change schedule</v>
      </c>
      <c r="CB165" t="str">
        <v>32.Stoppages because of work being rejected by consultant</v>
      </c>
      <c r="CC165" t="str">
        <v>33.Lowest bid price</v>
      </c>
      <c r="CD165" t="str">
        <v>34.Insufficient time for preparation of contract documents</v>
      </c>
      <c r="CE165" t="str">
        <v>35.Discrepancies in contract documents</v>
      </c>
      <c r="CF165" t="str">
        <v>36.Underestimation of time for completion of project</v>
      </c>
      <c r="CG165" t="str">
        <v>37.Extension of time with cost claims</v>
      </c>
      <c r="CH165" t="str">
        <v>38.Scope and specification changes</v>
      </c>
      <c r="CI165" t="str">
        <v>39.Changes in client requirements</v>
      </c>
      <c r="CJ165" t="str">
        <v>40.Frequency of variation orders and additional works</v>
      </c>
      <c r="CK165" t="str">
        <v>41.Rework due to error in execution</v>
      </c>
      <c r="CL165" t="str">
        <v>42.Weather conditions</v>
      </c>
      <c r="CM165" t="str">
        <v>43.Accidents during construction</v>
      </c>
      <c r="CN165" t="str">
        <v>44.Delay in getting NOCs from different government authorities</v>
      </c>
    </row>
    <row r="166" spans="1:93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29">
        <f t="array" ref="AW166:CO166">AW64:CO64/(AW64:CO64+AW161:CO161)</f>
        <v>0.79862618797795959</v>
      </c>
      <c r="AX166" s="30">
        <v>0.73162230575117682</v>
      </c>
      <c r="AY166" s="30">
        <v>0.70253065183250674</v>
      </c>
      <c r="AZ166" s="31">
        <v>0.81862970760624998</v>
      </c>
      <c r="BA166" s="31">
        <v>0.8141565166329281</v>
      </c>
      <c r="BB166" s="31">
        <v>0.86428967635348586</v>
      </c>
      <c r="BC166" s="31">
        <v>0.83773045105474253</v>
      </c>
      <c r="BD166" s="31">
        <v>0.7718373499572696</v>
      </c>
      <c r="BE166" s="31">
        <v>0.76804042581612786</v>
      </c>
      <c r="BF166" s="31">
        <v>0.86316360846544549</v>
      </c>
      <c r="BG166" s="31">
        <v>0.89497355352595509</v>
      </c>
      <c r="BH166" s="31">
        <v>0.8695656059530521</v>
      </c>
      <c r="BI166" s="31">
        <v>0.84914062800923518</v>
      </c>
      <c r="BJ166" s="31">
        <v>0.64201696538962361</v>
      </c>
      <c r="BK166" s="31">
        <v>0.65759937867284102</v>
      </c>
      <c r="BL166" s="31">
        <v>0.86838172585617046</v>
      </c>
      <c r="BM166" s="31">
        <v>0.65470234683315454</v>
      </c>
      <c r="BN166" s="31">
        <v>0.66853676612168145</v>
      </c>
      <c r="BO166" s="31">
        <v>0.82606684717504841</v>
      </c>
      <c r="BP166" s="31">
        <v>0.80264588158301431</v>
      </c>
      <c r="BQ166" s="31">
        <v>0.68429352280625499</v>
      </c>
      <c r="BR166" s="31">
        <v>0.75540473121929219</v>
      </c>
      <c r="BS166" s="31">
        <v>0.74874373581495279</v>
      </c>
      <c r="BT166" s="31">
        <v>0.58801276374301836</v>
      </c>
      <c r="BU166" s="31">
        <v>0.85796121894296173</v>
      </c>
      <c r="BV166" s="31">
        <v>0.79261706223486195</v>
      </c>
      <c r="BW166" s="31">
        <v>0.85904442655710844</v>
      </c>
      <c r="BX166" s="31">
        <v>0.88221556501083254</v>
      </c>
      <c r="BY166" s="31">
        <v>0.70750699541921902</v>
      </c>
      <c r="BZ166" s="31">
        <v>0.64739408223677319</v>
      </c>
      <c r="CA166" s="31">
        <v>0.68871707270728733</v>
      </c>
      <c r="CB166" s="31">
        <v>0.76166023267782934</v>
      </c>
      <c r="CC166" s="31">
        <v>0.57495842971969313</v>
      </c>
      <c r="CD166" s="31">
        <v>0.73365055374493648</v>
      </c>
      <c r="CE166" s="31">
        <v>0.7711840182350026</v>
      </c>
      <c r="CF166" s="31">
        <v>0.62305510313184864</v>
      </c>
      <c r="CG166" s="31">
        <v>0.63397975327251777</v>
      </c>
      <c r="CH166" s="31">
        <v>0.73770662052556346</v>
      </c>
      <c r="CI166" s="31">
        <v>0.75590084244591571</v>
      </c>
      <c r="CJ166" s="31">
        <v>0.65285539950776139</v>
      </c>
      <c r="CK166" s="31">
        <v>0.80797919867914192</v>
      </c>
      <c r="CL166" s="31">
        <v>0.76171550827828183</v>
      </c>
      <c r="CM166" s="31">
        <v>0.76411727193748047</v>
      </c>
      <c r="CN166" s="31">
        <v>0.81604458454507778</v>
      </c>
      <c r="CO166" s="33">
        <v>0.77576361314136477</v>
      </c>
    </row>
    <row r="167" spans="1:93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93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 t="s">
        <v>198</v>
      </c>
      <c r="AW168" s="3"/>
      <c r="AX168" s="3"/>
      <c r="AY168" s="3"/>
    </row>
    <row r="169" spans="1:93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93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29">
        <f t="array" ref="AW170:CN214">[1]!eVECTORS(AW20:CN63,100,FALSE)</f>
        <v>13.383033759894325</v>
      </c>
      <c r="AX170" s="30">
        <v>4.1086932775634635</v>
      </c>
      <c r="AY170" s="30">
        <v>2.8772258894369891</v>
      </c>
      <c r="AZ170" s="31">
        <v>2.5247540885382866</v>
      </c>
      <c r="BA170" s="31">
        <v>1.929701001007005</v>
      </c>
      <c r="BB170" s="31">
        <v>1.6282218229654424</v>
      </c>
      <c r="BC170" s="31">
        <v>1.4758366267872698</v>
      </c>
      <c r="BD170" s="31">
        <v>1.4076918031914389</v>
      </c>
      <c r="BE170" s="31">
        <v>1.3206899960175276</v>
      </c>
      <c r="BF170" s="31">
        <v>1.199030422067245</v>
      </c>
      <c r="BG170" s="31">
        <v>1.1541647871990708</v>
      </c>
      <c r="BH170" s="31">
        <v>0.98945075737507548</v>
      </c>
      <c r="BI170" s="31">
        <v>0.95985613579939499</v>
      </c>
      <c r="BJ170" s="31">
        <v>0.85509605929781618</v>
      </c>
      <c r="BK170" s="31">
        <v>0.7714465089064817</v>
      </c>
      <c r="BL170" s="31">
        <v>0.71583412088056519</v>
      </c>
      <c r="BM170" s="31">
        <v>0.64566516310734545</v>
      </c>
      <c r="BN170" s="31">
        <v>0.59976498894437968</v>
      </c>
      <c r="BO170" s="31">
        <v>0.53379389972488522</v>
      </c>
      <c r="BP170" s="31">
        <v>0.49038469759668846</v>
      </c>
      <c r="BQ170" s="31">
        <v>0.46455296427136628</v>
      </c>
      <c r="BR170" s="31">
        <v>0.41782759959289845</v>
      </c>
      <c r="BS170" s="31">
        <v>0.34032519454704274</v>
      </c>
      <c r="BT170" s="31">
        <v>0.30876408959903084</v>
      </c>
      <c r="BU170" s="31">
        <v>0.29280630488301135</v>
      </c>
      <c r="BV170" s="31">
        <v>0.2772953063069386</v>
      </c>
      <c r="BW170" s="31">
        <v>0.26513248409811718</v>
      </c>
      <c r="BX170" s="31">
        <v>0.2283653125796693</v>
      </c>
      <c r="BY170" s="31">
        <v>0.22108498073615895</v>
      </c>
      <c r="BZ170" s="31">
        <v>0.18205167576836781</v>
      </c>
      <c r="CA170" s="31">
        <v>0.18080652214398227</v>
      </c>
      <c r="CB170" s="31">
        <v>0.17100730447262052</v>
      </c>
      <c r="CC170" s="31">
        <v>0.15330312361563084</v>
      </c>
      <c r="CD170" s="31">
        <v>0.14291631146388548</v>
      </c>
      <c r="CE170" s="31">
        <v>0.12984604775648162</v>
      </c>
      <c r="CF170" s="31">
        <v>0.10592198760199421</v>
      </c>
      <c r="CG170" s="31">
        <v>9.8106061641290682E-2</v>
      </c>
      <c r="CH170" s="31">
        <v>8.7891705685530425E-2</v>
      </c>
      <c r="CI170" s="31">
        <v>8.4075734661547871E-2</v>
      </c>
      <c r="CJ170" s="31">
        <v>7.9156387248782059E-2</v>
      </c>
      <c r="CK170" s="31">
        <v>6.2986522535111514E-2</v>
      </c>
      <c r="CL170" s="31">
        <v>6.0150984472127488E-2</v>
      </c>
      <c r="CM170" s="31">
        <v>4.171467706296933E-2</v>
      </c>
      <c r="CN170" s="32">
        <v>3.3574910954760562E-2</v>
      </c>
    </row>
    <row r="171" spans="1:93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25">
        <v>-0.14547032337326482</v>
      </c>
      <c r="AX171" s="26">
        <v>-0.2186497100788436</v>
      </c>
      <c r="AY171" s="26">
        <v>-0.1473706255939935</v>
      </c>
      <c r="AZ171" s="18">
        <v>-0.16196854383382497</v>
      </c>
      <c r="BA171" s="18">
        <v>-0.16806404812747777</v>
      </c>
      <c r="BB171" s="18">
        <v>-4.3956556169661765E-2</v>
      </c>
      <c r="BC171" s="18">
        <v>-5.9415392489745589E-2</v>
      </c>
      <c r="BD171" s="18">
        <v>-1.8152388954287835E-2</v>
      </c>
      <c r="BE171" s="18">
        <v>-2.639082679047533E-2</v>
      </c>
      <c r="BF171" s="18">
        <v>-0.12705993975853325</v>
      </c>
      <c r="BG171" s="18">
        <v>-0.14231487607085525</v>
      </c>
      <c r="BH171" s="18">
        <v>-0.21379041888455919</v>
      </c>
      <c r="BI171" s="18">
        <v>-5.7881928198420862E-2</v>
      </c>
      <c r="BJ171" s="18">
        <v>-8.1736762283356024E-2</v>
      </c>
      <c r="BK171" s="18">
        <v>-0.1140743601015195</v>
      </c>
      <c r="BL171" s="18">
        <v>-0.24960237423107112</v>
      </c>
      <c r="BM171" s="18">
        <v>-6.8324969921017331E-2</v>
      </c>
      <c r="BN171" s="18">
        <v>-0.36378671665956541</v>
      </c>
      <c r="BO171" s="18">
        <v>-3.7511733194278474E-2</v>
      </c>
      <c r="BP171" s="18">
        <v>-6.6684818154182146E-2</v>
      </c>
      <c r="BQ171" s="18">
        <v>-0.18898739599420078</v>
      </c>
      <c r="BR171" s="18">
        <v>-3.9691127384966718E-2</v>
      </c>
      <c r="BS171" s="18">
        <v>-9.9175207610545657E-2</v>
      </c>
      <c r="BT171" s="18">
        <v>-0.12772677501941176</v>
      </c>
      <c r="BU171" s="18">
        <v>-8.5716261644761538E-3</v>
      </c>
      <c r="BV171" s="18">
        <v>-0.11793750409281212</v>
      </c>
      <c r="BW171" s="18">
        <v>-7.6515351039944779E-2</v>
      </c>
      <c r="BX171" s="18">
        <v>-0.15795803610862835</v>
      </c>
      <c r="BY171" s="18">
        <v>-5.8975409624906661E-2</v>
      </c>
      <c r="BZ171" s="18">
        <v>-0.31012998601303332</v>
      </c>
      <c r="CA171" s="18">
        <v>-0.21521289666547228</v>
      </c>
      <c r="CB171" s="18">
        <v>-1.338231836097048E-3</v>
      </c>
      <c r="CC171" s="18">
        <v>-6.9905843169130399E-2</v>
      </c>
      <c r="CD171" s="18">
        <v>-5.5233387654201938E-2</v>
      </c>
      <c r="CE171" s="18">
        <v>-0.18407693923254409</v>
      </c>
      <c r="CF171" s="18">
        <v>-0.30616993419730898</v>
      </c>
      <c r="CG171" s="18">
        <v>-0.26129269055448323</v>
      </c>
      <c r="CH171" s="18">
        <v>-8.2045885387405537E-2</v>
      </c>
      <c r="CI171" s="18">
        <v>-0.10356453864179072</v>
      </c>
      <c r="CJ171" s="18">
        <v>-9.6761731631291648E-2</v>
      </c>
      <c r="CK171" s="18">
        <v>-9.8523023510737273E-2</v>
      </c>
      <c r="CL171" s="18">
        <v>-0.12132667175448875</v>
      </c>
      <c r="CM171" s="18">
        <v>-0.16889705929855903</v>
      </c>
      <c r="CN171" s="19">
        <v>-1.4719876584183833E-2</v>
      </c>
    </row>
    <row r="172" spans="1:93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25">
        <v>-0.12029057761801878</v>
      </c>
      <c r="AX172" s="26">
        <v>-0.21028696002503061</v>
      </c>
      <c r="AY172" s="26">
        <v>-1.4188890208330588E-2</v>
      </c>
      <c r="AZ172" s="18">
        <v>-0.26465556884869396</v>
      </c>
      <c r="BA172" s="18">
        <v>-0.25352013227209669</v>
      </c>
      <c r="BB172" s="18">
        <v>0.15562992745421833</v>
      </c>
      <c r="BC172" s="18">
        <v>-5.7249014536366188E-2</v>
      </c>
      <c r="BD172" s="18">
        <v>0.11396510231097688</v>
      </c>
      <c r="BE172" s="18">
        <v>-3.6016308340514967E-2</v>
      </c>
      <c r="BF172" s="18">
        <v>-4.037822766685098E-2</v>
      </c>
      <c r="BG172" s="18">
        <v>-0.16686246155519904</v>
      </c>
      <c r="BH172" s="18">
        <v>2.9202218767341467E-2</v>
      </c>
      <c r="BI172" s="18">
        <v>0.14402808584264334</v>
      </c>
      <c r="BJ172" s="18">
        <v>-0.11155781861693045</v>
      </c>
      <c r="BK172" s="18">
        <v>-0.13247498837426502</v>
      </c>
      <c r="BL172" s="18">
        <v>-9.0331993855004775E-2</v>
      </c>
      <c r="BM172" s="18">
        <v>-8.2179258732824376E-2</v>
      </c>
      <c r="BN172" s="18">
        <v>0.11580627817591992</v>
      </c>
      <c r="BO172" s="18">
        <v>0.21622908447223904</v>
      </c>
      <c r="BP172" s="18">
        <v>0.21472494519708174</v>
      </c>
      <c r="BQ172" s="18">
        <v>0.17699249261497896</v>
      </c>
      <c r="BR172" s="18">
        <v>6.1316594400888123E-2</v>
      </c>
      <c r="BS172" s="18">
        <v>-0.25512942066174366</v>
      </c>
      <c r="BT172" s="18">
        <v>-0.1292130670007163</v>
      </c>
      <c r="BU172" s="18">
        <v>0.23275726633879731</v>
      </c>
      <c r="BV172" s="18">
        <v>-0.1813520759424368</v>
      </c>
      <c r="BW172" s="18">
        <v>-0.16638046858565306</v>
      </c>
      <c r="BX172" s="18">
        <v>-3.1070183153051573E-2</v>
      </c>
      <c r="BY172" s="18">
        <v>6.5385044889982064E-2</v>
      </c>
      <c r="BZ172" s="18">
        <v>0.12504207006641815</v>
      </c>
      <c r="CA172" s="18">
        <v>0.12647571386415954</v>
      </c>
      <c r="CB172" s="18">
        <v>8.1802292170097858E-3</v>
      </c>
      <c r="CC172" s="18">
        <v>0.34572199345163313</v>
      </c>
      <c r="CD172" s="18">
        <v>-9.0865681955386593E-2</v>
      </c>
      <c r="CE172" s="18">
        <v>-4.1136508429912101E-2</v>
      </c>
      <c r="CF172" s="18">
        <v>0.10631036074912223</v>
      </c>
      <c r="CG172" s="18">
        <v>5.6852511711488189E-2</v>
      </c>
      <c r="CH172" s="18">
        <v>-9.9147726727436769E-2</v>
      </c>
      <c r="CI172" s="18">
        <v>-5.6520483260426656E-2</v>
      </c>
      <c r="CJ172" s="18">
        <v>0.23565925137809479</v>
      </c>
      <c r="CK172" s="18">
        <v>0.2269931292434095</v>
      </c>
      <c r="CL172" s="18">
        <v>0.10722066062595331</v>
      </c>
      <c r="CM172" s="18">
        <v>0.11600838303865212</v>
      </c>
      <c r="CN172" s="19">
        <v>-7.1781384539684176E-2</v>
      </c>
    </row>
    <row r="173" spans="1:93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25">
        <v>-0.100902927534456</v>
      </c>
      <c r="AX173" s="26">
        <v>-0.18147205993081295</v>
      </c>
      <c r="AY173" s="26">
        <v>5.5796686691108828E-2</v>
      </c>
      <c r="AZ173" s="18">
        <v>0.11775377972466172</v>
      </c>
      <c r="BA173" s="18">
        <v>-0.10413705922995455</v>
      </c>
      <c r="BB173" s="18">
        <v>0.12536538197722449</v>
      </c>
      <c r="BC173" s="18">
        <v>-1.1559362462463503E-2</v>
      </c>
      <c r="BD173" s="18">
        <v>0.12542259824486432</v>
      </c>
      <c r="BE173" s="18">
        <v>-0.49360071869287364</v>
      </c>
      <c r="BF173" s="18">
        <v>4.0959696174642873E-2</v>
      </c>
      <c r="BG173" s="18">
        <v>0.13813804007646566</v>
      </c>
      <c r="BH173" s="18">
        <v>0.1168082234895355</v>
      </c>
      <c r="BI173" s="18">
        <v>6.5805642821637547E-2</v>
      </c>
      <c r="BJ173" s="18">
        <v>-2.9790616791482608E-2</v>
      </c>
      <c r="BK173" s="18">
        <v>0.10561281192651102</v>
      </c>
      <c r="BL173" s="18">
        <v>-1.0754290984647637E-2</v>
      </c>
      <c r="BM173" s="18">
        <v>0.3681900711219171</v>
      </c>
      <c r="BN173" s="18">
        <v>0.19694285662708072</v>
      </c>
      <c r="BO173" s="18">
        <v>-3.910574557375477E-2</v>
      </c>
      <c r="BP173" s="18">
        <v>0.3039626050899234</v>
      </c>
      <c r="BQ173" s="18">
        <v>-4.7890810209499673E-2</v>
      </c>
      <c r="BR173" s="18">
        <v>-0.36291445056141891</v>
      </c>
      <c r="BS173" s="18">
        <v>-2.0263710169060197E-2</v>
      </c>
      <c r="BT173" s="18">
        <v>0.17227569998242248</v>
      </c>
      <c r="BU173" s="18">
        <v>1.170226782142372E-3</v>
      </c>
      <c r="BV173" s="18">
        <v>-2.4451486315716243E-2</v>
      </c>
      <c r="BW173" s="18">
        <v>7.6685856298700741E-2</v>
      </c>
      <c r="BX173" s="18">
        <v>-1.7182536442695255E-4</v>
      </c>
      <c r="BY173" s="18">
        <v>-9.0017409174858412E-2</v>
      </c>
      <c r="BZ173" s="18">
        <v>6.7861732698197674E-2</v>
      </c>
      <c r="CA173" s="18">
        <v>-0.11385666513215828</v>
      </c>
      <c r="CB173" s="18">
        <v>0.1018149609100444</v>
      </c>
      <c r="CC173" s="18">
        <v>-7.9664411319013903E-2</v>
      </c>
      <c r="CD173" s="18">
        <v>-1.6708595741165736E-2</v>
      </c>
      <c r="CE173" s="18">
        <v>-8.4717717690268576E-2</v>
      </c>
      <c r="CF173" s="18">
        <v>-7.8151919006875514E-2</v>
      </c>
      <c r="CG173" s="18">
        <v>-0.22185512477926861</v>
      </c>
      <c r="CH173" s="18">
        <v>0.12585213876572976</v>
      </c>
      <c r="CI173" s="18">
        <v>-0.13382718226916743</v>
      </c>
      <c r="CJ173" s="18">
        <v>-8.7463443210451561E-2</v>
      </c>
      <c r="CK173" s="18">
        <v>0.10584898088040462</v>
      </c>
      <c r="CL173" s="18">
        <v>-4.5598908069346619E-2</v>
      </c>
      <c r="CM173" s="18">
        <v>-3.7120622667321114E-2</v>
      </c>
      <c r="CN173" s="19">
        <v>5.3647618628367116E-2</v>
      </c>
    </row>
    <row r="174" spans="1:93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25">
        <v>-0.16771878758260531</v>
      </c>
      <c r="AX174" s="26">
        <v>-0.21014280183310424</v>
      </c>
      <c r="AY174" s="26">
        <v>-4.8842402074747056E-2</v>
      </c>
      <c r="AZ174" s="18">
        <v>-0.11440974103291077</v>
      </c>
      <c r="BA174" s="18">
        <v>-0.15278541523420883</v>
      </c>
      <c r="BB174" s="18">
        <v>-1.1963789924131343E-2</v>
      </c>
      <c r="BC174" s="18">
        <v>-3.1738620747805799E-2</v>
      </c>
      <c r="BD174" s="18">
        <v>4.5064219237966698E-2</v>
      </c>
      <c r="BE174" s="18">
        <v>-0.2721708201080309</v>
      </c>
      <c r="BF174" s="18">
        <v>-0.1170327858514392</v>
      </c>
      <c r="BG174" s="18">
        <v>9.5213072969705159E-2</v>
      </c>
      <c r="BH174" s="18">
        <v>-0.20811392217252081</v>
      </c>
      <c r="BI174" s="18">
        <v>-6.2936356576122177E-2</v>
      </c>
      <c r="BJ174" s="18">
        <v>-1.2709001673144609E-2</v>
      </c>
      <c r="BK174" s="18">
        <v>0.2184808028447002</v>
      </c>
      <c r="BL174" s="18">
        <v>-0.10114750315526456</v>
      </c>
      <c r="BM174" s="18">
        <v>-0.10268708837011455</v>
      </c>
      <c r="BN174" s="18">
        <v>-8.938152071155113E-2</v>
      </c>
      <c r="BO174" s="18">
        <v>-0.10661652469021007</v>
      </c>
      <c r="BP174" s="18">
        <v>0.13092803094258079</v>
      </c>
      <c r="BQ174" s="18">
        <v>0.14295906886284246</v>
      </c>
      <c r="BR174" s="18">
        <v>6.6507435714029645E-2</v>
      </c>
      <c r="BS174" s="18">
        <v>0.15130293768251513</v>
      </c>
      <c r="BT174" s="18">
        <v>5.8765778513700469E-2</v>
      </c>
      <c r="BU174" s="18">
        <v>-0.14554817159147296</v>
      </c>
      <c r="BV174" s="18">
        <v>0.18699469258485757</v>
      </c>
      <c r="BW174" s="18">
        <v>4.8712530773410673E-2</v>
      </c>
      <c r="BX174" s="18">
        <v>-0.15896910100280678</v>
      </c>
      <c r="BY174" s="18">
        <v>0.22333683530289514</v>
      </c>
      <c r="BZ174" s="18">
        <v>8.6737782189079154E-2</v>
      </c>
      <c r="CA174" s="18">
        <v>-2.3592904372770087E-2</v>
      </c>
      <c r="CB174" s="18">
        <v>-0.41746758067959605</v>
      </c>
      <c r="CC174" s="18">
        <v>-3.3747545465718017E-2</v>
      </c>
      <c r="CD174" s="18">
        <v>0.26966215916178504</v>
      </c>
      <c r="CE174" s="18">
        <v>0.18238902983964031</v>
      </c>
      <c r="CF174" s="18">
        <v>-1.5375553485183935E-2</v>
      </c>
      <c r="CG174" s="18">
        <v>0.20564592205465934</v>
      </c>
      <c r="CH174" s="18">
        <v>7.4468595646388705E-2</v>
      </c>
      <c r="CI174" s="18">
        <v>0.128595971460119</v>
      </c>
      <c r="CJ174" s="18">
        <v>2.2723125499602682E-2</v>
      </c>
      <c r="CK174" s="18">
        <v>-0.15205729968363563</v>
      </c>
      <c r="CL174" s="18">
        <v>0.203960255687507</v>
      </c>
      <c r="CM174" s="18">
        <v>3.659413390178546E-2</v>
      </c>
      <c r="CN174" s="19">
        <v>-0.17573069262573537</v>
      </c>
    </row>
    <row r="175" spans="1:93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25">
        <v>-0.19429027741834681</v>
      </c>
      <c r="AX175" s="26">
        <v>-5.150883586764237E-2</v>
      </c>
      <c r="AY175" s="26">
        <v>8.2928754341641597E-2</v>
      </c>
      <c r="AZ175" s="18">
        <v>4.2870602188911727E-2</v>
      </c>
      <c r="BA175" s="18">
        <v>-0.17615644216534934</v>
      </c>
      <c r="BB175" s="18">
        <v>-1.2591561030826053E-2</v>
      </c>
      <c r="BC175" s="18">
        <v>-0.10338063989470575</v>
      </c>
      <c r="BD175" s="18">
        <v>0.13748229830909156</v>
      </c>
      <c r="BE175" s="18">
        <v>-0.10566852495488277</v>
      </c>
      <c r="BF175" s="18">
        <v>-2.3965203682385798E-2</v>
      </c>
      <c r="BG175" s="18">
        <v>4.6286053668903551E-2</v>
      </c>
      <c r="BH175" s="18">
        <v>8.6741113252374977E-2</v>
      </c>
      <c r="BI175" s="18">
        <v>6.1639287962696694E-2</v>
      </c>
      <c r="BJ175" s="18">
        <v>-0.22287024388896021</v>
      </c>
      <c r="BK175" s="18">
        <v>0.22437286016108846</v>
      </c>
      <c r="BL175" s="18">
        <v>8.3476901676227455E-2</v>
      </c>
      <c r="BM175" s="18">
        <v>-0.29601630914224486</v>
      </c>
      <c r="BN175" s="18">
        <v>0.23313687218726128</v>
      </c>
      <c r="BO175" s="18">
        <v>7.7268808994551255E-2</v>
      </c>
      <c r="BP175" s="18">
        <v>-0.24986820426018347</v>
      </c>
      <c r="BQ175" s="18">
        <v>-0.19238991000873998</v>
      </c>
      <c r="BR175" s="18">
        <v>0.20865703991458417</v>
      </c>
      <c r="BS175" s="18">
        <v>0.10989259940995154</v>
      </c>
      <c r="BT175" s="18">
        <v>0.18222845182839337</v>
      </c>
      <c r="BU175" s="18">
        <v>-6.3481904609281381E-2</v>
      </c>
      <c r="BV175" s="18">
        <v>0.1242407928002483</v>
      </c>
      <c r="BW175" s="18">
        <v>-0.32659293946966428</v>
      </c>
      <c r="BX175" s="18">
        <v>-5.9437600188521768E-2</v>
      </c>
      <c r="BY175" s="18">
        <v>-0.21952360373096955</v>
      </c>
      <c r="BZ175" s="18">
        <v>-1.7924174630332614E-2</v>
      </c>
      <c r="CA175" s="18">
        <v>0.13936516332519444</v>
      </c>
      <c r="CB175" s="18">
        <v>-4.7364214063221409E-2</v>
      </c>
      <c r="CC175" s="18">
        <v>-0.11323118752473336</v>
      </c>
      <c r="CD175" s="18">
        <v>-0.19190691729681517</v>
      </c>
      <c r="CE175" s="18">
        <v>-7.4847822378799889E-2</v>
      </c>
      <c r="CF175" s="18">
        <v>-9.8162649277141623E-3</v>
      </c>
      <c r="CG175" s="18">
        <v>-0.13571550321643266</v>
      </c>
      <c r="CH175" s="18">
        <v>5.549992108391405E-2</v>
      </c>
      <c r="CI175" s="18">
        <v>0.28649353313364267</v>
      </c>
      <c r="CJ175" s="18">
        <v>8.8737211831344046E-2</v>
      </c>
      <c r="CK175" s="18">
        <v>7.6616524040789863E-2</v>
      </c>
      <c r="CL175" s="18">
        <v>-4.514906632439504E-2</v>
      </c>
      <c r="CM175" s="18">
        <v>-0.12840281153286751</v>
      </c>
      <c r="CN175" s="19">
        <v>0.17510676549130338</v>
      </c>
    </row>
    <row r="176" spans="1:93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25">
        <v>-0.18599575797644044</v>
      </c>
      <c r="AX176" s="26">
        <v>-0.22495703178878254</v>
      </c>
      <c r="AY176" s="26">
        <v>-1.4158580650700459E-2</v>
      </c>
      <c r="AZ176" s="18">
        <v>8.5566163311279225E-2</v>
      </c>
      <c r="BA176" s="18">
        <v>0.16610133451582412</v>
      </c>
      <c r="BB176" s="18">
        <v>8.108537265272113E-2</v>
      </c>
      <c r="BC176" s="18">
        <v>3.7216796799936662E-2</v>
      </c>
      <c r="BD176" s="18">
        <v>7.1121125028052276E-2</v>
      </c>
      <c r="BE176" s="18">
        <v>9.2059026033796398E-2</v>
      </c>
      <c r="BF176" s="18">
        <v>-5.5538205503746746E-2</v>
      </c>
      <c r="BG176" s="18">
        <v>-1.2528801855803035E-2</v>
      </c>
      <c r="BH176" s="18">
        <v>3.7666676442858246E-2</v>
      </c>
      <c r="BI176" s="18">
        <v>-0.27027763269597793</v>
      </c>
      <c r="BJ176" s="18">
        <v>0.13376934547249625</v>
      </c>
      <c r="BK176" s="18">
        <v>-0.11070818259602229</v>
      </c>
      <c r="BL176" s="18">
        <v>-0.11758697200569511</v>
      </c>
      <c r="BM176" s="18">
        <v>-7.4975864191353769E-2</v>
      </c>
      <c r="BN176" s="18">
        <v>7.7564676756560202E-2</v>
      </c>
      <c r="BO176" s="18">
        <v>-0.10279159346641895</v>
      </c>
      <c r="BP176" s="18">
        <v>0.12063872939832411</v>
      </c>
      <c r="BQ176" s="18">
        <v>-8.8787439577612551E-2</v>
      </c>
      <c r="BR176" s="18">
        <v>4.0637225578925518E-2</v>
      </c>
      <c r="BS176" s="18">
        <v>0.20108191939953812</v>
      </c>
      <c r="BT176" s="18">
        <v>-5.1214406941607747E-2</v>
      </c>
      <c r="BU176" s="18">
        <v>-7.0796172817101004E-4</v>
      </c>
      <c r="BV176" s="18">
        <v>7.7332026946471399E-2</v>
      </c>
      <c r="BW176" s="18">
        <v>8.1254446843864236E-2</v>
      </c>
      <c r="BX176" s="18">
        <v>0.25495536142257824</v>
      </c>
      <c r="BY176" s="18">
        <v>0.22410819455590994</v>
      </c>
      <c r="BZ176" s="18">
        <v>-9.92348444309753E-2</v>
      </c>
      <c r="CA176" s="18">
        <v>3.2233965348042501E-2</v>
      </c>
      <c r="CB176" s="18">
        <v>-8.332818968817482E-2</v>
      </c>
      <c r="CC176" s="18">
        <v>9.7034112127573791E-2</v>
      </c>
      <c r="CD176" s="18">
        <v>-8.542676840375181E-2</v>
      </c>
      <c r="CE176" s="18">
        <v>-0.39595148848916628</v>
      </c>
      <c r="CF176" s="18">
        <v>2.7818322455219147E-2</v>
      </c>
      <c r="CG176" s="18">
        <v>4.0999737121379699E-2</v>
      </c>
      <c r="CH176" s="18">
        <v>0.1694003523074715</v>
      </c>
      <c r="CI176" s="18">
        <v>0.26189332263129178</v>
      </c>
      <c r="CJ176" s="18">
        <v>-8.3720303109578453E-2</v>
      </c>
      <c r="CK176" s="18">
        <v>0.26244878668419641</v>
      </c>
      <c r="CL176" s="18">
        <v>-0.30447783169905074</v>
      </c>
      <c r="CM176" s="18">
        <v>0.21140089866977646</v>
      </c>
      <c r="CN176" s="19">
        <v>-0.12248671913731243</v>
      </c>
    </row>
    <row r="177" spans="1:92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25">
        <v>-0.20745376214087027</v>
      </c>
      <c r="AX177" s="26">
        <v>-0.1856650740354073</v>
      </c>
      <c r="AY177" s="26">
        <v>-3.9336453956324603E-2</v>
      </c>
      <c r="AZ177" s="18">
        <v>3.4045485592999671E-2</v>
      </c>
      <c r="BA177" s="18">
        <v>0.11223393400741875</v>
      </c>
      <c r="BB177" s="18">
        <v>0.1260029566510634</v>
      </c>
      <c r="BC177" s="18">
        <v>-2.4589433305944843E-2</v>
      </c>
      <c r="BD177" s="18">
        <v>-6.9812701101195198E-3</v>
      </c>
      <c r="BE177" s="18">
        <v>-9.2570681909108759E-3</v>
      </c>
      <c r="BF177" s="18">
        <v>-0.12224936663864762</v>
      </c>
      <c r="BG177" s="18">
        <v>5.9710482831260535E-2</v>
      </c>
      <c r="BH177" s="18">
        <v>-8.4455286464238291E-2</v>
      </c>
      <c r="BI177" s="18">
        <v>-0.26164568857344439</v>
      </c>
      <c r="BJ177" s="18">
        <v>-2.9416936392163303E-2</v>
      </c>
      <c r="BK177" s="18">
        <v>-4.4614613191206354E-2</v>
      </c>
      <c r="BL177" s="18">
        <v>0.10865715190799745</v>
      </c>
      <c r="BM177" s="18">
        <v>2.8787850098742043E-2</v>
      </c>
      <c r="BN177" s="18">
        <v>5.5538764355287776E-2</v>
      </c>
      <c r="BO177" s="18">
        <v>-0.11490225561441963</v>
      </c>
      <c r="BP177" s="18">
        <v>-1.394774930891675E-2</v>
      </c>
      <c r="BQ177" s="18">
        <v>-4.7777883849583265E-2</v>
      </c>
      <c r="BR177" s="18">
        <v>3.567519869512736E-3</v>
      </c>
      <c r="BS177" s="18">
        <v>-2.3093183593879772E-2</v>
      </c>
      <c r="BT177" s="18">
        <v>4.1243828493765289E-2</v>
      </c>
      <c r="BU177" s="18">
        <v>0.10744815578110285</v>
      </c>
      <c r="BV177" s="18">
        <v>0.37908202221531417</v>
      </c>
      <c r="BW177" s="18">
        <v>0.12106506396450578</v>
      </c>
      <c r="BX177" s="18">
        <v>5.8868097775624989E-2</v>
      </c>
      <c r="BY177" s="18">
        <v>0.19471858772072376</v>
      </c>
      <c r="BZ177" s="18">
        <v>-0.1547201329161072</v>
      </c>
      <c r="CA177" s="18">
        <v>-8.559874302990822E-2</v>
      </c>
      <c r="CB177" s="18">
        <v>0.3026301209840887</v>
      </c>
      <c r="CC177" s="18">
        <v>5.407576391099328E-2</v>
      </c>
      <c r="CD177" s="18">
        <v>-0.12920971485059957</v>
      </c>
      <c r="CE177" s="18">
        <v>4.7764900380598947E-2</v>
      </c>
      <c r="CF177" s="18">
        <v>9.8314324986808879E-2</v>
      </c>
      <c r="CG177" s="18">
        <v>6.9721175881396091E-2</v>
      </c>
      <c r="CH177" s="18">
        <v>-0.3546802019627438</v>
      </c>
      <c r="CI177" s="18">
        <v>-7.9959140296886222E-2</v>
      </c>
      <c r="CJ177" s="18">
        <v>0.21119372360576638</v>
      </c>
      <c r="CK177" s="18">
        <v>-6.1221045285303657E-2</v>
      </c>
      <c r="CL177" s="18">
        <v>0.28667408461030913</v>
      </c>
      <c r="CM177" s="18">
        <v>-0.13044742566244705</v>
      </c>
      <c r="CN177" s="19">
        <v>0.33115585297576022</v>
      </c>
    </row>
    <row r="178" spans="1:92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25">
        <v>-0.18603261034246735</v>
      </c>
      <c r="AX178" s="26">
        <v>-0.18403345410517127</v>
      </c>
      <c r="AY178" s="26">
        <v>-0.13526266677349849</v>
      </c>
      <c r="AZ178" s="18">
        <v>4.9499442180802676E-2</v>
      </c>
      <c r="BA178" s="18">
        <v>1.245986267645611E-2</v>
      </c>
      <c r="BB178" s="18">
        <v>-8.9572799572668116E-2</v>
      </c>
      <c r="BC178" s="18">
        <v>7.0966104971193364E-2</v>
      </c>
      <c r="BD178" s="18">
        <v>0.16344124375959329</v>
      </c>
      <c r="BE178" s="18">
        <v>0.15614874069790491</v>
      </c>
      <c r="BF178" s="18">
        <v>2.4570760273078411E-2</v>
      </c>
      <c r="BG178" s="18">
        <v>0.10190580605690328</v>
      </c>
      <c r="BH178" s="18">
        <v>9.7018235195938399E-2</v>
      </c>
      <c r="BI178" s="18">
        <v>-4.7639197406260519E-2</v>
      </c>
      <c r="BJ178" s="18">
        <v>0.23494631387102494</v>
      </c>
      <c r="BK178" s="18">
        <v>-0.12189170423588629</v>
      </c>
      <c r="BL178" s="18">
        <v>-0.29015271468568365</v>
      </c>
      <c r="BM178" s="18">
        <v>6.0816594610215782E-2</v>
      </c>
      <c r="BN178" s="18">
        <v>-0.12006302674560627</v>
      </c>
      <c r="BO178" s="18">
        <v>-4.209176966218324E-2</v>
      </c>
      <c r="BP178" s="18">
        <v>-9.2390603141315614E-2</v>
      </c>
      <c r="BQ178" s="18">
        <v>0.14318327442930917</v>
      </c>
      <c r="BR178" s="18">
        <v>9.7970215012290515E-2</v>
      </c>
      <c r="BS178" s="18">
        <v>8.1030957592798769E-2</v>
      </c>
      <c r="BT178" s="18">
        <v>0.22623610594760896</v>
      </c>
      <c r="BU178" s="18">
        <v>-1.0327347014290384E-2</v>
      </c>
      <c r="BV178" s="18">
        <v>-0.1413742388849217</v>
      </c>
      <c r="BW178" s="18">
        <v>-0.14822175414189973</v>
      </c>
      <c r="BX178" s="18">
        <v>-3.5424734687547581E-2</v>
      </c>
      <c r="BY178" s="18">
        <v>-1.3190132274980321E-3</v>
      </c>
      <c r="BZ178" s="18">
        <v>0.24332892201331505</v>
      </c>
      <c r="CA178" s="18">
        <v>0.17421075080527287</v>
      </c>
      <c r="CB178" s="18">
        <v>-7.3338812906337397E-2</v>
      </c>
      <c r="CC178" s="18">
        <v>9.2607878076675046E-2</v>
      </c>
      <c r="CD178" s="18">
        <v>-0.14961840764670056</v>
      </c>
      <c r="CE178" s="18">
        <v>3.6880886859997165E-2</v>
      </c>
      <c r="CF178" s="18">
        <v>0.15011401355434528</v>
      </c>
      <c r="CG178" s="18">
        <v>-3.9851120586683608E-2</v>
      </c>
      <c r="CH178" s="18">
        <v>0.17369799704047703</v>
      </c>
      <c r="CI178" s="18">
        <v>-0.24193425357523296</v>
      </c>
      <c r="CJ178" s="18">
        <v>-0.27256665893162058</v>
      </c>
      <c r="CK178" s="18">
        <v>-0.18488907182495617</v>
      </c>
      <c r="CL178" s="18">
        <v>9.8239350395391459E-2</v>
      </c>
      <c r="CM178" s="18">
        <v>-7.3003826295617831E-3</v>
      </c>
      <c r="CN178" s="19">
        <v>0.38948136210808382</v>
      </c>
    </row>
    <row r="179" spans="1:92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25">
        <v>-0.19368862274372073</v>
      </c>
      <c r="AX179" s="26">
        <v>-0.18228334003692348</v>
      </c>
      <c r="AY179" s="26">
        <v>0.10739400528355486</v>
      </c>
      <c r="AZ179" s="18">
        <v>0.16733647327550857</v>
      </c>
      <c r="BA179" s="18">
        <v>0.11234128443600691</v>
      </c>
      <c r="BB179" s="18">
        <v>-3.1486035695160709E-2</v>
      </c>
      <c r="BC179" s="18">
        <v>-1.7736193088609773E-2</v>
      </c>
      <c r="BD179" s="18">
        <v>8.4145260783339434E-2</v>
      </c>
      <c r="BE179" s="18">
        <v>7.4864549076243875E-2</v>
      </c>
      <c r="BF179" s="18">
        <v>-3.2654955618097579E-2</v>
      </c>
      <c r="BG179" s="18">
        <v>-0.10351722909663898</v>
      </c>
      <c r="BH179" s="18">
        <v>0.14355206521116293</v>
      </c>
      <c r="BI179" s="18">
        <v>6.2811660854864865E-2</v>
      </c>
      <c r="BJ179" s="18">
        <v>7.2840684218675081E-2</v>
      </c>
      <c r="BK179" s="18">
        <v>-9.9151800498415932E-2</v>
      </c>
      <c r="BL179" s="18">
        <v>0.11885369151218553</v>
      </c>
      <c r="BM179" s="18">
        <v>-9.4034756856875831E-2</v>
      </c>
      <c r="BN179" s="18">
        <v>-0.11387450479100714</v>
      </c>
      <c r="BO179" s="18">
        <v>-0.11080456617142777</v>
      </c>
      <c r="BP179" s="18">
        <v>-5.865181749491942E-2</v>
      </c>
      <c r="BQ179" s="18">
        <v>-2.7484820936124345E-2</v>
      </c>
      <c r="BR179" s="18">
        <v>-0.33911978628824324</v>
      </c>
      <c r="BS179" s="18">
        <v>-0.19589444387911017</v>
      </c>
      <c r="BT179" s="18">
        <v>0.14274326743576021</v>
      </c>
      <c r="BU179" s="18">
        <v>5.7294629869686163E-2</v>
      </c>
      <c r="BV179" s="18">
        <v>4.3534763067193706E-2</v>
      </c>
      <c r="BW179" s="18">
        <v>-0.23924432035692386</v>
      </c>
      <c r="BX179" s="18">
        <v>0.14869708142767657</v>
      </c>
      <c r="BY179" s="18">
        <v>-0.13917384106616662</v>
      </c>
      <c r="BZ179" s="18">
        <v>-0.16343454662239087</v>
      </c>
      <c r="CA179" s="18">
        <v>0.13020939174022175</v>
      </c>
      <c r="CB179" s="18">
        <v>6.0940349285009368E-2</v>
      </c>
      <c r="CC179" s="18">
        <v>-7.050339733659787E-2</v>
      </c>
      <c r="CD179" s="18">
        <v>-0.17501544150634171</v>
      </c>
      <c r="CE179" s="18">
        <v>0.18685283709499848</v>
      </c>
      <c r="CF179" s="18">
        <v>-0.17553375461193596</v>
      </c>
      <c r="CG179" s="18">
        <v>0.16946489242289955</v>
      </c>
      <c r="CH179" s="18">
        <v>8.0582292840319605E-2</v>
      </c>
      <c r="CI179" s="18">
        <v>5.0608971749527144E-2</v>
      </c>
      <c r="CJ179" s="18">
        <v>-4.3973269023350595E-2</v>
      </c>
      <c r="CK179" s="18">
        <v>-0.18403752987893685</v>
      </c>
      <c r="CL179" s="18">
        <v>0.25519615656050576</v>
      </c>
      <c r="CM179" s="18">
        <v>0.21351710646421501</v>
      </c>
      <c r="CN179" s="19">
        <v>-0.38546618229321028</v>
      </c>
    </row>
    <row r="180" spans="1:92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25">
        <v>-0.19019276549039008</v>
      </c>
      <c r="AX180" s="26">
        <v>-8.5298945026813427E-2</v>
      </c>
      <c r="AY180" s="26">
        <v>-0.15452995779046788</v>
      </c>
      <c r="AZ180" s="18">
        <v>5.6924076816069671E-3</v>
      </c>
      <c r="BA180" s="18">
        <v>3.6341209531322069E-2</v>
      </c>
      <c r="BB180" s="18">
        <v>-9.7706994823246213E-2</v>
      </c>
      <c r="BC180" s="18">
        <v>0.23994912070570473</v>
      </c>
      <c r="BD180" s="18">
        <v>0.12506462676994951</v>
      </c>
      <c r="BE180" s="18">
        <v>1.356422057750058E-2</v>
      </c>
      <c r="BF180" s="18">
        <v>-6.0319154138877416E-2</v>
      </c>
      <c r="BG180" s="18">
        <v>-0.21327037233989349</v>
      </c>
      <c r="BH180" s="18">
        <v>1.4316695519002182E-2</v>
      </c>
      <c r="BI180" s="18">
        <v>0.20498793843261615</v>
      </c>
      <c r="BJ180" s="18">
        <v>0.27544354015596118</v>
      </c>
      <c r="BK180" s="18">
        <v>-0.1124083943894882</v>
      </c>
      <c r="BL180" s="18">
        <v>4.1852373223313297E-2</v>
      </c>
      <c r="BM180" s="18">
        <v>5.389811830656864E-3</v>
      </c>
      <c r="BN180" s="18">
        <v>2.4614754202313509E-2</v>
      </c>
      <c r="BO180" s="18">
        <v>-5.7381139983150448E-2</v>
      </c>
      <c r="BP180" s="18">
        <v>-0.19412367220211252</v>
      </c>
      <c r="BQ180" s="18">
        <v>0.22114112506159872</v>
      </c>
      <c r="BR180" s="18">
        <v>-1.8643128762234524E-2</v>
      </c>
      <c r="BS180" s="18">
        <v>-2.4924645517159744E-2</v>
      </c>
      <c r="BT180" s="18">
        <v>0.11859704703068569</v>
      </c>
      <c r="BU180" s="18">
        <v>4.2907505526606153E-2</v>
      </c>
      <c r="BV180" s="18">
        <v>0.19279197433538187</v>
      </c>
      <c r="BW180" s="18">
        <v>0.19499747548297056</v>
      </c>
      <c r="BX180" s="18">
        <v>-9.0350406961920912E-2</v>
      </c>
      <c r="BY180" s="18">
        <v>-0.22312473490578277</v>
      </c>
      <c r="BZ180" s="18">
        <v>-8.4193221557402932E-4</v>
      </c>
      <c r="CA180" s="18">
        <v>-0.16808237007840737</v>
      </c>
      <c r="CB180" s="18">
        <v>-8.8476084003194372E-2</v>
      </c>
      <c r="CC180" s="18">
        <v>-0.10457216560999197</v>
      </c>
      <c r="CD180" s="18">
        <v>5.0437492830517697E-2</v>
      </c>
      <c r="CE180" s="18">
        <v>0.1043401837066868</v>
      </c>
      <c r="CF180" s="18">
        <v>3.4889804616338692E-2</v>
      </c>
      <c r="CG180" s="18">
        <v>-1.5703384710538202E-2</v>
      </c>
      <c r="CH180" s="18">
        <v>0.11933603798882357</v>
      </c>
      <c r="CI180" s="18">
        <v>-8.4988893068065854E-2</v>
      </c>
      <c r="CJ180" s="18">
        <v>0.47440221238823577</v>
      </c>
      <c r="CK180" s="18">
        <v>0.11603638943862943</v>
      </c>
      <c r="CL180" s="18">
        <v>-0.31669764701589209</v>
      </c>
      <c r="CM180" s="18">
        <v>-6.258519253387175E-2</v>
      </c>
      <c r="CN180" s="19">
        <v>-1.118999299894286E-2</v>
      </c>
    </row>
    <row r="181" spans="1:92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25">
        <v>-0.19792250630714631</v>
      </c>
      <c r="AX181" s="26">
        <v>-0.17672225501162647</v>
      </c>
      <c r="AY181" s="26">
        <v>4.5540245244847233E-2</v>
      </c>
      <c r="AZ181" s="18">
        <v>-2.9414037329527475E-2</v>
      </c>
      <c r="BA181" s="18">
        <v>0.1464408399436796</v>
      </c>
      <c r="BB181" s="18">
        <v>0.16458599672850543</v>
      </c>
      <c r="BC181" s="18">
        <v>0.14834880613716711</v>
      </c>
      <c r="BD181" s="18">
        <v>3.3774883158077744E-2</v>
      </c>
      <c r="BE181" s="18">
        <v>4.9164578159659841E-2</v>
      </c>
      <c r="BF181" s="18">
        <v>0.15605977460054096</v>
      </c>
      <c r="BG181" s="18">
        <v>0.12113685645427733</v>
      </c>
      <c r="BH181" s="18">
        <v>3.1201209004323011E-2</v>
      </c>
      <c r="BI181" s="18">
        <v>0.10751992444402804</v>
      </c>
      <c r="BJ181" s="18">
        <v>-8.4476429653579321E-2</v>
      </c>
      <c r="BK181" s="18">
        <v>0.1074678377480825</v>
      </c>
      <c r="BL181" s="18">
        <v>-1.1246993746034821E-2</v>
      </c>
      <c r="BM181" s="18">
        <v>3.6051147623400136E-3</v>
      </c>
      <c r="BN181" s="18">
        <v>-0.19266584473384094</v>
      </c>
      <c r="BO181" s="18">
        <v>0.19766858299441548</v>
      </c>
      <c r="BP181" s="18">
        <v>-8.5885402694507673E-2</v>
      </c>
      <c r="BQ181" s="18">
        <v>-2.8634104747902858E-2</v>
      </c>
      <c r="BR181" s="18">
        <v>-2.2577389853546494E-2</v>
      </c>
      <c r="BS181" s="18">
        <v>0.14849134099043784</v>
      </c>
      <c r="BT181" s="18">
        <v>-0.10071768884319537</v>
      </c>
      <c r="BU181" s="18">
        <v>6.0183955083651895E-2</v>
      </c>
      <c r="BV181" s="18">
        <v>-5.5119137618394064E-2</v>
      </c>
      <c r="BW181" s="18">
        <v>0.15801081996682051</v>
      </c>
      <c r="BX181" s="18">
        <v>2.4504570136685978E-2</v>
      </c>
      <c r="BY181" s="18">
        <v>-6.738575107440388E-2</v>
      </c>
      <c r="BZ181" s="18">
        <v>3.1053418571344221E-2</v>
      </c>
      <c r="CA181" s="18">
        <v>-0.10063447383237202</v>
      </c>
      <c r="CB181" s="18">
        <v>0.20283321317634681</v>
      </c>
      <c r="CC181" s="18">
        <v>0.38182285101464231</v>
      </c>
      <c r="CD181" s="18">
        <v>7.2198692592165714E-2</v>
      </c>
      <c r="CE181" s="18">
        <v>0.46237986910952172</v>
      </c>
      <c r="CF181" s="18">
        <v>-0.10602183613932231</v>
      </c>
      <c r="CG181" s="18">
        <v>-3.4066183219700057E-2</v>
      </c>
      <c r="CH181" s="18">
        <v>3.0180185110252545E-2</v>
      </c>
      <c r="CI181" s="18">
        <v>0.31375513234010577</v>
      </c>
      <c r="CJ181" s="18">
        <v>-0.19181796043694729</v>
      </c>
      <c r="CK181" s="18">
        <v>7.6917333312679623E-2</v>
      </c>
      <c r="CL181" s="18">
        <v>-0.13856442471490524</v>
      </c>
      <c r="CM181" s="18">
        <v>-0.19376936546834364</v>
      </c>
      <c r="CN181" s="19">
        <v>-8.2322736514952709E-3</v>
      </c>
    </row>
    <row r="182" spans="1:92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25">
        <v>-0.19690180295460044</v>
      </c>
      <c r="AX182" s="26">
        <v>-0.13544736758109716</v>
      </c>
      <c r="AY182" s="26">
        <v>5.0860418011648832E-2</v>
      </c>
      <c r="AZ182" s="18">
        <v>0.22619202419484694</v>
      </c>
      <c r="BA182" s="18">
        <v>8.9734041651254537E-2</v>
      </c>
      <c r="BB182" s="18">
        <v>-1.808473604421473E-2</v>
      </c>
      <c r="BC182" s="18">
        <v>3.9801831810837809E-2</v>
      </c>
      <c r="BD182" s="18">
        <v>-2.6742659017457704E-2</v>
      </c>
      <c r="BE182" s="18">
        <v>0.11157122745293663</v>
      </c>
      <c r="BF182" s="18">
        <v>0.22273656799157504</v>
      </c>
      <c r="BG182" s="18">
        <v>3.6784305244517895E-2</v>
      </c>
      <c r="BH182" s="18">
        <v>-9.5812898118832757E-4</v>
      </c>
      <c r="BI182" s="18">
        <v>0.102491796000279</v>
      </c>
      <c r="BJ182" s="18">
        <v>0.14293057646745033</v>
      </c>
      <c r="BK182" s="18">
        <v>-5.8813495461854819E-2</v>
      </c>
      <c r="BL182" s="18">
        <v>-8.4180392912164038E-3</v>
      </c>
      <c r="BM182" s="18">
        <v>9.6049925220260249E-2</v>
      </c>
      <c r="BN182" s="18">
        <v>0.12653331709044202</v>
      </c>
      <c r="BO182" s="18">
        <v>-1.8410603268832211E-2</v>
      </c>
      <c r="BP182" s="18">
        <v>-0.22488665224581869</v>
      </c>
      <c r="BQ182" s="18">
        <v>7.2605215028473391E-2</v>
      </c>
      <c r="BR182" s="18">
        <v>-5.171581798149686E-2</v>
      </c>
      <c r="BS182" s="18">
        <v>0.12814572655092293</v>
      </c>
      <c r="BT182" s="18">
        <v>-0.23492220011677387</v>
      </c>
      <c r="BU182" s="18">
        <v>-1.5164888387284419E-2</v>
      </c>
      <c r="BV182" s="18">
        <v>-0.23939361392302555</v>
      </c>
      <c r="BW182" s="18">
        <v>-5.6477467689446274E-2</v>
      </c>
      <c r="BX182" s="18">
        <v>-0.23936971071175764</v>
      </c>
      <c r="BY182" s="18">
        <v>1.3175631673668418E-2</v>
      </c>
      <c r="BZ182" s="18">
        <v>-2.3438229665669965E-2</v>
      </c>
      <c r="CA182" s="18">
        <v>-0.13558168964531939</v>
      </c>
      <c r="CB182" s="18">
        <v>-0.10401565138855808</v>
      </c>
      <c r="CC182" s="18">
        <v>-0.18737640043366779</v>
      </c>
      <c r="CD182" s="18">
        <v>0.19840879417165663</v>
      </c>
      <c r="CE182" s="18">
        <v>-0.16142323652125623</v>
      </c>
      <c r="CF182" s="18">
        <v>9.0083203236345555E-2</v>
      </c>
      <c r="CG182" s="18">
        <v>-0.14542083885405638</v>
      </c>
      <c r="CH182" s="18">
        <v>-0.21953074961364571</v>
      </c>
      <c r="CI182" s="18">
        <v>0.12181974243735184</v>
      </c>
      <c r="CJ182" s="18">
        <v>-1.9845503211605529E-2</v>
      </c>
      <c r="CK182" s="18">
        <v>0.30172504491164454</v>
      </c>
      <c r="CL182" s="18">
        <v>0.432910272942441</v>
      </c>
      <c r="CM182" s="18">
        <v>-2.2143350023080266E-2</v>
      </c>
      <c r="CN182" s="19">
        <v>-6.8983724342138508E-2</v>
      </c>
    </row>
    <row r="183" spans="1:92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25">
        <v>-0.19328390536422044</v>
      </c>
      <c r="AX183" s="26">
        <v>-0.11662611061237223</v>
      </c>
      <c r="AY183" s="26">
        <v>2.7192859916195397E-2</v>
      </c>
      <c r="AZ183" s="18">
        <v>0.10721216716679818</v>
      </c>
      <c r="BA183" s="18">
        <v>0.15354315023892243</v>
      </c>
      <c r="BB183" s="18">
        <v>0.18276424354381601</v>
      </c>
      <c r="BC183" s="18">
        <v>5.9000104149945602E-3</v>
      </c>
      <c r="BD183" s="18">
        <v>-1.5226047154170653E-3</v>
      </c>
      <c r="BE183" s="18">
        <v>5.9139426697367631E-2</v>
      </c>
      <c r="BF183" s="18">
        <v>0.16556001076084909</v>
      </c>
      <c r="BG183" s="18">
        <v>0.21523674465834611</v>
      </c>
      <c r="BH183" s="18">
        <v>-7.8089675056919411E-2</v>
      </c>
      <c r="BI183" s="18">
        <v>-0.14847416112023906</v>
      </c>
      <c r="BJ183" s="18">
        <v>-4.8830969750992957E-2</v>
      </c>
      <c r="BK183" s="18">
        <v>0.10356675963847539</v>
      </c>
      <c r="BL183" s="18">
        <v>3.6814604731179798E-2</v>
      </c>
      <c r="BM183" s="18">
        <v>-0.11753544951731378</v>
      </c>
      <c r="BN183" s="18">
        <v>0.1841730502567846</v>
      </c>
      <c r="BO183" s="18">
        <v>0.40049814052498661</v>
      </c>
      <c r="BP183" s="18">
        <v>2.8502162680187522E-2</v>
      </c>
      <c r="BQ183" s="18">
        <v>0.12664654105608486</v>
      </c>
      <c r="BR183" s="18">
        <v>3.1078334376719335E-2</v>
      </c>
      <c r="BS183" s="18">
        <v>5.9385399226438734E-2</v>
      </c>
      <c r="BT183" s="18">
        <v>-7.7802716862922602E-2</v>
      </c>
      <c r="BU183" s="18">
        <v>-6.3632748371697939E-2</v>
      </c>
      <c r="BV183" s="18">
        <v>-6.6401327948847066E-2</v>
      </c>
      <c r="BW183" s="18">
        <v>-0.17430944087762498</v>
      </c>
      <c r="BX183" s="18">
        <v>6.047801552488985E-2</v>
      </c>
      <c r="BY183" s="18">
        <v>-0.17095136568062685</v>
      </c>
      <c r="BZ183" s="18">
        <v>-6.4555997334784954E-2</v>
      </c>
      <c r="CA183" s="18">
        <v>-0.10760498684331357</v>
      </c>
      <c r="CB183" s="18">
        <v>-1.3162614463015521E-2</v>
      </c>
      <c r="CC183" s="18">
        <v>-6.2516921762373348E-2</v>
      </c>
      <c r="CD183" s="18">
        <v>0.18040714438186503</v>
      </c>
      <c r="CE183" s="18">
        <v>-0.14819932802578561</v>
      </c>
      <c r="CF183" s="18">
        <v>-2.8348515233693063E-2</v>
      </c>
      <c r="CG183" s="18">
        <v>0.22475373895539985</v>
      </c>
      <c r="CH183" s="18">
        <v>-0.11598609024105216</v>
      </c>
      <c r="CI183" s="18">
        <v>-0.39028107076709689</v>
      </c>
      <c r="CJ183" s="18">
        <v>5.1786686924820732E-2</v>
      </c>
      <c r="CK183" s="18">
        <v>-0.2954512551819628</v>
      </c>
      <c r="CL183" s="18">
        <v>-0.24100651225939976</v>
      </c>
      <c r="CM183" s="18">
        <v>-1.0927637129308488E-2</v>
      </c>
      <c r="CN183" s="19">
        <v>-0.11440476280284265</v>
      </c>
    </row>
    <row r="184" spans="1:92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25">
        <v>-9.3354917562078935E-2</v>
      </c>
      <c r="AX184" s="26">
        <v>0.19535298283531694</v>
      </c>
      <c r="AY184" s="26">
        <v>-0.31793234022901484</v>
      </c>
      <c r="AZ184" s="18">
        <v>-0.16560910023746281</v>
      </c>
      <c r="BA184" s="18">
        <v>-8.9103977669544643E-2</v>
      </c>
      <c r="BB184" s="18">
        <v>0.18876604428995003</v>
      </c>
      <c r="BC184" s="18">
        <v>5.904501736270934E-2</v>
      </c>
      <c r="BD184" s="18">
        <v>0.11935227164273891</v>
      </c>
      <c r="BE184" s="18">
        <v>7.7752167946376918E-2</v>
      </c>
      <c r="BF184" s="18">
        <v>8.6049891445132823E-2</v>
      </c>
      <c r="BG184" s="18">
        <v>0.19157935861348394</v>
      </c>
      <c r="BH184" s="18">
        <v>0.18720218924814633</v>
      </c>
      <c r="BI184" s="18">
        <v>-0.22055703980539526</v>
      </c>
      <c r="BJ184" s="18">
        <v>6.3410919546192879E-2</v>
      </c>
      <c r="BK184" s="18">
        <v>-2.3656804226274723E-3</v>
      </c>
      <c r="BL184" s="18">
        <v>0.16076654933698739</v>
      </c>
      <c r="BM184" s="18">
        <v>3.3023601168902732E-2</v>
      </c>
      <c r="BN184" s="18">
        <v>-3.0579295957007757E-2</v>
      </c>
      <c r="BO184" s="18">
        <v>0.11332578413799642</v>
      </c>
      <c r="BP184" s="18">
        <v>-0.16811184705915805</v>
      </c>
      <c r="BQ184" s="18">
        <v>-9.9006966406337729E-2</v>
      </c>
      <c r="BR184" s="18">
        <v>-0.10498359627988323</v>
      </c>
      <c r="BS184" s="18">
        <v>-7.3123661426379757E-2</v>
      </c>
      <c r="BT184" s="18">
        <v>8.6777805654036061E-2</v>
      </c>
      <c r="BU184" s="18">
        <v>-0.21603375506026376</v>
      </c>
      <c r="BV184" s="18">
        <v>0.10748359225783005</v>
      </c>
      <c r="BW184" s="18">
        <v>-1.7324405281117786E-2</v>
      </c>
      <c r="BX184" s="18">
        <v>-4.2231365161881973E-2</v>
      </c>
      <c r="BY184" s="18">
        <v>0.18297528748391539</v>
      </c>
      <c r="BZ184" s="18">
        <v>-0.10362150827894857</v>
      </c>
      <c r="CA184" s="18">
        <v>0.22895675185548664</v>
      </c>
      <c r="CB184" s="18">
        <v>-7.0230869504805199E-2</v>
      </c>
      <c r="CC184" s="18">
        <v>0.1356495596796311</v>
      </c>
      <c r="CD184" s="18">
        <v>0.14591823244784374</v>
      </c>
      <c r="CE184" s="18">
        <v>7.8390151294547683E-2</v>
      </c>
      <c r="CF184" s="18">
        <v>3.0725054389013171E-2</v>
      </c>
      <c r="CG184" s="18">
        <v>-0.47207892222974746</v>
      </c>
      <c r="CH184" s="18">
        <v>-2.7309204314154362E-2</v>
      </c>
      <c r="CI184" s="18">
        <v>-0.12470444624021723</v>
      </c>
      <c r="CJ184" s="18">
        <v>9.3671710743292072E-2</v>
      </c>
      <c r="CK184" s="18">
        <v>2.1645783561474459E-2</v>
      </c>
      <c r="CL184" s="18">
        <v>2.5864828573376238E-2</v>
      </c>
      <c r="CM184" s="18">
        <v>0.13716958115815445</v>
      </c>
      <c r="CN184" s="19">
        <v>-0.21499313519284763</v>
      </c>
    </row>
    <row r="185" spans="1:92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25">
        <v>-0.12289899250660605</v>
      </c>
      <c r="AX185" s="26">
        <v>0.2297306341733181</v>
      </c>
      <c r="AY185" s="26">
        <v>-0.15365731237760927</v>
      </c>
      <c r="AZ185" s="18">
        <v>-0.20795884364789707</v>
      </c>
      <c r="BA185" s="18">
        <v>-3.1837277688270042E-2</v>
      </c>
      <c r="BB185" s="18">
        <v>0.27503906967804614</v>
      </c>
      <c r="BC185" s="18">
        <v>0.27498622965734643</v>
      </c>
      <c r="BD185" s="18">
        <v>6.9377347485927623E-2</v>
      </c>
      <c r="BE185" s="18">
        <v>-1.2719200421324975E-3</v>
      </c>
      <c r="BF185" s="18">
        <v>-8.7335984389238147E-2</v>
      </c>
      <c r="BG185" s="18">
        <v>2.1093773540447912E-2</v>
      </c>
      <c r="BH185" s="18">
        <v>-7.0475692432147463E-2</v>
      </c>
      <c r="BI185" s="18">
        <v>5.7793245357270574E-2</v>
      </c>
      <c r="BJ185" s="18">
        <v>8.1586276799139629E-2</v>
      </c>
      <c r="BK185" s="18">
        <v>-4.5907153936259465E-3</v>
      </c>
      <c r="BL185" s="18">
        <v>1.2147072641853988E-2</v>
      </c>
      <c r="BM185" s="18">
        <v>-5.8065407786609881E-2</v>
      </c>
      <c r="BN185" s="18">
        <v>2.1013524716772751E-2</v>
      </c>
      <c r="BO185" s="18">
        <v>-0.13758473883093636</v>
      </c>
      <c r="BP185" s="18">
        <v>6.2328068271259661E-2</v>
      </c>
      <c r="BQ185" s="18">
        <v>-0.12018586157599229</v>
      </c>
      <c r="BR185" s="18">
        <v>-0.20380745443963669</v>
      </c>
      <c r="BS185" s="18">
        <v>-0.17636969535407918</v>
      </c>
      <c r="BT185" s="18">
        <v>0.11916511300838503</v>
      </c>
      <c r="BU185" s="18">
        <v>-0.22911493117498924</v>
      </c>
      <c r="BV185" s="18">
        <v>-0.25232362921072971</v>
      </c>
      <c r="BW185" s="18">
        <v>-0.21793459716309196</v>
      </c>
      <c r="BX185" s="18">
        <v>0.1090119919506093</v>
      </c>
      <c r="BY185" s="18">
        <v>-2.8379013112576321E-2</v>
      </c>
      <c r="BZ185" s="18">
        <v>-0.12325894165987061</v>
      </c>
      <c r="CA185" s="18">
        <v>-0.15454859789114062</v>
      </c>
      <c r="CB185" s="18">
        <v>-4.254137652143547E-2</v>
      </c>
      <c r="CC185" s="18">
        <v>-0.13078108388502777</v>
      </c>
      <c r="CD185" s="18">
        <v>0.13268688607950929</v>
      </c>
      <c r="CE185" s="18">
        <v>6.788825702958598E-2</v>
      </c>
      <c r="CF185" s="18">
        <v>0.10393577024157546</v>
      </c>
      <c r="CG185" s="18">
        <v>0.32189300855311948</v>
      </c>
      <c r="CH185" s="18">
        <v>-0.15601300755131589</v>
      </c>
      <c r="CI185" s="18">
        <v>0.17761674447607978</v>
      </c>
      <c r="CJ185" s="18">
        <v>-0.10116182275864251</v>
      </c>
      <c r="CK185" s="18">
        <v>0.13510881978224476</v>
      </c>
      <c r="CL185" s="18">
        <v>-7.3729962588139589E-2</v>
      </c>
      <c r="CM185" s="18">
        <v>8.2422278715551814E-2</v>
      </c>
      <c r="CN185" s="19">
        <v>0.29912315675697898</v>
      </c>
    </row>
    <row r="186" spans="1:92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25">
        <v>-0.15944373472113729</v>
      </c>
      <c r="AX186" s="26">
        <v>0.16840714165136686</v>
      </c>
      <c r="AY186" s="26">
        <v>0.11120553944235237</v>
      </c>
      <c r="AZ186" s="18">
        <v>-5.5539024774769401E-2</v>
      </c>
      <c r="BA186" s="18">
        <v>-9.896147613229403E-2</v>
      </c>
      <c r="BB186" s="18">
        <v>2.4464598370619538E-3</v>
      </c>
      <c r="BC186" s="18">
        <v>0.28811710914895594</v>
      </c>
      <c r="BD186" s="18">
        <v>3.9978605275536858E-2</v>
      </c>
      <c r="BE186" s="18">
        <v>0.14761008324165378</v>
      </c>
      <c r="BF186" s="18">
        <v>0.19010508626661879</v>
      </c>
      <c r="BG186" s="18">
        <v>0.18246764676794278</v>
      </c>
      <c r="BH186" s="18">
        <v>0.16182929815850366</v>
      </c>
      <c r="BI186" s="18">
        <v>3.8074690091972403E-2</v>
      </c>
      <c r="BJ186" s="18">
        <v>-7.1832181883296625E-2</v>
      </c>
      <c r="BK186" s="18">
        <v>-1.5855327955494578E-2</v>
      </c>
      <c r="BL186" s="18">
        <v>5.5345078363179853E-2</v>
      </c>
      <c r="BM186" s="18">
        <v>-0.22600833340117849</v>
      </c>
      <c r="BN186" s="18">
        <v>0.11886995174372558</v>
      </c>
      <c r="BO186" s="18">
        <v>-0.28285228424093639</v>
      </c>
      <c r="BP186" s="18">
        <v>3.4829581582966784E-2</v>
      </c>
      <c r="BQ186" s="18">
        <v>-0.19867168669209256</v>
      </c>
      <c r="BR186" s="18">
        <v>-7.4056181998158485E-2</v>
      </c>
      <c r="BS186" s="18">
        <v>-0.2119122197047407</v>
      </c>
      <c r="BT186" s="18">
        <v>-0.2163787434108386</v>
      </c>
      <c r="BU186" s="18">
        <v>0.25010389634723951</v>
      </c>
      <c r="BV186" s="18">
        <v>0.1990094667625758</v>
      </c>
      <c r="BW186" s="18">
        <v>7.5375602111103085E-2</v>
      </c>
      <c r="BX186" s="18">
        <v>-0.1485247052259509</v>
      </c>
      <c r="BY186" s="18">
        <v>3.236190228112687E-2</v>
      </c>
      <c r="BZ186" s="18">
        <v>0.25728625685448636</v>
      </c>
      <c r="CA186" s="18">
        <v>-0.20054395546958254</v>
      </c>
      <c r="CB186" s="18">
        <v>-0.13752569821426167</v>
      </c>
      <c r="CC186" s="18">
        <v>0.1466097144333483</v>
      </c>
      <c r="CD186" s="18">
        <v>2.5851015599353117E-2</v>
      </c>
      <c r="CE186" s="18">
        <v>-0.19865341452289678</v>
      </c>
      <c r="CF186" s="18">
        <v>-0.21064004000834324</v>
      </c>
      <c r="CG186" s="18">
        <v>3.2983536727739231E-2</v>
      </c>
      <c r="CH186" s="18">
        <v>0.14378029604607448</v>
      </c>
      <c r="CI186" s="18">
        <v>-7.4994901238317452E-2</v>
      </c>
      <c r="CJ186" s="18">
        <v>-5.2751262759785811E-2</v>
      </c>
      <c r="CK186" s="18">
        <v>-0.161961213665649</v>
      </c>
      <c r="CL186" s="18">
        <v>5.4433768737328518E-2</v>
      </c>
      <c r="CM186" s="18">
        <v>-3.3076102254451303E-2</v>
      </c>
      <c r="CN186" s="19">
        <v>5.6454751992325074E-2</v>
      </c>
    </row>
    <row r="187" spans="1:92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25">
        <v>-9.4059978995639171E-2</v>
      </c>
      <c r="AX187" s="26">
        <v>0.21433093345811915</v>
      </c>
      <c r="AY187" s="26">
        <v>-9.0131710762896736E-2</v>
      </c>
      <c r="AZ187" s="18">
        <v>-0.23405865501506529</v>
      </c>
      <c r="BA187" s="18">
        <v>4.9306608431121869E-2</v>
      </c>
      <c r="BB187" s="18">
        <v>0.13918661622676298</v>
      </c>
      <c r="BC187" s="18">
        <v>0.36213731931581006</v>
      </c>
      <c r="BD187" s="18">
        <v>-5.7828371853651819E-2</v>
      </c>
      <c r="BE187" s="18">
        <v>-0.23849860660765854</v>
      </c>
      <c r="BF187" s="18">
        <v>-3.5744212555874122E-2</v>
      </c>
      <c r="BG187" s="18">
        <v>-2.5889426340380908E-2</v>
      </c>
      <c r="BH187" s="18">
        <v>-0.14597583697984182</v>
      </c>
      <c r="BI187" s="18">
        <v>3.9462794136642214E-2</v>
      </c>
      <c r="BJ187" s="18">
        <v>6.3043058095807833E-2</v>
      </c>
      <c r="BK187" s="18">
        <v>-0.2571828781961028</v>
      </c>
      <c r="BL187" s="18">
        <v>-2.3213904293600752E-2</v>
      </c>
      <c r="BM187" s="18">
        <v>0.12110142034722496</v>
      </c>
      <c r="BN187" s="18">
        <v>9.2311371204202616E-2</v>
      </c>
      <c r="BO187" s="18">
        <v>2.7932468121454279E-2</v>
      </c>
      <c r="BP187" s="18">
        <v>4.6247368264888213E-2</v>
      </c>
      <c r="BQ187" s="18">
        <v>0.16851004196798541</v>
      </c>
      <c r="BR187" s="18">
        <v>0.19377056954342836</v>
      </c>
      <c r="BS187" s="18">
        <v>0.31716160213959765</v>
      </c>
      <c r="BT187" s="18">
        <v>-0.13673278804987618</v>
      </c>
      <c r="BU187" s="18">
        <v>0.15475319977274984</v>
      </c>
      <c r="BV187" s="18">
        <v>8.5617218197510711E-2</v>
      </c>
      <c r="BW187" s="18">
        <v>-0.2319417385212163</v>
      </c>
      <c r="BX187" s="18">
        <v>0.1307087025591363</v>
      </c>
      <c r="BY187" s="18">
        <v>-2.2819006101774682E-2</v>
      </c>
      <c r="BZ187" s="18">
        <v>7.617957970564336E-2</v>
      </c>
      <c r="CA187" s="18">
        <v>9.8306519950802029E-2</v>
      </c>
      <c r="CB187" s="18">
        <v>0.23015301492976267</v>
      </c>
      <c r="CC187" s="18">
        <v>-0.20331561652388525</v>
      </c>
      <c r="CD187" s="18">
        <v>-8.0200610327005359E-2</v>
      </c>
      <c r="CE187" s="18">
        <v>-4.4784994026193181E-2</v>
      </c>
      <c r="CF187" s="18">
        <v>-0.15630632825578047</v>
      </c>
      <c r="CG187" s="18">
        <v>-0.12156231466100255</v>
      </c>
      <c r="CH187" s="18">
        <v>7.9121786166144056E-2</v>
      </c>
      <c r="CI187" s="18">
        <v>0.12379992216779037</v>
      </c>
      <c r="CJ187" s="18">
        <v>-3.5418256708329786E-2</v>
      </c>
      <c r="CK187" s="18">
        <v>-0.18435026791767897</v>
      </c>
      <c r="CL187" s="18">
        <v>0.14582476905503805</v>
      </c>
      <c r="CM187" s="18">
        <v>-4.5844313541459375E-2</v>
      </c>
      <c r="CN187" s="19">
        <v>-0.14843187209437783</v>
      </c>
    </row>
    <row r="188" spans="1:92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25">
        <v>-0.10992843773591188</v>
      </c>
      <c r="AX188" s="26">
        <v>1.6709925166311441E-2</v>
      </c>
      <c r="AY188" s="26">
        <v>-0.14999535082439788</v>
      </c>
      <c r="AZ188" s="18">
        <v>0.13336913941748341</v>
      </c>
      <c r="BA188" s="18">
        <v>-0.11333625742477355</v>
      </c>
      <c r="BB188" s="18">
        <v>-0.31703609983123382</v>
      </c>
      <c r="BC188" s="18">
        <v>0.11101868959715687</v>
      </c>
      <c r="BD188" s="18">
        <v>0.18259730796430365</v>
      </c>
      <c r="BE188" s="18">
        <v>-0.24152708630248385</v>
      </c>
      <c r="BF188" s="18">
        <v>0.25295979716250822</v>
      </c>
      <c r="BG188" s="18">
        <v>0.14474480767673181</v>
      </c>
      <c r="BH188" s="18">
        <v>0.11335487937919297</v>
      </c>
      <c r="BI188" s="18">
        <v>-6.0846068934930962E-2</v>
      </c>
      <c r="BJ188" s="18">
        <v>-0.3215442335437052</v>
      </c>
      <c r="BK188" s="18">
        <v>-0.32031173603894081</v>
      </c>
      <c r="BL188" s="18">
        <v>6.8517318118400658E-2</v>
      </c>
      <c r="BM188" s="18">
        <v>-3.5320600978786816E-2</v>
      </c>
      <c r="BN188" s="18">
        <v>-0.12499032302432259</v>
      </c>
      <c r="BO188" s="18">
        <v>-5.6988011337272527E-2</v>
      </c>
      <c r="BP188" s="18">
        <v>7.6105100925553421E-2</v>
      </c>
      <c r="BQ188" s="18">
        <v>-4.855607004808922E-2</v>
      </c>
      <c r="BR188" s="18">
        <v>0.28202021407517919</v>
      </c>
      <c r="BS188" s="18">
        <v>-1.4118431813746942E-2</v>
      </c>
      <c r="BT188" s="18">
        <v>-0.1093068444735853</v>
      </c>
      <c r="BU188" s="18">
        <v>-0.16445895435412741</v>
      </c>
      <c r="BV188" s="18">
        <v>-0.12879578739548297</v>
      </c>
      <c r="BW188" s="18">
        <v>0.22247457673070889</v>
      </c>
      <c r="BX188" s="18">
        <v>0.19861663115813269</v>
      </c>
      <c r="BY188" s="18">
        <v>-0.15069512884560152</v>
      </c>
      <c r="BZ188" s="18">
        <v>-0.18839382997374213</v>
      </c>
      <c r="CA188" s="18">
        <v>0.10322583203276292</v>
      </c>
      <c r="CB188" s="18">
        <v>2.075001170000558E-2</v>
      </c>
      <c r="CC188" s="18">
        <v>-2.6858945608037123E-2</v>
      </c>
      <c r="CD188" s="18">
        <v>7.3890368837550513E-2</v>
      </c>
      <c r="CE188" s="18">
        <v>6.7265971729426222E-2</v>
      </c>
      <c r="CF188" s="18">
        <v>-5.390677149923153E-2</v>
      </c>
      <c r="CG188" s="18">
        <v>0.17072373691567788</v>
      </c>
      <c r="CH188" s="18">
        <v>2.7182449679485639E-2</v>
      </c>
      <c r="CI188" s="18">
        <v>-8.5474010752613711E-2</v>
      </c>
      <c r="CJ188" s="18">
        <v>7.1089490773120156E-2</v>
      </c>
      <c r="CK188" s="18">
        <v>0.11034932967564719</v>
      </c>
      <c r="CL188" s="18">
        <v>0.10388677240472713</v>
      </c>
      <c r="CM188" s="18">
        <v>0.11047130232397019</v>
      </c>
      <c r="CN188" s="19">
        <v>7.0489514853698615E-2</v>
      </c>
    </row>
    <row r="189" spans="1:92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25">
        <v>-0.15896094035320776</v>
      </c>
      <c r="AX189" s="26">
        <v>6.1114902458620071E-2</v>
      </c>
      <c r="AY189" s="26">
        <v>0.17513256125772536</v>
      </c>
      <c r="AZ189" s="18">
        <v>0.11386110364662688</v>
      </c>
      <c r="BA189" s="18">
        <v>-0.16068085686471414</v>
      </c>
      <c r="BB189" s="18">
        <v>0.26488791655236293</v>
      </c>
      <c r="BC189" s="18">
        <v>-0.19228816503477272</v>
      </c>
      <c r="BD189" s="18">
        <v>0.15878874398164897</v>
      </c>
      <c r="BE189" s="18">
        <v>0.19863942220880695</v>
      </c>
      <c r="BF189" s="18">
        <v>-5.9326692400993655E-2</v>
      </c>
      <c r="BG189" s="18">
        <v>5.6134024782697439E-2</v>
      </c>
      <c r="BH189" s="18">
        <v>0.16545188068230859</v>
      </c>
      <c r="BI189" s="18">
        <v>-3.4868493614356004E-2</v>
      </c>
      <c r="BJ189" s="18">
        <v>-9.7769358782093627E-2</v>
      </c>
      <c r="BK189" s="18">
        <v>-0.13245795257941489</v>
      </c>
      <c r="BL189" s="18">
        <v>-8.3508909366748624E-3</v>
      </c>
      <c r="BM189" s="18">
        <v>0.27172311470494998</v>
      </c>
      <c r="BN189" s="18">
        <v>-7.1854371005247691E-2</v>
      </c>
      <c r="BO189" s="18">
        <v>-0.15077205970879723</v>
      </c>
      <c r="BP189" s="18">
        <v>5.8255952619674464E-2</v>
      </c>
      <c r="BQ189" s="18">
        <v>9.3633484765569569E-2</v>
      </c>
      <c r="BR189" s="18">
        <v>0.14847184403786332</v>
      </c>
      <c r="BS189" s="18">
        <v>-8.0688635298661035E-2</v>
      </c>
      <c r="BT189" s="18">
        <v>-8.352906997557899E-2</v>
      </c>
      <c r="BU189" s="18">
        <v>0.2725797176620402</v>
      </c>
      <c r="BV189" s="18">
        <v>-2.4669784917900256E-2</v>
      </c>
      <c r="BW189" s="18">
        <v>3.7445426818355221E-2</v>
      </c>
      <c r="BX189" s="18">
        <v>2.1705784486306057E-2</v>
      </c>
      <c r="BY189" s="18">
        <v>9.2905933501126012E-2</v>
      </c>
      <c r="BZ189" s="18">
        <v>8.1381027470173103E-3</v>
      </c>
      <c r="CA189" s="18">
        <v>0.24214654189292159</v>
      </c>
      <c r="CB189" s="18">
        <v>-0.19059586182091326</v>
      </c>
      <c r="CC189" s="18">
        <v>-0.36963397018797889</v>
      </c>
      <c r="CD189" s="18">
        <v>0.1096221364006877</v>
      </c>
      <c r="CE189" s="18">
        <v>0.19253484858693301</v>
      </c>
      <c r="CF189" s="18">
        <v>-9.8961313262765485E-2</v>
      </c>
      <c r="CG189" s="18">
        <v>-3.6216225758770632E-3</v>
      </c>
      <c r="CH189" s="18">
        <v>-0.20148602595803355</v>
      </c>
      <c r="CI189" s="18">
        <v>8.0234982932206003E-2</v>
      </c>
      <c r="CJ189" s="18">
        <v>-2.4737901740825151E-2</v>
      </c>
      <c r="CK189" s="18">
        <v>-4.7395181219127745E-2</v>
      </c>
      <c r="CL189" s="18">
        <v>-0.27422708153537451</v>
      </c>
      <c r="CM189" s="18">
        <v>-0.12853843272951126</v>
      </c>
      <c r="CN189" s="19">
        <v>1.7203015851085562E-2</v>
      </c>
    </row>
    <row r="190" spans="1:92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25">
        <v>-0.14713983660578256</v>
      </c>
      <c r="AX190" s="26">
        <v>0.16566202380940387</v>
      </c>
      <c r="AY190" s="26">
        <v>0.26684075287095638</v>
      </c>
      <c r="AZ190" s="18">
        <v>-4.5878220406901864E-2</v>
      </c>
      <c r="BA190" s="18">
        <v>-0.1007083692147894</v>
      </c>
      <c r="BB190" s="18">
        <v>0.11439850377643522</v>
      </c>
      <c r="BC190" s="18">
        <v>-0.13652023291945212</v>
      </c>
      <c r="BD190" s="18">
        <v>0.20120835279187349</v>
      </c>
      <c r="BE190" s="18">
        <v>0.1540501545636897</v>
      </c>
      <c r="BF190" s="18">
        <v>-0.10520460071192296</v>
      </c>
      <c r="BG190" s="18">
        <v>-5.7708438644548617E-2</v>
      </c>
      <c r="BH190" s="18">
        <v>0.11746932492820293</v>
      </c>
      <c r="BI190" s="18">
        <v>0.11499690279351205</v>
      </c>
      <c r="BJ190" s="18">
        <v>2.219476983480614E-2</v>
      </c>
      <c r="BK190" s="18">
        <v>-2.8836302175731209E-2</v>
      </c>
      <c r="BL190" s="18">
        <v>8.9722700197327532E-2</v>
      </c>
      <c r="BM190" s="18">
        <v>0.1070806700572464</v>
      </c>
      <c r="BN190" s="18">
        <v>-0.24429050073454137</v>
      </c>
      <c r="BO190" s="18">
        <v>-7.9003817458720454E-2</v>
      </c>
      <c r="BP190" s="18">
        <v>8.5226495622352641E-2</v>
      </c>
      <c r="BQ190" s="18">
        <v>0.15536393272942461</v>
      </c>
      <c r="BR190" s="18">
        <v>0.2016737996336517</v>
      </c>
      <c r="BS190" s="18">
        <v>4.836205630355888E-2</v>
      </c>
      <c r="BT190" s="18">
        <v>0.28145030854851921</v>
      </c>
      <c r="BU190" s="18">
        <v>-0.25857774786274895</v>
      </c>
      <c r="BV190" s="18">
        <v>2.8194531006269022E-2</v>
      </c>
      <c r="BW190" s="18">
        <v>4.5860688720663727E-2</v>
      </c>
      <c r="BX190" s="18">
        <v>1.9981807572523098E-4</v>
      </c>
      <c r="BY190" s="18">
        <v>-0.11610584408854878</v>
      </c>
      <c r="BZ190" s="18">
        <v>-5.9230840707961696E-5</v>
      </c>
      <c r="CA190" s="18">
        <v>-0.14218363442890378</v>
      </c>
      <c r="CB190" s="18">
        <v>0.26216978861395057</v>
      </c>
      <c r="CC190" s="18">
        <v>0.20842429001950741</v>
      </c>
      <c r="CD190" s="18">
        <v>0.26134971372520699</v>
      </c>
      <c r="CE190" s="18">
        <v>-0.37395491516158313</v>
      </c>
      <c r="CF190" s="18">
        <v>5.8770784788912721E-3</v>
      </c>
      <c r="CG190" s="18">
        <v>3.6699544624303436E-2</v>
      </c>
      <c r="CH190" s="18">
        <v>4.2005005456592623E-2</v>
      </c>
      <c r="CI190" s="18">
        <v>5.7210261836893074E-2</v>
      </c>
      <c r="CJ190" s="18">
        <v>1.5835717416011787E-2</v>
      </c>
      <c r="CK190" s="18">
        <v>-7.2939282724197571E-2</v>
      </c>
      <c r="CL190" s="18">
        <v>0.14330614328255295</v>
      </c>
      <c r="CM190" s="18">
        <v>-0.13756069793811074</v>
      </c>
      <c r="CN190" s="19">
        <v>-0.12032860097329133</v>
      </c>
    </row>
    <row r="191" spans="1:92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25">
        <v>-0.13905769778555788</v>
      </c>
      <c r="AX191" s="26">
        <v>0.25641832270682913</v>
      </c>
      <c r="AY191" s="26">
        <v>0.11906314985530918</v>
      </c>
      <c r="AZ191" s="18">
        <v>0.10503930308246549</v>
      </c>
      <c r="BA191" s="18">
        <v>-0.13603013177218681</v>
      </c>
      <c r="BB191" s="18">
        <v>0.22755612534787631</v>
      </c>
      <c r="BC191" s="18">
        <v>-3.5766114726945124E-2</v>
      </c>
      <c r="BD191" s="18">
        <v>0.15338584494108765</v>
      </c>
      <c r="BE191" s="18">
        <v>3.5782904732191222E-2</v>
      </c>
      <c r="BF191" s="18">
        <v>4.258933561089244E-2</v>
      </c>
      <c r="BG191" s="18">
        <v>-0.13741700172967483</v>
      </c>
      <c r="BH191" s="18">
        <v>-8.5276811265874566E-2</v>
      </c>
      <c r="BI191" s="18">
        <v>9.5655910982200526E-2</v>
      </c>
      <c r="BJ191" s="18">
        <v>-5.981693590555991E-3</v>
      </c>
      <c r="BK191" s="18">
        <v>0.30006509376558954</v>
      </c>
      <c r="BL191" s="18">
        <v>-0.10113516091774255</v>
      </c>
      <c r="BM191" s="18">
        <v>0.19258451405947208</v>
      </c>
      <c r="BN191" s="18">
        <v>-0.10774854165746907</v>
      </c>
      <c r="BO191" s="18">
        <v>1.1772008519712948E-2</v>
      </c>
      <c r="BP191" s="18">
        <v>-0.1016771873026921</v>
      </c>
      <c r="BQ191" s="18">
        <v>-8.3832785362234472E-2</v>
      </c>
      <c r="BR191" s="18">
        <v>5.1793785241179956E-3</v>
      </c>
      <c r="BS191" s="18">
        <v>0.29248078451179027</v>
      </c>
      <c r="BT191" s="18">
        <v>-0.22400100379065066</v>
      </c>
      <c r="BU191" s="18">
        <v>-3.1810286824722612E-3</v>
      </c>
      <c r="BV191" s="18">
        <v>-9.2708682783353535E-2</v>
      </c>
      <c r="BW191" s="18">
        <v>0.11410755732910317</v>
      </c>
      <c r="BX191" s="18">
        <v>-2.7913004789240504E-2</v>
      </c>
      <c r="BY191" s="18">
        <v>3.4113580246067435E-2</v>
      </c>
      <c r="BZ191" s="18">
        <v>-0.19030782793489412</v>
      </c>
      <c r="CA191" s="18">
        <v>-8.1192438214841137E-2</v>
      </c>
      <c r="CB191" s="18">
        <v>-5.7701749356037293E-2</v>
      </c>
      <c r="CC191" s="18">
        <v>7.6078190664528908E-2</v>
      </c>
      <c r="CD191" s="18">
        <v>-0.30735870111439872</v>
      </c>
      <c r="CE191" s="18">
        <v>4.7391447111689987E-2</v>
      </c>
      <c r="CF191" s="18">
        <v>-4.102071888693988E-2</v>
      </c>
      <c r="CG191" s="18">
        <v>6.0679054650477897E-2</v>
      </c>
      <c r="CH191" s="18">
        <v>0.14590042161251329</v>
      </c>
      <c r="CI191" s="18">
        <v>-0.14252551869568844</v>
      </c>
      <c r="CJ191" s="18">
        <v>0.20597464682728731</v>
      </c>
      <c r="CK191" s="18">
        <v>-9.5044768416044603E-2</v>
      </c>
      <c r="CL191" s="18">
        <v>8.8970871462358408E-2</v>
      </c>
      <c r="CM191" s="18">
        <v>0.39757542222866105</v>
      </c>
      <c r="CN191" s="19">
        <v>0.13168005990069795</v>
      </c>
    </row>
    <row r="192" spans="1:92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25">
        <v>-0.11893543877169876</v>
      </c>
      <c r="AX192" s="26">
        <v>0.25630879444223381</v>
      </c>
      <c r="AY192" s="26">
        <v>-2.2289840167850485E-2</v>
      </c>
      <c r="AZ192" s="18">
        <v>0.13744393280986603</v>
      </c>
      <c r="BA192" s="18">
        <v>-5.0879441905460961E-2</v>
      </c>
      <c r="BB192" s="18">
        <v>-0.1369338184325784</v>
      </c>
      <c r="BC192" s="18">
        <v>-0.1195562435652255</v>
      </c>
      <c r="BD192" s="18">
        <v>9.4770534801878387E-2</v>
      </c>
      <c r="BE192" s="18">
        <v>-2.7323009339142407E-2</v>
      </c>
      <c r="BF192" s="18">
        <v>-7.4900366835101581E-2</v>
      </c>
      <c r="BG192" s="18">
        <v>-0.14639320558565572</v>
      </c>
      <c r="BH192" s="18">
        <v>-0.15076303780073497</v>
      </c>
      <c r="BI192" s="18">
        <v>-0.20677997294159997</v>
      </c>
      <c r="BJ192" s="18">
        <v>-0.2849655321554696</v>
      </c>
      <c r="BK192" s="18">
        <v>-0.28135518739057591</v>
      </c>
      <c r="BL192" s="18">
        <v>-0.17085073215147159</v>
      </c>
      <c r="BM192" s="18">
        <v>0.10350948646677435</v>
      </c>
      <c r="BN192" s="18">
        <v>0.2319549260171605</v>
      </c>
      <c r="BO192" s="18">
        <v>-1.1817609100140899E-2</v>
      </c>
      <c r="BP192" s="18">
        <v>-0.17845763128969361</v>
      </c>
      <c r="BQ192" s="18">
        <v>0.10012511060557772</v>
      </c>
      <c r="BR192" s="18">
        <v>-0.40559565725452956</v>
      </c>
      <c r="BS192" s="18">
        <v>9.5218249867069879E-2</v>
      </c>
      <c r="BT192" s="18">
        <v>-8.0281423199870444E-2</v>
      </c>
      <c r="BU192" s="18">
        <v>-6.0192678855769295E-3</v>
      </c>
      <c r="BV192" s="18">
        <v>3.7669109091221349E-2</v>
      </c>
      <c r="BW192" s="18">
        <v>-6.42995189421494E-2</v>
      </c>
      <c r="BX192" s="18">
        <v>-0.25882724547258507</v>
      </c>
      <c r="BY192" s="18">
        <v>-6.5410158842607439E-4</v>
      </c>
      <c r="BZ192" s="18">
        <v>-5.7267246175546793E-2</v>
      </c>
      <c r="CA192" s="18">
        <v>0.12005597511895245</v>
      </c>
      <c r="CB192" s="18">
        <v>7.7034539289182108E-2</v>
      </c>
      <c r="CC192" s="18">
        <v>0.22546859159387808</v>
      </c>
      <c r="CD192" s="18">
        <v>0.15146260564268099</v>
      </c>
      <c r="CE192" s="18">
        <v>5.0803467575794119E-3</v>
      </c>
      <c r="CF192" s="18">
        <v>0.15496282147259619</v>
      </c>
      <c r="CG192" s="18">
        <v>0.14291312555978108</v>
      </c>
      <c r="CH192" s="18">
        <v>0.14187579414542242</v>
      </c>
      <c r="CI192" s="18">
        <v>0.11797234251329326</v>
      </c>
      <c r="CJ192" s="18">
        <v>-2.1546746128816248E-2</v>
      </c>
      <c r="CK192" s="18">
        <v>-0.10885551543078659</v>
      </c>
      <c r="CL192" s="18">
        <v>-0.10669347631429595</v>
      </c>
      <c r="CM192" s="18">
        <v>-0.12057765554609716</v>
      </c>
      <c r="CN192" s="19">
        <v>6.8015470462572834E-3</v>
      </c>
    </row>
    <row r="193" spans="1:92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25">
        <v>-0.10641438177973875</v>
      </c>
      <c r="AX193" s="26">
        <v>0.21494354712914224</v>
      </c>
      <c r="AY193" s="26">
        <v>0.32371435910185908</v>
      </c>
      <c r="AZ193" s="18">
        <v>-3.0127931700939664E-3</v>
      </c>
      <c r="BA193" s="18">
        <v>4.1671313518791199E-2</v>
      </c>
      <c r="BB193" s="18">
        <v>-5.3035097605791039E-2</v>
      </c>
      <c r="BC193" s="18">
        <v>-3.512602652886878E-2</v>
      </c>
      <c r="BD193" s="18">
        <v>2.5475414687733337E-2</v>
      </c>
      <c r="BE193" s="18">
        <v>-0.21092168313328144</v>
      </c>
      <c r="BF193" s="18">
        <v>5.3659079649350634E-2</v>
      </c>
      <c r="BG193" s="18">
        <v>-0.17679302499053123</v>
      </c>
      <c r="BH193" s="18">
        <v>2.3004020065668228E-2</v>
      </c>
      <c r="BI193" s="18">
        <v>-2.4993726172010296E-2</v>
      </c>
      <c r="BJ193" s="18">
        <v>5.6354549283352158E-2</v>
      </c>
      <c r="BK193" s="18">
        <v>-0.1245704899837425</v>
      </c>
      <c r="BL193" s="18">
        <v>9.8273852033789216E-2</v>
      </c>
      <c r="BM193" s="18">
        <v>-0.37709677975832284</v>
      </c>
      <c r="BN193" s="18">
        <v>0.11406134662380654</v>
      </c>
      <c r="BO193" s="18">
        <v>-7.1200353044467632E-3</v>
      </c>
      <c r="BP193" s="18">
        <v>-7.4866694465889422E-2</v>
      </c>
      <c r="BQ193" s="18">
        <v>0.28883782236217598</v>
      </c>
      <c r="BR193" s="18">
        <v>-3.8686633649545145E-2</v>
      </c>
      <c r="BS193" s="18">
        <v>0.11875141402340265</v>
      </c>
      <c r="BT193" s="18">
        <v>0.22834328016072891</v>
      </c>
      <c r="BU193" s="18">
        <v>2.2652691387823155E-2</v>
      </c>
      <c r="BV193" s="18">
        <v>-0.16029120342895226</v>
      </c>
      <c r="BW193" s="18">
        <v>6.6650799800184179E-2</v>
      </c>
      <c r="BX193" s="18">
        <v>8.7647837414533886E-2</v>
      </c>
      <c r="BY193" s="18">
        <v>0.33154814786021253</v>
      </c>
      <c r="BZ193" s="18">
        <v>-0.12212199765946968</v>
      </c>
      <c r="CA193" s="18">
        <v>-0.11387833703118797</v>
      </c>
      <c r="CB193" s="18">
        <v>-0.11719559609396998</v>
      </c>
      <c r="CC193" s="18">
        <v>7.6647973246453671E-2</v>
      </c>
      <c r="CD193" s="18">
        <v>-6.3905673380980688E-2</v>
      </c>
      <c r="CE193" s="18">
        <v>0.12927531892003985</v>
      </c>
      <c r="CF193" s="18">
        <v>-0.24044186028369288</v>
      </c>
      <c r="CG193" s="18">
        <v>-0.15061210804090946</v>
      </c>
      <c r="CH193" s="18">
        <v>-0.14222075441406992</v>
      </c>
      <c r="CI193" s="18">
        <v>-0.20912214241130669</v>
      </c>
      <c r="CJ193" s="18">
        <v>-0.1641446134433657</v>
      </c>
      <c r="CK193" s="18">
        <v>0.11296126252610754</v>
      </c>
      <c r="CL193" s="18">
        <v>-5.3471115855772008E-2</v>
      </c>
      <c r="CM193" s="18">
        <v>-4.2529198064380762E-2</v>
      </c>
      <c r="CN193" s="19">
        <v>7.5571649968481966E-2</v>
      </c>
    </row>
    <row r="194" spans="1:92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25">
        <v>-4.8582811099436025E-2</v>
      </c>
      <c r="AX194" s="26">
        <v>0.14648819455765943</v>
      </c>
      <c r="AY194" s="26">
        <v>0.13943772653684908</v>
      </c>
      <c r="AZ194" s="18">
        <v>-6.7657343346698401E-2</v>
      </c>
      <c r="BA194" s="18">
        <v>0.15414398487942532</v>
      </c>
      <c r="BB194" s="18">
        <v>0.18185067656128731</v>
      </c>
      <c r="BC194" s="18">
        <v>-0.28540272593801097</v>
      </c>
      <c r="BD194" s="18">
        <v>-0.16723676176464727</v>
      </c>
      <c r="BE194" s="18">
        <v>-0.28430775087641108</v>
      </c>
      <c r="BF194" s="18">
        <v>0.17247409286397281</v>
      </c>
      <c r="BG194" s="18">
        <v>0.26833127689854475</v>
      </c>
      <c r="BH194" s="18">
        <v>-4.334987731900497E-2</v>
      </c>
      <c r="BI194" s="18">
        <v>0.24430445457005445</v>
      </c>
      <c r="BJ194" s="18">
        <v>0.18512386797915339</v>
      </c>
      <c r="BK194" s="18">
        <v>-0.40310218603636011</v>
      </c>
      <c r="BL194" s="18">
        <v>-6.8476923640472975E-2</v>
      </c>
      <c r="BM194" s="18">
        <v>1.6501140610055132E-2</v>
      </c>
      <c r="BN194" s="18">
        <v>-0.24675734198586968</v>
      </c>
      <c r="BO194" s="18">
        <v>0.1659259729596658</v>
      </c>
      <c r="BP194" s="18">
        <v>-9.4008769263342187E-2</v>
      </c>
      <c r="BQ194" s="18">
        <v>-0.18832525921033555</v>
      </c>
      <c r="BR194" s="18">
        <v>-2.805857834407989E-2</v>
      </c>
      <c r="BS194" s="18">
        <v>-3.0907073491982007E-2</v>
      </c>
      <c r="BT194" s="18">
        <v>3.6885947622791036E-2</v>
      </c>
      <c r="BU194" s="18">
        <v>1.0763098904548865E-2</v>
      </c>
      <c r="BV194" s="18">
        <v>0.242079195072119</v>
      </c>
      <c r="BW194" s="18">
        <v>-3.1739341014122346E-2</v>
      </c>
      <c r="BX194" s="18">
        <v>-8.8743323305073035E-2</v>
      </c>
      <c r="BY194" s="18">
        <v>-4.1596844455984369E-2</v>
      </c>
      <c r="BZ194" s="18">
        <v>-3.1294749216893347E-2</v>
      </c>
      <c r="CA194" s="18">
        <v>1.4424256576375881E-2</v>
      </c>
      <c r="CB194" s="18">
        <v>-0.23879374785449983</v>
      </c>
      <c r="CC194" s="18">
        <v>7.2128997035356829E-2</v>
      </c>
      <c r="CD194" s="18">
        <v>-0.14320902727767718</v>
      </c>
      <c r="CE194" s="18">
        <v>-7.760094096351175E-2</v>
      </c>
      <c r="CF194" s="18">
        <v>0.142211099633443</v>
      </c>
      <c r="CG194" s="18">
        <v>0.13195719866216538</v>
      </c>
      <c r="CH194" s="18">
        <v>-4.5746920381080245E-3</v>
      </c>
      <c r="CI194" s="18">
        <v>9.6560232817185631E-3</v>
      </c>
      <c r="CJ194" s="18">
        <v>2.9984032496906485E-2</v>
      </c>
      <c r="CK194" s="18">
        <v>6.4539576759344186E-2</v>
      </c>
      <c r="CL194" s="18">
        <v>-3.1133854247048665E-2</v>
      </c>
      <c r="CM194" s="18">
        <v>-2.5849922515504952E-2</v>
      </c>
      <c r="CN194" s="19">
        <v>2.2028795905251735E-2</v>
      </c>
    </row>
    <row r="195" spans="1:92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25">
        <v>-0.17220665529056245</v>
      </c>
      <c r="AX195" s="26">
        <v>0.12214591082478446</v>
      </c>
      <c r="AY195" s="26">
        <v>9.5891297052606697E-2</v>
      </c>
      <c r="AZ195" s="18">
        <v>-0.13657185995212728</v>
      </c>
      <c r="BA195" s="18">
        <v>0.1547932994704514</v>
      </c>
      <c r="BB195" s="18">
        <v>-8.9310316947963965E-4</v>
      </c>
      <c r="BC195" s="18">
        <v>-0.23299114048739017</v>
      </c>
      <c r="BD195" s="18">
        <v>0.14108782261555214</v>
      </c>
      <c r="BE195" s="18">
        <v>7.3178832051360235E-2</v>
      </c>
      <c r="BF195" s="18">
        <v>-0.13082283365847844</v>
      </c>
      <c r="BG195" s="18">
        <v>0.11613638562896457</v>
      </c>
      <c r="BH195" s="18">
        <v>-7.1010108565517802E-2</v>
      </c>
      <c r="BI195" s="18">
        <v>-9.4005503852498465E-2</v>
      </c>
      <c r="BJ195" s="18">
        <v>0.10165409397420508</v>
      </c>
      <c r="BK195" s="18">
        <v>-7.0193851989692885E-2</v>
      </c>
      <c r="BL195" s="18">
        <v>-0.29381548926356738</v>
      </c>
      <c r="BM195" s="18">
        <v>-0.27881222318586102</v>
      </c>
      <c r="BN195" s="18">
        <v>0.12120763258682346</v>
      </c>
      <c r="BO195" s="18">
        <v>0.1366467061984869</v>
      </c>
      <c r="BP195" s="18">
        <v>0.11057394072771902</v>
      </c>
      <c r="BQ195" s="18">
        <v>-0.12099259500746837</v>
      </c>
      <c r="BR195" s="18">
        <v>3.7181493990023707E-3</v>
      </c>
      <c r="BS195" s="18">
        <v>-0.13135779967896508</v>
      </c>
      <c r="BT195" s="18">
        <v>-6.7510684852158928E-2</v>
      </c>
      <c r="BU195" s="18">
        <v>-0.17625370984745042</v>
      </c>
      <c r="BV195" s="18">
        <v>-7.7439779526776456E-2</v>
      </c>
      <c r="BW195" s="18">
        <v>0.2892040382269917</v>
      </c>
      <c r="BX195" s="18">
        <v>-0.15153795218553309</v>
      </c>
      <c r="BY195" s="18">
        <v>-3.4479264113441203E-2</v>
      </c>
      <c r="BZ195" s="18">
        <v>0.25527911719002505</v>
      </c>
      <c r="CA195" s="18">
        <v>2.5798027446780258E-3</v>
      </c>
      <c r="CB195" s="18">
        <v>0.32871488274050731</v>
      </c>
      <c r="CC195" s="18">
        <v>-0.33846990778873065</v>
      </c>
      <c r="CD195" s="18">
        <v>-2.42680790910248E-2</v>
      </c>
      <c r="CE195" s="18">
        <v>0.1599010199522902</v>
      </c>
      <c r="CF195" s="18">
        <v>-7.2011631679285301E-2</v>
      </c>
      <c r="CG195" s="18">
        <v>-5.5720050711177894E-2</v>
      </c>
      <c r="CH195" s="18">
        <v>0.12079547937097376</v>
      </c>
      <c r="CI195" s="18">
        <v>1.6871107043991408E-2</v>
      </c>
      <c r="CJ195" s="18">
        <v>6.6744279537563844E-2</v>
      </c>
      <c r="CK195" s="18">
        <v>7.4959308599933536E-2</v>
      </c>
      <c r="CL195" s="18">
        <v>6.9952564732021147E-2</v>
      </c>
      <c r="CM195" s="18">
        <v>0.13884013063181519</v>
      </c>
      <c r="CN195" s="19">
        <v>-4.4697123987060182E-2</v>
      </c>
    </row>
    <row r="196" spans="1:92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25">
        <v>-0.16560430002412097</v>
      </c>
      <c r="AX196" s="26">
        <v>0.15334073998133022</v>
      </c>
      <c r="AY196" s="26">
        <v>6.9731005142445471E-2</v>
      </c>
      <c r="AZ196" s="18">
        <v>0.14211048647983829</v>
      </c>
      <c r="BA196" s="18">
        <v>7.5383109031452414E-2</v>
      </c>
      <c r="BB196" s="18">
        <v>-0.21439110469556838</v>
      </c>
      <c r="BC196" s="18">
        <v>7.0955061957350254E-2</v>
      </c>
      <c r="BD196" s="18">
        <v>8.746863209527911E-5</v>
      </c>
      <c r="BE196" s="18">
        <v>-0.26712642074988385</v>
      </c>
      <c r="BF196" s="18">
        <v>-0.12372472640072771</v>
      </c>
      <c r="BG196" s="18">
        <v>2.8521900696997522E-2</v>
      </c>
      <c r="BH196" s="18">
        <v>0.14259780891052487</v>
      </c>
      <c r="BI196" s="18">
        <v>-5.3691248384875406E-2</v>
      </c>
      <c r="BJ196" s="18">
        <v>-0.10006239646951169</v>
      </c>
      <c r="BK196" s="18">
        <v>0.16111572516718434</v>
      </c>
      <c r="BL196" s="18">
        <v>-0.26239465508191062</v>
      </c>
      <c r="BM196" s="18">
        <v>0.12030687958730106</v>
      </c>
      <c r="BN196" s="18">
        <v>-0.16795987679346125</v>
      </c>
      <c r="BO196" s="18">
        <v>1.8068325400916206E-2</v>
      </c>
      <c r="BP196" s="18">
        <v>-0.27432642729507711</v>
      </c>
      <c r="BQ196" s="18">
        <v>1.3490991602597329E-2</v>
      </c>
      <c r="BR196" s="18">
        <v>8.1870236708768598E-2</v>
      </c>
      <c r="BS196" s="18">
        <v>-0.26497499400397051</v>
      </c>
      <c r="BT196" s="18">
        <v>-7.9479991632858391E-2</v>
      </c>
      <c r="BU196" s="18">
        <v>-3.1724947000078213E-3</v>
      </c>
      <c r="BV196" s="18">
        <v>-2.2371068458894406E-2</v>
      </c>
      <c r="BW196" s="18">
        <v>-0.16178951220644491</v>
      </c>
      <c r="BX196" s="18">
        <v>0.27013217483874091</v>
      </c>
      <c r="BY196" s="18">
        <v>0.18381225786368094</v>
      </c>
      <c r="BZ196" s="18">
        <v>0.28043628087843264</v>
      </c>
      <c r="CA196" s="18">
        <v>-0.26512812185405604</v>
      </c>
      <c r="CB196" s="18">
        <v>4.824928009704145E-2</v>
      </c>
      <c r="CC196" s="18">
        <v>1.4191121108943812E-2</v>
      </c>
      <c r="CD196" s="18">
        <v>-2.6648395276075154E-2</v>
      </c>
      <c r="CE196" s="18">
        <v>-1.9077998580049042E-2</v>
      </c>
      <c r="CF196" s="18">
        <v>0.22277087878124122</v>
      </c>
      <c r="CG196" s="18">
        <v>-8.4651988884088286E-2</v>
      </c>
      <c r="CH196" s="18">
        <v>-0.2049593911217116</v>
      </c>
      <c r="CI196" s="18">
        <v>6.8412595000264517E-2</v>
      </c>
      <c r="CJ196" s="18">
        <v>7.3913956058437272E-2</v>
      </c>
      <c r="CK196" s="18">
        <v>-8.461551267709029E-2</v>
      </c>
      <c r="CL196" s="18">
        <v>-0.11672357215744321</v>
      </c>
      <c r="CM196" s="18">
        <v>8.5975796185693565E-2</v>
      </c>
      <c r="CN196" s="19">
        <v>-0.16438113110301308</v>
      </c>
    </row>
    <row r="197" spans="1:92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25">
        <v>-0.20301364823073606</v>
      </c>
      <c r="AX197" s="26">
        <v>9.9653719597154689E-2</v>
      </c>
      <c r="AY197" s="26">
        <v>4.1271490693068492E-2</v>
      </c>
      <c r="AZ197" s="18">
        <v>-2.7180229373165495E-2</v>
      </c>
      <c r="BA197" s="18">
        <v>0.1919915813238057</v>
      </c>
      <c r="BB197" s="18">
        <v>3.5856831245827718E-2</v>
      </c>
      <c r="BC197" s="18">
        <v>-3.7797706943191595E-2</v>
      </c>
      <c r="BD197" s="18">
        <v>-3.017384807442363E-2</v>
      </c>
      <c r="BE197" s="18">
        <v>-9.3579834306567744E-2</v>
      </c>
      <c r="BF197" s="18">
        <v>-0.21560028191976752</v>
      </c>
      <c r="BG197" s="18">
        <v>-0.13512063654488018</v>
      </c>
      <c r="BH197" s="18">
        <v>-0.16207077372227593</v>
      </c>
      <c r="BI197" s="18">
        <v>5.0490425459802077E-2</v>
      </c>
      <c r="BJ197" s="18">
        <v>0.10671575251420631</v>
      </c>
      <c r="BK197" s="18">
        <v>0.19887225092020752</v>
      </c>
      <c r="BL197" s="18">
        <v>1.3091132791678579E-2</v>
      </c>
      <c r="BM197" s="18">
        <v>5.3706313674673559E-2</v>
      </c>
      <c r="BN197" s="18">
        <v>0.12156769040947323</v>
      </c>
      <c r="BO197" s="18">
        <v>2.7370152703508944E-2</v>
      </c>
      <c r="BP197" s="18">
        <v>-9.057905919429414E-2</v>
      </c>
      <c r="BQ197" s="18">
        <v>6.8461354242708175E-2</v>
      </c>
      <c r="BR197" s="18">
        <v>4.0199191317591726E-2</v>
      </c>
      <c r="BS197" s="18">
        <v>-0.31809263887900346</v>
      </c>
      <c r="BT197" s="18">
        <v>-0.27968288302417654</v>
      </c>
      <c r="BU197" s="18">
        <v>-7.2733115087394246E-2</v>
      </c>
      <c r="BV197" s="18">
        <v>6.4252885068596707E-2</v>
      </c>
      <c r="BW197" s="18">
        <v>0.20079450864250176</v>
      </c>
      <c r="BX197" s="18">
        <v>0.31621109284953314</v>
      </c>
      <c r="BY197" s="18">
        <v>-0.23862793796111181</v>
      </c>
      <c r="BZ197" s="18">
        <v>-0.10205299220465794</v>
      </c>
      <c r="CA197" s="18">
        <v>0.30938629022581643</v>
      </c>
      <c r="CB197" s="18">
        <v>-0.22592565383895261</v>
      </c>
      <c r="CC197" s="18">
        <v>0.11946016991383038</v>
      </c>
      <c r="CD197" s="18">
        <v>9.5232178024621125E-2</v>
      </c>
      <c r="CE197" s="18">
        <v>-8.7206763926103062E-2</v>
      </c>
      <c r="CF197" s="18">
        <v>-3.4639932753242161E-2</v>
      </c>
      <c r="CG197" s="18">
        <v>-8.8975255127004646E-2</v>
      </c>
      <c r="CH197" s="18">
        <v>0.11893877204282266</v>
      </c>
      <c r="CI197" s="18">
        <v>-7.7581474640580655E-2</v>
      </c>
      <c r="CJ197" s="18">
        <v>-0.18898903456857116</v>
      </c>
      <c r="CK197" s="18">
        <v>4.3164372132430649E-2</v>
      </c>
      <c r="CL197" s="18">
        <v>0.16124211059475227</v>
      </c>
      <c r="CM197" s="18">
        <v>-0.20324475604412204</v>
      </c>
      <c r="CN197" s="19">
        <v>0.10590768897660023</v>
      </c>
    </row>
    <row r="198" spans="1:92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25">
        <v>-0.18879177960487248</v>
      </c>
      <c r="AX198" s="26">
        <v>5.6259660569465894E-2</v>
      </c>
      <c r="AY198" s="26">
        <v>-0.13519724358219129</v>
      </c>
      <c r="AZ198" s="18">
        <v>-4.1868107292551216E-3</v>
      </c>
      <c r="BA198" s="18">
        <v>0.18954556880242035</v>
      </c>
      <c r="BB198" s="18">
        <v>-0.1538460691557722</v>
      </c>
      <c r="BC198" s="18">
        <v>0.10355921116424194</v>
      </c>
      <c r="BD198" s="18">
        <v>0.1479157960598754</v>
      </c>
      <c r="BE198" s="18">
        <v>-8.377098716422357E-2</v>
      </c>
      <c r="BF198" s="18">
        <v>2.7085846931860958E-3</v>
      </c>
      <c r="BG198" s="18">
        <v>-0.19195146114492609</v>
      </c>
      <c r="BH198" s="18">
        <v>-6.1665512765360312E-3</v>
      </c>
      <c r="BI198" s="18">
        <v>0.17980179935312243</v>
      </c>
      <c r="BJ198" s="18">
        <v>-7.2392711539697147E-2</v>
      </c>
      <c r="BK198" s="18">
        <v>0.19768992056538631</v>
      </c>
      <c r="BL198" s="18">
        <v>0.25118524607472065</v>
      </c>
      <c r="BM198" s="18">
        <v>4.946948073332167E-2</v>
      </c>
      <c r="BN198" s="18">
        <v>-0.23763779046566341</v>
      </c>
      <c r="BO198" s="18">
        <v>0.13288398213049801</v>
      </c>
      <c r="BP198" s="18">
        <v>2.9108742842055522E-2</v>
      </c>
      <c r="BQ198" s="18">
        <v>-5.831393777465111E-2</v>
      </c>
      <c r="BR198" s="18">
        <v>-3.9222492526972963E-2</v>
      </c>
      <c r="BS198" s="18">
        <v>2.0292538091780637E-2</v>
      </c>
      <c r="BT198" s="18">
        <v>-4.7851583414391802E-2</v>
      </c>
      <c r="BU198" s="18">
        <v>-2.7719653693573161E-2</v>
      </c>
      <c r="BV198" s="18">
        <v>0.13070981829928499</v>
      </c>
      <c r="BW198" s="18">
        <v>-6.3385714013302072E-3</v>
      </c>
      <c r="BX198" s="18">
        <v>-0.33281790075762924</v>
      </c>
      <c r="BY198" s="18">
        <v>0.23454004766178788</v>
      </c>
      <c r="BZ198" s="18">
        <v>0.16324530548952046</v>
      </c>
      <c r="CA198" s="18">
        <v>0.30529166420672621</v>
      </c>
      <c r="CB198" s="18">
        <v>0.14875289808700537</v>
      </c>
      <c r="CC198" s="18">
        <v>-0.11696449304186059</v>
      </c>
      <c r="CD198" s="18">
        <v>-7.4042738389630894E-2</v>
      </c>
      <c r="CE198" s="18">
        <v>-0.18342106121511131</v>
      </c>
      <c r="CF198" s="18">
        <v>-7.6158684385663644E-2</v>
      </c>
      <c r="CG198" s="18">
        <v>0.22914341119727172</v>
      </c>
      <c r="CH198" s="18">
        <v>-0.15629974987373335</v>
      </c>
      <c r="CI198" s="18">
        <v>-0.14684604131348572</v>
      </c>
      <c r="CJ198" s="18">
        <v>-0.21685978565569522</v>
      </c>
      <c r="CK198" s="18">
        <v>0.17842216646169731</v>
      </c>
      <c r="CL198" s="18">
        <v>-0.14155656314743256</v>
      </c>
      <c r="CM198" s="18">
        <v>7.4650264368966747E-3</v>
      </c>
      <c r="CN198" s="19">
        <v>-1.6310322321778165E-2</v>
      </c>
    </row>
    <row r="199" spans="1:92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25">
        <v>-0.13110269844526221</v>
      </c>
      <c r="AX199" s="26">
        <v>5.2354416122293211E-2</v>
      </c>
      <c r="AY199" s="26">
        <v>-0.19376719511902221</v>
      </c>
      <c r="AZ199" s="18">
        <v>2.1653309199819721E-4</v>
      </c>
      <c r="BA199" s="18">
        <v>0.40033936461308212</v>
      </c>
      <c r="BB199" s="18">
        <v>-5.9009900953111837E-2</v>
      </c>
      <c r="BC199" s="18">
        <v>-0.1577313199868865</v>
      </c>
      <c r="BD199" s="18">
        <v>0.16068507752265818</v>
      </c>
      <c r="BE199" s="18">
        <v>-1.9807791766653485E-2</v>
      </c>
      <c r="BF199" s="18">
        <v>1.7934494436551505E-2</v>
      </c>
      <c r="BG199" s="18">
        <v>-0.17227967523369958</v>
      </c>
      <c r="BH199" s="18">
        <v>-5.4116138815782928E-2</v>
      </c>
      <c r="BI199" s="18">
        <v>0.20195111377393221</v>
      </c>
      <c r="BJ199" s="18">
        <v>-7.2787115715790204E-2</v>
      </c>
      <c r="BK199" s="18">
        <v>-3.8193892911982739E-2</v>
      </c>
      <c r="BL199" s="18">
        <v>0.14273262822600738</v>
      </c>
      <c r="BM199" s="18">
        <v>-4.1779111225777495E-2</v>
      </c>
      <c r="BN199" s="18">
        <v>8.0684894790941278E-2</v>
      </c>
      <c r="BO199" s="18">
        <v>-8.9999969197408908E-2</v>
      </c>
      <c r="BP199" s="18">
        <v>0.25333623462824845</v>
      </c>
      <c r="BQ199" s="18">
        <v>-0.33963684392515853</v>
      </c>
      <c r="BR199" s="18">
        <v>5.18436724803642E-2</v>
      </c>
      <c r="BS199" s="18">
        <v>0.11482385801193391</v>
      </c>
      <c r="BT199" s="18">
        <v>0.1160017167032755</v>
      </c>
      <c r="BU199" s="18">
        <v>0.16231976557871261</v>
      </c>
      <c r="BV199" s="18">
        <v>-0.31482660121415035</v>
      </c>
      <c r="BW199" s="18">
        <v>4.4420473733661342E-2</v>
      </c>
      <c r="BX199" s="18">
        <v>4.2710694536171594E-2</v>
      </c>
      <c r="BY199" s="18">
        <v>8.2707600152206739E-2</v>
      </c>
      <c r="BZ199" s="18">
        <v>3.6159360053867537E-2</v>
      </c>
      <c r="CA199" s="18">
        <v>-2.7952387596691625E-2</v>
      </c>
      <c r="CB199" s="18">
        <v>-0.15723297420777174</v>
      </c>
      <c r="CC199" s="18">
        <v>7.1785739057309964E-2</v>
      </c>
      <c r="CD199" s="18">
        <v>7.5286151470874835E-2</v>
      </c>
      <c r="CE199" s="18">
        <v>5.3401389852044084E-4</v>
      </c>
      <c r="CF199" s="18">
        <v>0.17372530609389097</v>
      </c>
      <c r="CG199" s="18">
        <v>-0.17985764733845711</v>
      </c>
      <c r="CH199" s="18">
        <v>-4.5141024431302898E-2</v>
      </c>
      <c r="CI199" s="18">
        <v>7.103075982120409E-2</v>
      </c>
      <c r="CJ199" s="18">
        <v>0.17259113781351149</v>
      </c>
      <c r="CK199" s="18">
        <v>-0.34287740019675633</v>
      </c>
      <c r="CL199" s="18">
        <v>1.7080180164379816E-2</v>
      </c>
      <c r="CM199" s="18">
        <v>-9.9850149409320355E-2</v>
      </c>
      <c r="CN199" s="19">
        <v>-2.5669330904967782E-2</v>
      </c>
    </row>
    <row r="200" spans="1:92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25">
        <v>-9.3422519044980487E-2</v>
      </c>
      <c r="AX200" s="26">
        <v>0.16624212115689305</v>
      </c>
      <c r="AY200" s="26">
        <v>-0.20865452478770544</v>
      </c>
      <c r="AZ200" s="18">
        <v>-9.4581183327352464E-2</v>
      </c>
      <c r="BA200" s="18">
        <v>0.24132335665491619</v>
      </c>
      <c r="BB200" s="18">
        <v>1.762663488631187E-2</v>
      </c>
      <c r="BC200" s="18">
        <v>-0.26693899513134434</v>
      </c>
      <c r="BD200" s="18">
        <v>-5.246483954677425E-2</v>
      </c>
      <c r="BE200" s="18">
        <v>4.1580756080522988E-2</v>
      </c>
      <c r="BF200" s="18">
        <v>0.10536228672018789</v>
      </c>
      <c r="BG200" s="18">
        <v>0.2317703666226662</v>
      </c>
      <c r="BH200" s="18">
        <v>-0.17377816977929975</v>
      </c>
      <c r="BI200" s="18">
        <v>-0.18889697418701809</v>
      </c>
      <c r="BJ200" s="18">
        <v>-0.18057074927109193</v>
      </c>
      <c r="BK200" s="18">
        <v>0.17903562617795643</v>
      </c>
      <c r="BL200" s="18">
        <v>9.1371575574848249E-2</v>
      </c>
      <c r="BM200" s="18">
        <v>-4.6572826188906118E-2</v>
      </c>
      <c r="BN200" s="18">
        <v>-0.22301090039932694</v>
      </c>
      <c r="BO200" s="18">
        <v>-0.35194340704647092</v>
      </c>
      <c r="BP200" s="18">
        <v>6.364608652891833E-2</v>
      </c>
      <c r="BQ200" s="18">
        <v>0.33996590604939869</v>
      </c>
      <c r="BR200" s="18">
        <v>-8.051760975528699E-2</v>
      </c>
      <c r="BS200" s="18">
        <v>4.7939727434368258E-2</v>
      </c>
      <c r="BT200" s="18">
        <v>2.4833141647358711E-2</v>
      </c>
      <c r="BU200" s="18">
        <v>0.16138306389231832</v>
      </c>
      <c r="BV200" s="18">
        <v>-7.8946564122238244E-2</v>
      </c>
      <c r="BW200" s="18">
        <v>-0.17510477407992825</v>
      </c>
      <c r="BX200" s="18">
        <v>2.5039094025086927E-2</v>
      </c>
      <c r="BY200" s="18">
        <v>-0.22213136010896192</v>
      </c>
      <c r="BZ200" s="18">
        <v>0.12757154489316769</v>
      </c>
      <c r="CA200" s="18">
        <v>-5.6780956906983746E-2</v>
      </c>
      <c r="CB200" s="18">
        <v>-9.6575405566630291E-3</v>
      </c>
      <c r="CC200" s="18">
        <v>2.9341345238223116E-2</v>
      </c>
      <c r="CD200" s="18">
        <v>-0.13669702968345018</v>
      </c>
      <c r="CE200" s="18">
        <v>-1.4207825070500581E-2</v>
      </c>
      <c r="CF200" s="18">
        <v>-6.1136197578997173E-2</v>
      </c>
      <c r="CG200" s="18">
        <v>-4.1941470989452931E-2</v>
      </c>
      <c r="CH200" s="18">
        <v>7.670096567922173E-2</v>
      </c>
      <c r="CI200" s="18">
        <v>-5.6399448510038287E-2</v>
      </c>
      <c r="CJ200" s="18">
        <v>0.11761570509856828</v>
      </c>
      <c r="CK200" s="18">
        <v>0.29352757503374766</v>
      </c>
      <c r="CL200" s="18">
        <v>-8.3787024618765943E-3</v>
      </c>
      <c r="CM200" s="18">
        <v>-1.8217432619190069E-2</v>
      </c>
      <c r="CN200" s="19">
        <v>-3.4115748659300081E-2</v>
      </c>
    </row>
    <row r="201" spans="1:92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25">
        <v>-0.12184273965638746</v>
      </c>
      <c r="AX201" s="26">
        <v>0.20761438505284624</v>
      </c>
      <c r="AY201" s="26">
        <v>-2.8338986921147044E-2</v>
      </c>
      <c r="AZ201" s="18">
        <v>4.5854826462736066E-2</v>
      </c>
      <c r="BA201" s="18">
        <v>-9.4341649700140515E-2</v>
      </c>
      <c r="BB201" s="18">
        <v>-0.34108318004475008</v>
      </c>
      <c r="BC201" s="18">
        <v>7.0350059269897068E-3</v>
      </c>
      <c r="BD201" s="18">
        <v>-3.8050274201802355E-2</v>
      </c>
      <c r="BE201" s="18">
        <v>-4.2141673071680465E-2</v>
      </c>
      <c r="BF201" s="18">
        <v>-5.7107012792382381E-2</v>
      </c>
      <c r="BG201" s="18">
        <v>0.21749397611426433</v>
      </c>
      <c r="BH201" s="18">
        <v>0.16918952957557071</v>
      </c>
      <c r="BI201" s="18">
        <v>-0.15326252268197119</v>
      </c>
      <c r="BJ201" s="18">
        <v>0.35767010783154268</v>
      </c>
      <c r="BK201" s="18">
        <v>0.16672593644008407</v>
      </c>
      <c r="BL201" s="18">
        <v>5.4213928306289433E-2</v>
      </c>
      <c r="BM201" s="18">
        <v>-1.2669734215305524E-2</v>
      </c>
      <c r="BN201" s="18">
        <v>-0.11246556954064563</v>
      </c>
      <c r="BO201" s="18">
        <v>0.2975198585737136</v>
      </c>
      <c r="BP201" s="18">
        <v>0.27958311100361122</v>
      </c>
      <c r="BQ201" s="18">
        <v>0.15040247116245384</v>
      </c>
      <c r="BR201" s="18">
        <v>-6.5293956022473856E-2</v>
      </c>
      <c r="BS201" s="18">
        <v>-8.3670275215812953E-2</v>
      </c>
      <c r="BT201" s="18">
        <v>-3.341872888453927E-2</v>
      </c>
      <c r="BU201" s="18">
        <v>0.26000604642570202</v>
      </c>
      <c r="BV201" s="18">
        <v>-0.11033300427071449</v>
      </c>
      <c r="BW201" s="18">
        <v>-1.3329110965903545E-2</v>
      </c>
      <c r="BX201" s="18">
        <v>-0.13439908024330055</v>
      </c>
      <c r="BY201" s="18">
        <v>1.6815886485885827E-2</v>
      </c>
      <c r="BZ201" s="18">
        <v>-0.29693184422506091</v>
      </c>
      <c r="CA201" s="18">
        <v>2.4296446432623065E-2</v>
      </c>
      <c r="CB201" s="18">
        <v>1.2516267818851307E-2</v>
      </c>
      <c r="CC201" s="18">
        <v>1.4701186430185713E-2</v>
      </c>
      <c r="CD201" s="18">
        <v>-3.0132021814906412E-2</v>
      </c>
      <c r="CE201" s="18">
        <v>-7.8911978546758327E-2</v>
      </c>
      <c r="CF201" s="18">
        <v>-3.5247219295099351E-2</v>
      </c>
      <c r="CG201" s="18">
        <v>1.5192331881120036E-2</v>
      </c>
      <c r="CH201" s="18">
        <v>3.1716426946911638E-2</v>
      </c>
      <c r="CI201" s="18">
        <v>0.29975243751213004</v>
      </c>
      <c r="CJ201" s="18">
        <v>0.11561564995756182</v>
      </c>
      <c r="CK201" s="18">
        <v>-0.10446605481925718</v>
      </c>
      <c r="CL201" s="18">
        <v>2.0214160020881961E-2</v>
      </c>
      <c r="CM201" s="18">
        <v>-6.4643015258187622E-2</v>
      </c>
      <c r="CN201" s="19">
        <v>0.13794650856388352</v>
      </c>
    </row>
    <row r="202" spans="1:92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25">
        <v>-0.16185456932884221</v>
      </c>
      <c r="AX202" s="26">
        <v>2.668612737779049E-2</v>
      </c>
      <c r="AY202" s="26">
        <v>0.17355947525104451</v>
      </c>
      <c r="AZ202" s="18">
        <v>-9.1142993388801899E-2</v>
      </c>
      <c r="BA202" s="18">
        <v>-0.24357148078425611</v>
      </c>
      <c r="BB202" s="18">
        <v>-0.1754810637580288</v>
      </c>
      <c r="BC202" s="18">
        <v>-4.1286504201667025E-2</v>
      </c>
      <c r="BD202" s="18">
        <v>6.4824042404742335E-2</v>
      </c>
      <c r="BE202" s="18">
        <v>4.9563808869092223E-2</v>
      </c>
      <c r="BF202" s="18">
        <v>-0.16933458936150353</v>
      </c>
      <c r="BG202" s="18">
        <v>-3.402766189044306E-2</v>
      </c>
      <c r="BH202" s="18">
        <v>-0.15454735967719616</v>
      </c>
      <c r="BI202" s="18">
        <v>-0.24188346683256984</v>
      </c>
      <c r="BJ202" s="18">
        <v>0.17742035792345842</v>
      </c>
      <c r="BK202" s="18">
        <v>-8.1792785306192745E-2</v>
      </c>
      <c r="BL202" s="18">
        <v>0.38838704475546854</v>
      </c>
      <c r="BM202" s="18">
        <v>7.8045127110573834E-2</v>
      </c>
      <c r="BN202" s="18">
        <v>-3.6647613089863855E-2</v>
      </c>
      <c r="BO202" s="18">
        <v>5.2964064852313648E-2</v>
      </c>
      <c r="BP202" s="18">
        <v>5.4538470044838673E-2</v>
      </c>
      <c r="BQ202" s="18">
        <v>-0.2877524041213001</v>
      </c>
      <c r="BR202" s="18">
        <v>5.921905057985672E-2</v>
      </c>
      <c r="BS202" s="18">
        <v>0.13570840823393077</v>
      </c>
      <c r="BT202" s="18">
        <v>-0.12610618634073861</v>
      </c>
      <c r="BU202" s="18">
        <v>0.10137760310859215</v>
      </c>
      <c r="BV202" s="18">
        <v>-1.8854673237511742E-2</v>
      </c>
      <c r="BW202" s="18">
        <v>-0.13710163592646921</v>
      </c>
      <c r="BX202" s="18">
        <v>6.7036733446241878E-2</v>
      </c>
      <c r="BY202" s="18">
        <v>-8.9263588016465556E-2</v>
      </c>
      <c r="BZ202" s="18">
        <v>0.10026461305894561</v>
      </c>
      <c r="CA202" s="18">
        <v>-0.2083020977064973</v>
      </c>
      <c r="CB202" s="18">
        <v>-2.6784106855254061E-2</v>
      </c>
      <c r="CC202" s="18">
        <v>-2.6303435468831071E-2</v>
      </c>
      <c r="CD202" s="18">
        <v>-2.2669408008241951E-2</v>
      </c>
      <c r="CE202" s="18">
        <v>0.20837458603035086</v>
      </c>
      <c r="CF202" s="18">
        <v>0.3071037913162602</v>
      </c>
      <c r="CG202" s="18">
        <v>1.8142384650873155E-2</v>
      </c>
      <c r="CH202" s="18">
        <v>0.14054265550068948</v>
      </c>
      <c r="CI202" s="18">
        <v>-0.2274351100541897</v>
      </c>
      <c r="CJ202" s="18">
        <v>-0.16632076325056819</v>
      </c>
      <c r="CK202" s="18">
        <v>0.18920734450044022</v>
      </c>
      <c r="CL202" s="18">
        <v>-8.8430357476081533E-3</v>
      </c>
      <c r="CM202" s="18">
        <v>-0.10207847616263564</v>
      </c>
      <c r="CN202" s="19">
        <v>-0.14261714737797157</v>
      </c>
    </row>
    <row r="203" spans="1:92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25">
        <v>-0.10277439075443627</v>
      </c>
      <c r="AX203" s="26">
        <v>-7.9027340397643184E-2</v>
      </c>
      <c r="AY203" s="26">
        <v>-0.19304906185992157</v>
      </c>
      <c r="AZ203" s="18">
        <v>-1.1738348712499553E-2</v>
      </c>
      <c r="BA203" s="18">
        <v>-0.24736061236359533</v>
      </c>
      <c r="BB203" s="18">
        <v>-8.5125575026593819E-2</v>
      </c>
      <c r="BC203" s="18">
        <v>-0.17943068549515825</v>
      </c>
      <c r="BD203" s="18">
        <v>-0.14387134038600696</v>
      </c>
      <c r="BE203" s="18">
        <v>2.3157197269644186E-2</v>
      </c>
      <c r="BF203" s="18">
        <v>-0.35204553231036645</v>
      </c>
      <c r="BG203" s="18">
        <v>0.31759482485713253</v>
      </c>
      <c r="BH203" s="18">
        <v>-7.2876604017638708E-2</v>
      </c>
      <c r="BI203" s="18">
        <v>0.29377426457745182</v>
      </c>
      <c r="BJ203" s="18">
        <v>1.0112659073799841E-2</v>
      </c>
      <c r="BK203" s="18">
        <v>-0.10070621989988811</v>
      </c>
      <c r="BL203" s="18">
        <v>0.27607224063218355</v>
      </c>
      <c r="BM203" s="18">
        <v>-6.2831969024962547E-2</v>
      </c>
      <c r="BN203" s="18">
        <v>6.8457848523428219E-2</v>
      </c>
      <c r="BO203" s="18">
        <v>-1.6496852974212627E-2</v>
      </c>
      <c r="BP203" s="18">
        <v>-0.24123990650164673</v>
      </c>
      <c r="BQ203" s="18">
        <v>8.6228386812039273E-2</v>
      </c>
      <c r="BR203" s="18">
        <v>-0.15980151673431153</v>
      </c>
      <c r="BS203" s="18">
        <v>0.17065847619961139</v>
      </c>
      <c r="BT203" s="18">
        <v>-4.7399483806908595E-2</v>
      </c>
      <c r="BU203" s="18">
        <v>5.3536140557930156E-2</v>
      </c>
      <c r="BV203" s="18">
        <v>-0.1473649404853741</v>
      </c>
      <c r="BW203" s="18">
        <v>0.23325750012429947</v>
      </c>
      <c r="BX203" s="18">
        <v>0.15281367832634954</v>
      </c>
      <c r="BY203" s="18">
        <v>-1.4045837247533909E-2</v>
      </c>
      <c r="BZ203" s="18">
        <v>0.16940270474195213</v>
      </c>
      <c r="CA203" s="18">
        <v>1.7174116218498129E-2</v>
      </c>
      <c r="CB203" s="18">
        <v>7.1473472989700415E-2</v>
      </c>
      <c r="CC203" s="18">
        <v>5.3742424511441081E-2</v>
      </c>
      <c r="CD203" s="18">
        <v>4.4676845322409245E-3</v>
      </c>
      <c r="CE203" s="18">
        <v>-0.13618428581993375</v>
      </c>
      <c r="CF203" s="18">
        <v>-8.7753998661944083E-2</v>
      </c>
      <c r="CG203" s="18">
        <v>7.7937606639904081E-3</v>
      </c>
      <c r="CH203" s="18">
        <v>-0.15954504331117364</v>
      </c>
      <c r="CI203" s="18">
        <v>5.7712059119330757E-2</v>
      </c>
      <c r="CJ203" s="18">
        <v>-8.6423285052975835E-2</v>
      </c>
      <c r="CK203" s="18">
        <v>-0.14609919261543255</v>
      </c>
      <c r="CL203" s="18">
        <v>-8.3731750592670837E-2</v>
      </c>
      <c r="CM203" s="18">
        <v>0.23924219132333563</v>
      </c>
      <c r="CN203" s="19">
        <v>4.3529186421016185E-2</v>
      </c>
    </row>
    <row r="204" spans="1:92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25">
        <v>-0.184098420442976</v>
      </c>
      <c r="AX204" s="26">
        <v>7.0328287877429591E-2</v>
      </c>
      <c r="AY204" s="26">
        <v>4.3500542322189285E-2</v>
      </c>
      <c r="AZ204" s="18">
        <v>-1.1555460523827261E-2</v>
      </c>
      <c r="BA204" s="18">
        <v>-3.2797894464504866E-2</v>
      </c>
      <c r="BB204" s="18">
        <v>-0.11814904871005702</v>
      </c>
      <c r="BC204" s="18">
        <v>0.17418388700315454</v>
      </c>
      <c r="BD204" s="18">
        <v>-0.25928048000721837</v>
      </c>
      <c r="BE204" s="18">
        <v>0.22451871050467972</v>
      </c>
      <c r="BF204" s="18">
        <v>-0.15643979899907187</v>
      </c>
      <c r="BG204" s="18">
        <v>0.22432545000849827</v>
      </c>
      <c r="BH204" s="18">
        <v>0.1010977265348154</v>
      </c>
      <c r="BI204" s="18">
        <v>0.20719375182578473</v>
      </c>
      <c r="BJ204" s="18">
        <v>-0.13087837161984636</v>
      </c>
      <c r="BK204" s="18">
        <v>1.8306689765083171E-2</v>
      </c>
      <c r="BL204" s="18">
        <v>-0.16119487209313293</v>
      </c>
      <c r="BM204" s="18">
        <v>6.5714513084975626E-2</v>
      </c>
      <c r="BN204" s="18">
        <v>0.12943234348782692</v>
      </c>
      <c r="BO204" s="18">
        <v>-9.4178201845574239E-2</v>
      </c>
      <c r="BP204" s="18">
        <v>0.21017268447399595</v>
      </c>
      <c r="BQ204" s="18">
        <v>2.0817779205788436E-3</v>
      </c>
      <c r="BR204" s="18">
        <v>-5.1101813188545647E-2</v>
      </c>
      <c r="BS204" s="18">
        <v>0.10877909512204409</v>
      </c>
      <c r="BT204" s="18">
        <v>6.9419130323540297E-4</v>
      </c>
      <c r="BU204" s="18">
        <v>-0.32218385296484137</v>
      </c>
      <c r="BV204" s="18">
        <v>-7.1337341197399207E-2</v>
      </c>
      <c r="BW204" s="18">
        <v>3.9327052428191164E-2</v>
      </c>
      <c r="BX204" s="18">
        <v>-6.7898321006530024E-3</v>
      </c>
      <c r="BY204" s="18">
        <v>0.11004714072354131</v>
      </c>
      <c r="BZ204" s="18">
        <v>-0.11529826013420683</v>
      </c>
      <c r="CA204" s="18">
        <v>7.822516652885296E-2</v>
      </c>
      <c r="CB204" s="18">
        <v>-8.7537117245306703E-2</v>
      </c>
      <c r="CC204" s="18">
        <v>3.1735577878454282E-2</v>
      </c>
      <c r="CD204" s="18">
        <v>-0.38554822183165738</v>
      </c>
      <c r="CE204" s="18">
        <v>6.2821034663792227E-2</v>
      </c>
      <c r="CF204" s="18">
        <v>8.315371501290271E-2</v>
      </c>
      <c r="CG204" s="18">
        <v>4.232667518963789E-2</v>
      </c>
      <c r="CH204" s="18">
        <v>-7.1036542860945129E-2</v>
      </c>
      <c r="CI204" s="18">
        <v>-0.13334492917599852</v>
      </c>
      <c r="CJ204" s="18">
        <v>0.105913148485809</v>
      </c>
      <c r="CK204" s="18">
        <v>6.0871208340052128E-2</v>
      </c>
      <c r="CL204" s="18">
        <v>-1.6791073687144893E-2</v>
      </c>
      <c r="CM204" s="18">
        <v>-0.35723013373553353</v>
      </c>
      <c r="CN204" s="19">
        <v>-0.24196621463884954</v>
      </c>
    </row>
    <row r="205" spans="1:92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25">
        <v>-0.17757627625001995</v>
      </c>
      <c r="AX205" s="26">
        <v>3.4038412410169312E-2</v>
      </c>
      <c r="AY205" s="26">
        <v>9.9438595383975384E-2</v>
      </c>
      <c r="AZ205" s="18">
        <v>-1.7670562953693035E-2</v>
      </c>
      <c r="BA205" s="18">
        <v>0.14476457321195732</v>
      </c>
      <c r="BB205" s="18">
        <v>-0.12793519850264221</v>
      </c>
      <c r="BC205" s="18">
        <v>8.3063603149656537E-2</v>
      </c>
      <c r="BD205" s="18">
        <v>-0.33241729927075225</v>
      </c>
      <c r="BE205" s="18">
        <v>0.15224074082834885</v>
      </c>
      <c r="BF205" s="18">
        <v>-0.22079536292130819</v>
      </c>
      <c r="BG205" s="18">
        <v>7.9166288838202717E-2</v>
      </c>
      <c r="BH205" s="18">
        <v>-1.7759636334753817E-2</v>
      </c>
      <c r="BI205" s="18">
        <v>0.16679215322269675</v>
      </c>
      <c r="BJ205" s="18">
        <v>-0.2680574715349322</v>
      </c>
      <c r="BK205" s="18">
        <v>1.1351611529031112E-3</v>
      </c>
      <c r="BL205" s="18">
        <v>-0.13088541519589272</v>
      </c>
      <c r="BM205" s="18">
        <v>0.11545593789247166</v>
      </c>
      <c r="BN205" s="18">
        <v>9.7165613127046906E-3</v>
      </c>
      <c r="BO205" s="18">
        <v>0.11441823943913317</v>
      </c>
      <c r="BP205" s="18">
        <v>3.521094334877279E-2</v>
      </c>
      <c r="BQ205" s="18">
        <v>-0.12267505297718434</v>
      </c>
      <c r="BR205" s="18">
        <v>9.5233235554672765E-2</v>
      </c>
      <c r="BS205" s="18">
        <v>1.0876741970179333E-2</v>
      </c>
      <c r="BT205" s="18">
        <v>0.25768505273423692</v>
      </c>
      <c r="BU205" s="18">
        <v>0.25167556225802001</v>
      </c>
      <c r="BV205" s="18">
        <v>0.10144378873072735</v>
      </c>
      <c r="BW205" s="18">
        <v>-0.13015208643078519</v>
      </c>
      <c r="BX205" s="18">
        <v>-1.3383037609752936E-2</v>
      </c>
      <c r="BY205" s="18">
        <v>7.4793410155148288E-2</v>
      </c>
      <c r="BZ205" s="18">
        <v>-0.17442290358732976</v>
      </c>
      <c r="CA205" s="18">
        <v>-4.9126945284206957E-3</v>
      </c>
      <c r="CB205" s="18">
        <v>1.9136419146980929E-2</v>
      </c>
      <c r="CC205" s="18">
        <v>-2.5522681018299478E-2</v>
      </c>
      <c r="CD205" s="18">
        <v>0.36850394681054072</v>
      </c>
      <c r="CE205" s="18">
        <v>6.4669101090649175E-2</v>
      </c>
      <c r="CF205" s="18">
        <v>-6.6675181653895715E-2</v>
      </c>
      <c r="CG205" s="18">
        <v>-7.9190395991715526E-2</v>
      </c>
      <c r="CH205" s="18">
        <v>0.20656013745976512</v>
      </c>
      <c r="CI205" s="18">
        <v>-0.16247634519999032</v>
      </c>
      <c r="CJ205" s="18">
        <v>7.6409949612041535E-3</v>
      </c>
      <c r="CK205" s="18">
        <v>0.20288751637612043</v>
      </c>
      <c r="CL205" s="18">
        <v>4.8475441487474701E-2</v>
      </c>
      <c r="CM205" s="18">
        <v>0.28687349176471194</v>
      </c>
      <c r="CN205" s="19">
        <v>0.12342766900687245</v>
      </c>
    </row>
    <row r="206" spans="1:92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25">
        <v>-0.13129762035764123</v>
      </c>
      <c r="AX206" s="26">
        <v>-0.15930842166425691</v>
      </c>
      <c r="AY206" s="26">
        <v>0.14603976254809359</v>
      </c>
      <c r="AZ206" s="18">
        <v>-0.11349415303532524</v>
      </c>
      <c r="BA206" s="18">
        <v>0.13574909476838676</v>
      </c>
      <c r="BB206" s="18">
        <v>-6.554770202194758E-3</v>
      </c>
      <c r="BC206" s="18">
        <v>-0.11792177475360344</v>
      </c>
      <c r="BD206" s="18">
        <v>-0.3643372100466305</v>
      </c>
      <c r="BE206" s="18">
        <v>-9.4313774890061097E-2</v>
      </c>
      <c r="BF206" s="18">
        <v>-3.6868322698416812E-2</v>
      </c>
      <c r="BG206" s="18">
        <v>-0.16541458486010158</v>
      </c>
      <c r="BH206" s="18">
        <v>0.31860873951085034</v>
      </c>
      <c r="BI206" s="18">
        <v>-0.1028552258613971</v>
      </c>
      <c r="BJ206" s="18">
        <v>1.5936337271976995E-2</v>
      </c>
      <c r="BK206" s="18">
        <v>-9.9671163098274423E-2</v>
      </c>
      <c r="BL206" s="18">
        <v>0.25258695178018969</v>
      </c>
      <c r="BM206" s="18">
        <v>7.0784467057041944E-2</v>
      </c>
      <c r="BN206" s="18">
        <v>-3.9753558769581372E-2</v>
      </c>
      <c r="BO206" s="18">
        <v>-0.12781609340000163</v>
      </c>
      <c r="BP206" s="18">
        <v>7.5779590023908036E-2</v>
      </c>
      <c r="BQ206" s="18">
        <v>6.8322204327420255E-2</v>
      </c>
      <c r="BR206" s="18">
        <v>1.1774238463213424E-2</v>
      </c>
      <c r="BS206" s="18">
        <v>8.0864959613242728E-3</v>
      </c>
      <c r="BT206" s="18">
        <v>-0.31914958184582176</v>
      </c>
      <c r="BU206" s="18">
        <v>-0.36471586429894731</v>
      </c>
      <c r="BV206" s="18">
        <v>-7.3648379325492189E-2</v>
      </c>
      <c r="BW206" s="18">
        <v>-0.1997997743572969</v>
      </c>
      <c r="BX206" s="18">
        <v>-0.13486877955140905</v>
      </c>
      <c r="BY206" s="18">
        <v>3.7612655900120293E-2</v>
      </c>
      <c r="BZ206" s="18">
        <v>0.10835082029331512</v>
      </c>
      <c r="CA206" s="18">
        <v>1.3497011251223977E-2</v>
      </c>
      <c r="CB206" s="18">
        <v>2.0000159043886783E-2</v>
      </c>
      <c r="CC206" s="18">
        <v>3.3650462353084075E-2</v>
      </c>
      <c r="CD206" s="18">
        <v>6.0762981449497107E-2</v>
      </c>
      <c r="CE206" s="18">
        <v>8.3076070223814219E-2</v>
      </c>
      <c r="CF206" s="18">
        <v>-9.1075530011177352E-2</v>
      </c>
      <c r="CG206" s="18">
        <v>-7.1708976040914835E-2</v>
      </c>
      <c r="CH206" s="18">
        <v>0.13638927601825182</v>
      </c>
      <c r="CI206" s="18">
        <v>4.7153018116891758E-2</v>
      </c>
      <c r="CJ206" s="18">
        <v>0.16489150081084145</v>
      </c>
      <c r="CK206" s="18">
        <v>-0.13572961391451002</v>
      </c>
      <c r="CL206" s="18">
        <v>-0.11654918531059408</v>
      </c>
      <c r="CM206" s="18">
        <v>0.12017671100385094</v>
      </c>
      <c r="CN206" s="19">
        <v>0.26276719901898848</v>
      </c>
    </row>
    <row r="207" spans="1:92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25">
        <v>-0.10246156453600569</v>
      </c>
      <c r="AX207" s="26">
        <v>4.7608640740056947E-2</v>
      </c>
      <c r="AY207" s="26">
        <v>-0.16609478508423936</v>
      </c>
      <c r="AZ207" s="18">
        <v>-0.21400712046805603</v>
      </c>
      <c r="BA207" s="18">
        <v>-0.10941856893923481</v>
      </c>
      <c r="BB207" s="18">
        <v>8.786880639871894E-2</v>
      </c>
      <c r="BC207" s="18">
        <v>-0.1311217453629839</v>
      </c>
      <c r="BD207" s="18">
        <v>-0.26023505195465518</v>
      </c>
      <c r="BE207" s="18">
        <v>-0.13138027706615041</v>
      </c>
      <c r="BF207" s="18">
        <v>6.7497751139174555E-2</v>
      </c>
      <c r="BG207" s="18">
        <v>-0.22391322558995339</v>
      </c>
      <c r="BH207" s="18">
        <v>0.49940192074541068</v>
      </c>
      <c r="BI207" s="18">
        <v>-7.5625081268953093E-2</v>
      </c>
      <c r="BJ207" s="18">
        <v>4.3573102822824498E-2</v>
      </c>
      <c r="BK207" s="18">
        <v>0.15396173874521571</v>
      </c>
      <c r="BL207" s="18">
        <v>-0.21401145210597</v>
      </c>
      <c r="BM207" s="18">
        <v>-0.1751715610543215</v>
      </c>
      <c r="BN207" s="18">
        <v>-3.5068615775494638E-2</v>
      </c>
      <c r="BO207" s="18">
        <v>-8.5471395402290692E-2</v>
      </c>
      <c r="BP207" s="18">
        <v>-0.10023985625566904</v>
      </c>
      <c r="BQ207" s="18">
        <v>-0.10177679568082722</v>
      </c>
      <c r="BR207" s="18">
        <v>-9.6927576984324734E-2</v>
      </c>
      <c r="BS207" s="18">
        <v>0.26918855006276454</v>
      </c>
      <c r="BT207" s="18">
        <v>6.6638521494125583E-3</v>
      </c>
      <c r="BU207" s="18">
        <v>0.21752372206524939</v>
      </c>
      <c r="BV207" s="18">
        <v>-2.7415022022861387E-2</v>
      </c>
      <c r="BW207" s="18">
        <v>0.16625469947342555</v>
      </c>
      <c r="BX207" s="18">
        <v>8.2378841342115636E-2</v>
      </c>
      <c r="BY207" s="18">
        <v>-0.15062531762955705</v>
      </c>
      <c r="BZ207" s="18">
        <v>-3.9333166649552165E-2</v>
      </c>
      <c r="CA207" s="18">
        <v>6.7496138082627111E-2</v>
      </c>
      <c r="CB207" s="18">
        <v>8.6738709513758255E-2</v>
      </c>
      <c r="CC207" s="18">
        <v>-9.6616735604743431E-2</v>
      </c>
      <c r="CD207" s="18">
        <v>0.14361059920286171</v>
      </c>
      <c r="CE207" s="18">
        <v>-3.8060731410934696E-2</v>
      </c>
      <c r="CF207" s="18">
        <v>0.17378082775364803</v>
      </c>
      <c r="CG207" s="18">
        <v>0.18513419396168809</v>
      </c>
      <c r="CH207" s="18">
        <v>-5.0229615811709323E-2</v>
      </c>
      <c r="CI207" s="18">
        <v>-0.14097652595883806</v>
      </c>
      <c r="CJ207" s="18">
        <v>-7.1907289246944048E-2</v>
      </c>
      <c r="CK207" s="18">
        <v>2.1985652401717862E-2</v>
      </c>
      <c r="CL207" s="18">
        <v>6.7564342373189701E-2</v>
      </c>
      <c r="CM207" s="18">
        <v>-0.11552030329497708</v>
      </c>
      <c r="CN207" s="19">
        <v>-9.2626635441490884E-2</v>
      </c>
    </row>
    <row r="208" spans="1:92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25">
        <v>-0.1045864650393815</v>
      </c>
      <c r="AX208" s="26">
        <v>0.12409980938052603</v>
      </c>
      <c r="AY208" s="26">
        <v>-0.17148795863472965</v>
      </c>
      <c r="AZ208" s="18">
        <v>0.33575354207251823</v>
      </c>
      <c r="BA208" s="18">
        <v>-0.15484948238926541</v>
      </c>
      <c r="BB208" s="18">
        <v>2.0700807192248028E-2</v>
      </c>
      <c r="BC208" s="18">
        <v>-0.1008365035507898</v>
      </c>
      <c r="BD208" s="18">
        <v>-0.23330102610804598</v>
      </c>
      <c r="BE208" s="18">
        <v>-7.0163762905298729E-2</v>
      </c>
      <c r="BF208" s="18">
        <v>6.5658049471515156E-2</v>
      </c>
      <c r="BG208" s="18">
        <v>-7.9821999359573209E-2</v>
      </c>
      <c r="BH208" s="18">
        <v>-0.15055219970137557</v>
      </c>
      <c r="BI208" s="18">
        <v>-8.3595222993899793E-2</v>
      </c>
      <c r="BJ208" s="18">
        <v>0.32907728097447991</v>
      </c>
      <c r="BK208" s="18">
        <v>2.2356859574592016E-2</v>
      </c>
      <c r="BL208" s="18">
        <v>-9.7262200267979396E-2</v>
      </c>
      <c r="BM208" s="18">
        <v>9.2605583427227869E-2</v>
      </c>
      <c r="BN208" s="18">
        <v>0.14068753593853178</v>
      </c>
      <c r="BO208" s="18">
        <v>-0.12769057077795534</v>
      </c>
      <c r="BP208" s="18">
        <v>1.443322623947367E-2</v>
      </c>
      <c r="BQ208" s="18">
        <v>-0.2620927104648802</v>
      </c>
      <c r="BR208" s="18">
        <v>0.20849785211356719</v>
      </c>
      <c r="BS208" s="18">
        <v>-3.2871911366554138E-2</v>
      </c>
      <c r="BT208" s="18">
        <v>0.1368446228951854</v>
      </c>
      <c r="BU208" s="18">
        <v>-2.9823762281276183E-2</v>
      </c>
      <c r="BV208" s="18">
        <v>-9.0452426669120317E-2</v>
      </c>
      <c r="BW208" s="18">
        <v>-0.11662258804204788</v>
      </c>
      <c r="BX208" s="18">
        <v>-2.5603534378299403E-2</v>
      </c>
      <c r="BY208" s="18">
        <v>-1.2670577324357925E-2</v>
      </c>
      <c r="BZ208" s="18">
        <v>0.18118011893980471</v>
      </c>
      <c r="CA208" s="18">
        <v>0.11721141534404697</v>
      </c>
      <c r="CB208" s="18">
        <v>0.10580627767727957</v>
      </c>
      <c r="CC208" s="18">
        <v>0.25715684228566904</v>
      </c>
      <c r="CD208" s="18">
        <v>9.1274096049577869E-2</v>
      </c>
      <c r="CE208" s="18">
        <v>9.1981375136495333E-2</v>
      </c>
      <c r="CF208" s="18">
        <v>-0.40140033342203563</v>
      </c>
      <c r="CG208" s="18">
        <v>0.14894312202606447</v>
      </c>
      <c r="CH208" s="18">
        <v>-0.12152276843041243</v>
      </c>
      <c r="CI208" s="18">
        <v>-4.0277097197117244E-2</v>
      </c>
      <c r="CJ208" s="18">
        <v>0.12268364558714097</v>
      </c>
      <c r="CK208" s="18">
        <v>0.10216811262106021</v>
      </c>
      <c r="CL208" s="18">
        <v>-4.3394354379546578E-2</v>
      </c>
      <c r="CM208" s="18">
        <v>-5.7694916423605212E-2</v>
      </c>
      <c r="CN208" s="19">
        <v>-8.7105329111511337E-2</v>
      </c>
    </row>
    <row r="209" spans="1:94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25">
        <v>-0.12342020026873439</v>
      </c>
      <c r="AX209" s="26">
        <v>5.1682018166186311E-2</v>
      </c>
      <c r="AY209" s="26">
        <v>-0.24582805598224514</v>
      </c>
      <c r="AZ209" s="18">
        <v>0.31299871989750006</v>
      </c>
      <c r="BA209" s="18">
        <v>-0.11681632683835705</v>
      </c>
      <c r="BB209" s="18">
        <v>0.19154339314349186</v>
      </c>
      <c r="BC209" s="18">
        <v>-9.9759655328931288E-2</v>
      </c>
      <c r="BD209" s="18">
        <v>-0.16897237217692879</v>
      </c>
      <c r="BE209" s="18">
        <v>-6.2649998561974854E-2</v>
      </c>
      <c r="BF209" s="18">
        <v>7.103111651892921E-2</v>
      </c>
      <c r="BG209" s="18">
        <v>-4.5750991961862206E-2</v>
      </c>
      <c r="BH209" s="18">
        <v>-4.3614317188560778E-2</v>
      </c>
      <c r="BI209" s="18">
        <v>0.20139462264982874</v>
      </c>
      <c r="BJ209" s="18">
        <v>1.8890324375738628E-2</v>
      </c>
      <c r="BK209" s="18">
        <v>1.7167706766507931E-2</v>
      </c>
      <c r="BL209" s="18">
        <v>6.9794812708616191E-2</v>
      </c>
      <c r="BM209" s="18">
        <v>-0.19611318831551885</v>
      </c>
      <c r="BN209" s="18">
        <v>7.5981746917081538E-2</v>
      </c>
      <c r="BO209" s="18">
        <v>-0.14982692206376011</v>
      </c>
      <c r="BP209" s="18">
        <v>0.12711250388032791</v>
      </c>
      <c r="BQ209" s="18">
        <v>0.1848844000735724</v>
      </c>
      <c r="BR209" s="18">
        <v>0.24835359742889845</v>
      </c>
      <c r="BS209" s="18">
        <v>-0.22009149426878105</v>
      </c>
      <c r="BT209" s="18">
        <v>-7.9075166459984914E-2</v>
      </c>
      <c r="BU209" s="18">
        <v>3.9490695378221526E-3</v>
      </c>
      <c r="BV209" s="18">
        <v>9.3559310195562961E-2</v>
      </c>
      <c r="BW209" s="18">
        <v>-2.2837678094683772E-3</v>
      </c>
      <c r="BX209" s="18">
        <v>-0.17255938094090112</v>
      </c>
      <c r="BY209" s="18">
        <v>8.9015231081597063E-2</v>
      </c>
      <c r="BZ209" s="18">
        <v>-0.21748232921464658</v>
      </c>
      <c r="CA209" s="18">
        <v>-0.13113182688823524</v>
      </c>
      <c r="CB209" s="18">
        <v>0.20864129210247334</v>
      </c>
      <c r="CC209" s="18">
        <v>-3.5408536680269609E-2</v>
      </c>
      <c r="CD209" s="18">
        <v>-5.0867108449035227E-2</v>
      </c>
      <c r="CE209" s="18">
        <v>9.1073920026381705E-2</v>
      </c>
      <c r="CF209" s="18">
        <v>0.33515280049642537</v>
      </c>
      <c r="CG209" s="18">
        <v>-0.11067103347526955</v>
      </c>
      <c r="CH209" s="18">
        <v>0.18229753717067182</v>
      </c>
      <c r="CI209" s="18">
        <v>4.3629601259084992E-6</v>
      </c>
      <c r="CJ209" s="18">
        <v>-0.29541683476704211</v>
      </c>
      <c r="CK209" s="18">
        <v>-7.9066423509076764E-2</v>
      </c>
      <c r="CL209" s="18">
        <v>-9.8444135165677252E-2</v>
      </c>
      <c r="CM209" s="18">
        <v>8.4556068107919491E-2</v>
      </c>
      <c r="CN209" s="19">
        <v>-8.7226552647336086E-2</v>
      </c>
    </row>
    <row r="210" spans="1:94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25">
        <v>-9.9616233565968326E-2</v>
      </c>
      <c r="AX210" s="26">
        <v>0.11661096096849442</v>
      </c>
      <c r="AY210" s="26">
        <v>-0.19068738445235556</v>
      </c>
      <c r="AZ210" s="18">
        <v>0.30369992256148642</v>
      </c>
      <c r="BA210" s="18">
        <v>-0.17334661270064766</v>
      </c>
      <c r="BB210" s="18">
        <v>6.9819904261223018E-2</v>
      </c>
      <c r="BC210" s="18">
        <v>-1.9700273468006048E-2</v>
      </c>
      <c r="BD210" s="18">
        <v>-0.14394317084649894</v>
      </c>
      <c r="BE210" s="18">
        <v>0.18896188455118068</v>
      </c>
      <c r="BF210" s="18">
        <v>6.8509657694975371E-2</v>
      </c>
      <c r="BG210" s="18">
        <v>-0.26054182893694122</v>
      </c>
      <c r="BH210" s="18">
        <v>-1.9925547362945533E-2</v>
      </c>
      <c r="BI210" s="18">
        <v>9.4186719572337957E-3</v>
      </c>
      <c r="BJ210" s="18">
        <v>-0.14084882034218732</v>
      </c>
      <c r="BK210" s="18">
        <v>-9.860102638482024E-2</v>
      </c>
      <c r="BL210" s="18">
        <v>3.7075894385414331E-3</v>
      </c>
      <c r="BM210" s="18">
        <v>-0.1334377252534012</v>
      </c>
      <c r="BN210" s="18">
        <v>-0.21117155938133692</v>
      </c>
      <c r="BO210" s="18">
        <v>0.33694638252738007</v>
      </c>
      <c r="BP210" s="18">
        <v>0.26960112915643436</v>
      </c>
      <c r="BQ210" s="18">
        <v>4.5396047462516374E-2</v>
      </c>
      <c r="BR210" s="18">
        <v>-0.22851317440656513</v>
      </c>
      <c r="BS210" s="18">
        <v>8.5434577560083144E-2</v>
      </c>
      <c r="BT210" s="18">
        <v>7.6292605708772011E-3</v>
      </c>
      <c r="BU210" s="18">
        <v>-0.10797152371844169</v>
      </c>
      <c r="BV210" s="18">
        <v>0.2153924717320318</v>
      </c>
      <c r="BW210" s="18">
        <v>2.3465594007887327E-3</v>
      </c>
      <c r="BX210" s="18">
        <v>0.27411533547674044</v>
      </c>
      <c r="BY210" s="18">
        <v>-1.517740222556287E-2</v>
      </c>
      <c r="BZ210" s="18">
        <v>0.28756549338179754</v>
      </c>
      <c r="CA210" s="18">
        <v>-0.11740919937614597</v>
      </c>
      <c r="CB210" s="18">
        <v>-0.15661986119801513</v>
      </c>
      <c r="CC210" s="18">
        <v>-0.12539592064033897</v>
      </c>
      <c r="CD210" s="18">
        <v>-9.0789073886510009E-3</v>
      </c>
      <c r="CE210" s="18">
        <v>-1.5513164011180768E-2</v>
      </c>
      <c r="CF210" s="18">
        <v>-4.9154882039745149E-2</v>
      </c>
      <c r="CG210" s="18">
        <v>-0.12934051537279773</v>
      </c>
      <c r="CH210" s="18">
        <v>7.2350557491430859E-4</v>
      </c>
      <c r="CI210" s="18">
        <v>8.4159398572662428E-2</v>
      </c>
      <c r="CJ210" s="18">
        <v>2.5652179054356732E-2</v>
      </c>
      <c r="CK210" s="18">
        <v>4.7039983664168179E-2</v>
      </c>
      <c r="CL210" s="18">
        <v>0.13086172869765203</v>
      </c>
      <c r="CM210" s="18">
        <v>-6.3472762741170738E-2</v>
      </c>
      <c r="CN210" s="19">
        <v>0.15006906954548749</v>
      </c>
    </row>
    <row r="211" spans="1:94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25">
        <v>-0.14124405381455191</v>
      </c>
      <c r="AX211" s="26">
        <v>-2.7698441217154115E-2</v>
      </c>
      <c r="AY211" s="26">
        <v>0.17193156025134479</v>
      </c>
      <c r="AZ211" s="18">
        <v>4.4469268109658858E-2</v>
      </c>
      <c r="BA211" s="18">
        <v>-3.7959019122149315E-2</v>
      </c>
      <c r="BB211" s="18">
        <v>0.17728022983619332</v>
      </c>
      <c r="BC211" s="18">
        <v>0.29038372059671597</v>
      </c>
      <c r="BD211" s="18">
        <v>-0.33421269951880295</v>
      </c>
      <c r="BE211" s="18">
        <v>-7.1364135127793271E-2</v>
      </c>
      <c r="BF211" s="18">
        <v>2.8001128901057097E-2</v>
      </c>
      <c r="BG211" s="18">
        <v>-8.8374174503055861E-2</v>
      </c>
      <c r="BH211" s="18">
        <v>-0.16547906287923989</v>
      </c>
      <c r="BI211" s="18">
        <v>-0.31068122171098983</v>
      </c>
      <c r="BJ211" s="18">
        <v>-0.14854576011236004</v>
      </c>
      <c r="BK211" s="18">
        <v>-2.5328615567004095E-2</v>
      </c>
      <c r="BL211" s="18">
        <v>0.1438736062305426</v>
      </c>
      <c r="BM211" s="18">
        <v>1.682289331482539E-2</v>
      </c>
      <c r="BN211" s="18">
        <v>-0.12284544413792377</v>
      </c>
      <c r="BO211" s="18">
        <v>5.635219996107272E-2</v>
      </c>
      <c r="BP211" s="18">
        <v>-7.5650936056851151E-2</v>
      </c>
      <c r="BQ211" s="18">
        <v>-5.9779159567921155E-3</v>
      </c>
      <c r="BR211" s="18">
        <v>4.3814505856884942E-2</v>
      </c>
      <c r="BS211" s="18">
        <v>-0.14417008592163935</v>
      </c>
      <c r="BT211" s="18">
        <v>0.30680532795117232</v>
      </c>
      <c r="BU211" s="18">
        <v>6.9395147714149938E-2</v>
      </c>
      <c r="BV211" s="18">
        <v>-0.2660834866546955</v>
      </c>
      <c r="BW211" s="18">
        <v>0.32284250313507828</v>
      </c>
      <c r="BX211" s="18">
        <v>-0.20826895163005688</v>
      </c>
      <c r="BY211" s="18">
        <v>-0.15959584085302814</v>
      </c>
      <c r="BZ211" s="18">
        <v>0.1244584379050966</v>
      </c>
      <c r="CA211" s="18">
        <v>0.14402562829441909</v>
      </c>
      <c r="CB211" s="18">
        <v>-8.4638618769721008E-2</v>
      </c>
      <c r="CC211" s="18">
        <v>-3.8742498718210179E-2</v>
      </c>
      <c r="CD211" s="18">
        <v>-0.16643223245533389</v>
      </c>
      <c r="CE211" s="18">
        <v>-0.11705846296040626</v>
      </c>
      <c r="CF211" s="18">
        <v>0.15287626862371825</v>
      </c>
      <c r="CG211" s="18">
        <v>-3.3388264111205081E-2</v>
      </c>
      <c r="CH211" s="18">
        <v>-9.4998049921383686E-3</v>
      </c>
      <c r="CI211" s="18">
        <v>0.1170944540665973</v>
      </c>
      <c r="CJ211" s="18">
        <v>2.6073331800756962E-2</v>
      </c>
      <c r="CK211" s="18">
        <v>-9.5905739231940138E-2</v>
      </c>
      <c r="CL211" s="18">
        <v>1.0404676540495988E-2</v>
      </c>
      <c r="CM211" s="18">
        <v>9.1548579796650736E-2</v>
      </c>
      <c r="CN211" s="19">
        <v>-7.1185355685065524E-2</v>
      </c>
    </row>
    <row r="212" spans="1:94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25">
        <v>-0.16882093803957571</v>
      </c>
      <c r="AX212" s="26">
        <v>2.6082995083247896E-2</v>
      </c>
      <c r="AY212" s="26">
        <v>0.14941547709327085</v>
      </c>
      <c r="AZ212" s="18">
        <v>-0.21614245897521051</v>
      </c>
      <c r="BA212" s="18">
        <v>-7.3223945278556177E-2</v>
      </c>
      <c r="BB212" s="18">
        <v>-0.27483756942582904</v>
      </c>
      <c r="BC212" s="18">
        <v>-3.184057337449217E-2</v>
      </c>
      <c r="BD212" s="18">
        <v>-4.999394033694745E-2</v>
      </c>
      <c r="BE212" s="18">
        <v>0.10119236341577217</v>
      </c>
      <c r="BF212" s="18">
        <v>0.30566227982793026</v>
      </c>
      <c r="BG212" s="18">
        <v>-0.10171308875170022</v>
      </c>
      <c r="BH212" s="18">
        <v>-0.1498166401373876</v>
      </c>
      <c r="BI212" s="18">
        <v>4.4609791839097766E-2</v>
      </c>
      <c r="BJ212" s="18">
        <v>7.3765762925052963E-2</v>
      </c>
      <c r="BK212" s="18">
        <v>5.2673553319902651E-2</v>
      </c>
      <c r="BL212" s="18">
        <v>-0.12494522117756307</v>
      </c>
      <c r="BM212" s="18">
        <v>7.2206207739590092E-2</v>
      </c>
      <c r="BN212" s="18">
        <v>0.10910270934346337</v>
      </c>
      <c r="BO212" s="18">
        <v>-0.12862308352848725</v>
      </c>
      <c r="BP212" s="18">
        <v>0.219046477601895</v>
      </c>
      <c r="BQ212" s="18">
        <v>3.1518466298468176E-2</v>
      </c>
      <c r="BR212" s="18">
        <v>-2.9994800285092771E-2</v>
      </c>
      <c r="BS212" s="18">
        <v>6.0506316489981053E-2</v>
      </c>
      <c r="BT212" s="18">
        <v>3.5791956172746928E-2</v>
      </c>
      <c r="BU212" s="18">
        <v>-7.1940260458776453E-2</v>
      </c>
      <c r="BV212" s="18">
        <v>0.24969007199900625</v>
      </c>
      <c r="BW212" s="18">
        <v>1.2444051170825206E-2</v>
      </c>
      <c r="BX212" s="18">
        <v>1.3178132480785905E-2</v>
      </c>
      <c r="BY212" s="18">
        <v>-0.29535673166411119</v>
      </c>
      <c r="BZ212" s="18">
        <v>-2.1441176930233993E-2</v>
      </c>
      <c r="CA212" s="18">
        <v>7.8354937482474032E-2</v>
      </c>
      <c r="CB212" s="18">
        <v>-8.1511447942962979E-3</v>
      </c>
      <c r="CC212" s="18">
        <v>7.8628048775250745E-2</v>
      </c>
      <c r="CD212" s="18">
        <v>5.8581533689312888E-3</v>
      </c>
      <c r="CE212" s="18">
        <v>5.624119791484674E-2</v>
      </c>
      <c r="CF212" s="18">
        <v>0.10862027667033351</v>
      </c>
      <c r="CG212" s="18">
        <v>-0.18067661285472564</v>
      </c>
      <c r="CH212" s="18">
        <v>-0.43373917764637848</v>
      </c>
      <c r="CI212" s="18">
        <v>7.8893184747566084E-2</v>
      </c>
      <c r="CJ212" s="18">
        <v>-0.16067457809159019</v>
      </c>
      <c r="CK212" s="18">
        <v>-9.2532002982713329E-2</v>
      </c>
      <c r="CL212" s="18">
        <v>-0.14586349487173067</v>
      </c>
      <c r="CM212" s="18">
        <v>0.31780376202594601</v>
      </c>
      <c r="CN212" s="19">
        <v>5.576233251578573E-3</v>
      </c>
    </row>
    <row r="213" spans="1:94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25">
        <v>-0.13470891125254295</v>
      </c>
      <c r="AX213" s="26">
        <v>-0.10097083307239436</v>
      </c>
      <c r="AY213" s="26">
        <v>0.10353773312539623</v>
      </c>
      <c r="AZ213" s="18">
        <v>-0.18484690360815689</v>
      </c>
      <c r="BA213" s="18">
        <v>-0.19639152576809998</v>
      </c>
      <c r="BB213" s="18">
        <v>-0.11139947924536493</v>
      </c>
      <c r="BC213" s="18">
        <v>-9.0288951700888812E-2</v>
      </c>
      <c r="BD213" s="18">
        <v>-0.11920219221076166</v>
      </c>
      <c r="BE213" s="18">
        <v>7.8934868368021785E-2</v>
      </c>
      <c r="BF213" s="18">
        <v>0.46705467613110646</v>
      </c>
      <c r="BG213" s="18">
        <v>3.1862717901917233E-3</v>
      </c>
      <c r="BH213" s="18">
        <v>-0.27356764759014929</v>
      </c>
      <c r="BI213" s="18">
        <v>0.11786054916755037</v>
      </c>
      <c r="BJ213" s="18">
        <v>4.9793413608287977E-2</v>
      </c>
      <c r="BK213" s="18">
        <v>0.10835082482990019</v>
      </c>
      <c r="BL213" s="18">
        <v>3.709936948578977E-2</v>
      </c>
      <c r="BM213" s="18">
        <v>4.3991841899618828E-2</v>
      </c>
      <c r="BN213" s="18">
        <v>-3.3519161841697127E-2</v>
      </c>
      <c r="BO213" s="18">
        <v>-4.4109805433027165E-2</v>
      </c>
      <c r="BP213" s="18">
        <v>-0.14165935062022325</v>
      </c>
      <c r="BQ213" s="18">
        <v>-1.503924900082155E-2</v>
      </c>
      <c r="BR213" s="18">
        <v>-0.13520877726181946</v>
      </c>
      <c r="BS213" s="18">
        <v>-0.1122461616911983</v>
      </c>
      <c r="BT213" s="18">
        <v>5.0520242883897899E-2</v>
      </c>
      <c r="BU213" s="18">
        <v>-3.9908277906083511E-3</v>
      </c>
      <c r="BV213" s="18">
        <v>-8.6858053563095797E-2</v>
      </c>
      <c r="BW213" s="18">
        <v>1.6067686720710077E-3</v>
      </c>
      <c r="BX213" s="18">
        <v>0.27941034264536802</v>
      </c>
      <c r="BY213" s="18">
        <v>0.35029977997105272</v>
      </c>
      <c r="BZ213" s="18">
        <v>-1.394610769865459E-2</v>
      </c>
      <c r="CA213" s="18">
        <v>0.15672693034363441</v>
      </c>
      <c r="CB213" s="18">
        <v>0.20955411611727959</v>
      </c>
      <c r="CC213" s="18">
        <v>-0.1695751196520344</v>
      </c>
      <c r="CD213" s="18">
        <v>8.6494237352056413E-2</v>
      </c>
      <c r="CE213" s="18">
        <v>-7.5492400224913783E-2</v>
      </c>
      <c r="CF213" s="18">
        <v>7.9904967970797297E-2</v>
      </c>
      <c r="CG213" s="18">
        <v>3.6595219006100618E-2</v>
      </c>
      <c r="CH213" s="18">
        <v>0.2698466313150843</v>
      </c>
      <c r="CI213" s="18">
        <v>3.0222751905678046E-2</v>
      </c>
      <c r="CJ213" s="18">
        <v>0.17110428258685062</v>
      </c>
      <c r="CK213" s="18">
        <v>-6.6981333099171605E-2</v>
      </c>
      <c r="CL213" s="18">
        <v>-5.8650712754679216E-2</v>
      </c>
      <c r="CM213" s="18">
        <v>-0.16086057118487179</v>
      </c>
      <c r="CN213" s="19">
        <v>5.0077471985636453E-2</v>
      </c>
    </row>
    <row r="214" spans="1:94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27">
        <v>-0.12453011994622198</v>
      </c>
      <c r="AX214" s="28">
        <v>2.7728721954564942E-2</v>
      </c>
      <c r="AY214" s="28">
        <v>-0.25212538720103539</v>
      </c>
      <c r="AZ214" s="20">
        <v>-0.26928853068587882</v>
      </c>
      <c r="BA214" s="20">
        <v>5.0011695347002776E-2</v>
      </c>
      <c r="BB214" s="20">
        <v>-8.1328778559267928E-2</v>
      </c>
      <c r="BC214" s="20">
        <v>-0.22242116814719695</v>
      </c>
      <c r="BD214" s="20">
        <v>-3.9209928728808761E-2</v>
      </c>
      <c r="BE214" s="20">
        <v>0.11490702165112437</v>
      </c>
      <c r="BF214" s="20">
        <v>0.13687777774151819</v>
      </c>
      <c r="BG214" s="20">
        <v>-0.12690520991671089</v>
      </c>
      <c r="BH214" s="20">
        <v>0.12433074219035366</v>
      </c>
      <c r="BI214" s="20">
        <v>-7.8469095659417856E-2</v>
      </c>
      <c r="BJ214" s="20">
        <v>-9.5556164713454933E-2</v>
      </c>
      <c r="BK214" s="20">
        <v>-3.1432800168560031E-2</v>
      </c>
      <c r="BL214" s="20">
        <v>8.2968491665855001E-2</v>
      </c>
      <c r="BM214" s="20">
        <v>0.35842034033626419</v>
      </c>
      <c r="BN214" s="20">
        <v>0.27958425407873966</v>
      </c>
      <c r="BO214" s="20">
        <v>0.19720576655673266</v>
      </c>
      <c r="BP214" s="20">
        <v>-0.13267765754182889</v>
      </c>
      <c r="BQ214" s="20">
        <v>6.6826922421436077E-2</v>
      </c>
      <c r="BR214" s="20">
        <v>0.16595596866624951</v>
      </c>
      <c r="BS214" s="20">
        <v>-0.15188058708601199</v>
      </c>
      <c r="BT214" s="20">
        <v>0.16666933960037966</v>
      </c>
      <c r="BU214" s="20">
        <v>-3.1445687998843418E-2</v>
      </c>
      <c r="BV214" s="20">
        <v>3.7089621993333759E-2</v>
      </c>
      <c r="BW214" s="20">
        <v>0.10677506772477521</v>
      </c>
      <c r="BX214" s="20">
        <v>-1.4934192404610854E-2</v>
      </c>
      <c r="BY214" s="20">
        <v>6.5184773754116701E-2</v>
      </c>
      <c r="BZ214" s="20">
        <v>-1.1181045458223748E-2</v>
      </c>
      <c r="CA214" s="20">
        <v>-0.34103947732421197</v>
      </c>
      <c r="CB214" s="20">
        <v>-0.14360225944191657</v>
      </c>
      <c r="CC214" s="20">
        <v>-5.1258690260105391E-2</v>
      </c>
      <c r="CD214" s="20">
        <v>-0.22756552272760494</v>
      </c>
      <c r="CE214" s="20">
        <v>7.8836484245542876E-3</v>
      </c>
      <c r="CF214" s="20">
        <v>-0.20019968007685646</v>
      </c>
      <c r="CG214" s="20">
        <v>0.18010759424516842</v>
      </c>
      <c r="CH214" s="20">
        <v>8.3954491829811684E-2</v>
      </c>
      <c r="CI214" s="20">
        <v>0.12656545850545273</v>
      </c>
      <c r="CJ214" s="20">
        <v>-0.1985701226310162</v>
      </c>
      <c r="CK214" s="20">
        <v>-2.254146672138017E-2</v>
      </c>
      <c r="CL214" s="20">
        <v>8.1848901144739375E-2</v>
      </c>
      <c r="CM214" s="20">
        <v>1.4894150793909421E-2</v>
      </c>
      <c r="CN214" s="21">
        <v>-5.1584269156514921E-2</v>
      </c>
    </row>
    <row r="215" spans="1:94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94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 t="s">
        <v>199</v>
      </c>
      <c r="AW216" s="3"/>
      <c r="AX216" s="3"/>
      <c r="AY216" s="3"/>
    </row>
    <row r="217" spans="1:94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94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>
        <v>1</v>
      </c>
      <c r="AX218" s="3">
        <f>AW218+1</f>
        <v>2</v>
      </c>
      <c r="AY218" s="3">
        <f t="shared" ref="AY218:CN218" si="6">AX218+1</f>
        <v>3</v>
      </c>
      <c r="AZ218" s="3">
        <f t="shared" si="6"/>
        <v>4</v>
      </c>
      <c r="BA218" s="3">
        <f t="shared" si="6"/>
        <v>5</v>
      </c>
      <c r="BB218" s="3">
        <f t="shared" si="6"/>
        <v>6</v>
      </c>
      <c r="BC218" s="3">
        <f t="shared" si="6"/>
        <v>7</v>
      </c>
      <c r="BD218" s="3">
        <f t="shared" si="6"/>
        <v>8</v>
      </c>
      <c r="BE218" s="3">
        <f t="shared" si="6"/>
        <v>9</v>
      </c>
      <c r="BF218" s="3">
        <f t="shared" si="6"/>
        <v>10</v>
      </c>
      <c r="BG218" s="3">
        <f t="shared" si="6"/>
        <v>11</v>
      </c>
      <c r="BH218" s="3">
        <f t="shared" si="6"/>
        <v>12</v>
      </c>
      <c r="BI218" s="3">
        <f t="shared" si="6"/>
        <v>13</v>
      </c>
      <c r="BJ218" s="3">
        <f t="shared" si="6"/>
        <v>14</v>
      </c>
      <c r="BK218" s="3">
        <f t="shared" si="6"/>
        <v>15</v>
      </c>
      <c r="BL218" s="3">
        <f t="shared" si="6"/>
        <v>16</v>
      </c>
      <c r="BM218" s="3">
        <f t="shared" si="6"/>
        <v>17</v>
      </c>
      <c r="BN218" s="3">
        <f t="shared" si="6"/>
        <v>18</v>
      </c>
      <c r="BO218" s="3">
        <f t="shared" si="6"/>
        <v>19</v>
      </c>
      <c r="BP218" s="3">
        <f t="shared" si="6"/>
        <v>20</v>
      </c>
      <c r="BQ218" s="3">
        <f t="shared" si="6"/>
        <v>21</v>
      </c>
      <c r="BR218" s="3">
        <f t="shared" si="6"/>
        <v>22</v>
      </c>
      <c r="BS218" s="3">
        <f t="shared" si="6"/>
        <v>23</v>
      </c>
      <c r="BT218" s="3">
        <f t="shared" si="6"/>
        <v>24</v>
      </c>
      <c r="BU218" s="3">
        <f t="shared" si="6"/>
        <v>25</v>
      </c>
      <c r="BV218" s="3">
        <f t="shared" si="6"/>
        <v>26</v>
      </c>
      <c r="BW218" s="3">
        <f t="shared" si="6"/>
        <v>27</v>
      </c>
      <c r="BX218" s="3">
        <f t="shared" si="6"/>
        <v>28</v>
      </c>
      <c r="BY218" s="3">
        <f t="shared" si="6"/>
        <v>29</v>
      </c>
      <c r="BZ218" s="3">
        <f t="shared" si="6"/>
        <v>30</v>
      </c>
      <c r="CA218" s="3">
        <f t="shared" si="6"/>
        <v>31</v>
      </c>
      <c r="CB218" s="3">
        <f t="shared" si="6"/>
        <v>32</v>
      </c>
      <c r="CC218" s="3">
        <f t="shared" si="6"/>
        <v>33</v>
      </c>
      <c r="CD218" s="3">
        <f t="shared" si="6"/>
        <v>34</v>
      </c>
      <c r="CE218" s="3">
        <f t="shared" si="6"/>
        <v>35</v>
      </c>
      <c r="CF218" s="3">
        <f t="shared" si="6"/>
        <v>36</v>
      </c>
      <c r="CG218" s="3">
        <f t="shared" si="6"/>
        <v>37</v>
      </c>
      <c r="CH218" s="3">
        <f t="shared" si="6"/>
        <v>38</v>
      </c>
      <c r="CI218" s="3">
        <f t="shared" si="6"/>
        <v>39</v>
      </c>
      <c r="CJ218" s="3">
        <f t="shared" si="6"/>
        <v>40</v>
      </c>
      <c r="CK218" s="3">
        <f t="shared" si="6"/>
        <v>41</v>
      </c>
      <c r="CL218" s="3">
        <f t="shared" si="6"/>
        <v>42</v>
      </c>
      <c r="CM218" s="3">
        <f t="shared" si="6"/>
        <v>43</v>
      </c>
      <c r="CN218" s="3">
        <f t="shared" si="6"/>
        <v>44</v>
      </c>
      <c r="CP218" t="s">
        <v>200</v>
      </c>
    </row>
    <row r="219" spans="1:94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 t="str">
        <f t="array" ref="AV219:AV262">TRANSPOSE(B1:AS1)</f>
        <v>1.Delay in delivering material to construction site</v>
      </c>
      <c r="AW219" s="34">
        <f t="array" ref="AW219:CN262">AW171:CN214*SQRT(ABS(AW170:CN170))</f>
        <v>-0.53217159612506948</v>
      </c>
      <c r="AX219" s="35">
        <v>-0.44320103566050928</v>
      </c>
      <c r="AY219" s="35">
        <v>-0.24997576541566535</v>
      </c>
      <c r="AZ219" s="16">
        <v>-0.2573595092755479</v>
      </c>
      <c r="BA219" s="16">
        <v>-0.23346395110073509</v>
      </c>
      <c r="BB219" s="16">
        <v>-5.6089354937998839E-2</v>
      </c>
      <c r="BC219" s="16">
        <v>-7.2180205222874994E-2</v>
      </c>
      <c r="BD219" s="16">
        <v>-2.1537117605505491E-2</v>
      </c>
      <c r="BE219" s="16">
        <v>-3.0328675219172135E-2</v>
      </c>
      <c r="BF219" s="16">
        <v>-0.1391309486140225</v>
      </c>
      <c r="BG219" s="16">
        <v>-0.152891805408301</v>
      </c>
      <c r="BH219" s="16">
        <v>-0.21265976559483063</v>
      </c>
      <c r="BI219" s="16">
        <v>-5.6708226182128493E-2</v>
      </c>
      <c r="BJ219" s="16">
        <v>-7.5583131823338104E-2</v>
      </c>
      <c r="BK219" s="16">
        <v>-0.10019382355758254</v>
      </c>
      <c r="BL219" s="16">
        <v>-0.21118103297056529</v>
      </c>
      <c r="BM219" s="16">
        <v>-5.490136299699816E-2</v>
      </c>
      <c r="BN219" s="16">
        <v>-0.28173278755849945</v>
      </c>
      <c r="BO219" s="16">
        <v>-2.7406522545539002E-2</v>
      </c>
      <c r="BP219" s="16">
        <v>-4.6697693033738101E-2</v>
      </c>
      <c r="BQ219" s="16">
        <v>-0.12881026059385231</v>
      </c>
      <c r="BR219" s="16">
        <v>-2.565618016762989E-2</v>
      </c>
      <c r="BS219" s="16">
        <v>-5.7856235071592127E-2</v>
      </c>
      <c r="BT219" s="16">
        <v>-7.0973355605059976E-2</v>
      </c>
      <c r="BU219" s="16">
        <v>-4.6382423166072047E-3</v>
      </c>
      <c r="BV219" s="16">
        <v>-6.2104517469611403E-2</v>
      </c>
      <c r="BW219" s="16">
        <v>-3.9398532480588909E-2</v>
      </c>
      <c r="BX219" s="16">
        <v>-7.5484328219022706E-2</v>
      </c>
      <c r="BY219" s="16">
        <v>-2.7730045749014443E-2</v>
      </c>
      <c r="BZ219" s="16">
        <v>-0.13232475544538494</v>
      </c>
      <c r="CA219" s="16">
        <v>-9.1511429431482813E-2</v>
      </c>
      <c r="CB219" s="16">
        <v>-5.5339940529593081E-4</v>
      </c>
      <c r="CC219" s="16">
        <v>-2.7370893842680665E-2</v>
      </c>
      <c r="CD219" s="16">
        <v>-2.0880581076577316E-2</v>
      </c>
      <c r="CE219" s="16">
        <v>-6.6330573459174133E-2</v>
      </c>
      <c r="CF219" s="16">
        <v>-9.9645020687719479E-2</v>
      </c>
      <c r="CG219" s="16">
        <v>-8.1841801740734604E-2</v>
      </c>
      <c r="CH219" s="16">
        <v>-2.4323762395177011E-2</v>
      </c>
      <c r="CI219" s="16">
        <v>-3.0029383085638767E-2</v>
      </c>
      <c r="CJ219" s="16">
        <v>-2.7223666387954766E-2</v>
      </c>
      <c r="CK219" s="16">
        <v>-2.4726437376161876E-2</v>
      </c>
      <c r="CL219" s="16">
        <v>-2.9756212670997494E-2</v>
      </c>
      <c r="CM219" s="16">
        <v>-3.4495824601731555E-2</v>
      </c>
      <c r="CN219" s="17">
        <v>-2.6971903893752589E-3</v>
      </c>
      <c r="CP219" s="22">
        <f>SUMSQ(AW219:CN219)</f>
        <v>1.0000000000000033</v>
      </c>
    </row>
    <row r="220" spans="1:94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 t="str">
        <v>2.Monopoly of material by some suppliers</v>
      </c>
      <c r="AW220" s="25">
        <v>-0.44005696285922064</v>
      </c>
      <c r="AX220" s="26">
        <v>-0.42624981499123238</v>
      </c>
      <c r="AY220" s="26">
        <v>-2.4067745359227417E-2</v>
      </c>
      <c r="AZ220" s="18">
        <v>-0.4205237987187278</v>
      </c>
      <c r="BA220" s="18">
        <v>-0.35217414089020571</v>
      </c>
      <c r="BB220" s="18">
        <v>0.19858658185737099</v>
      </c>
      <c r="BC220" s="18">
        <v>-6.9548402272280582E-2</v>
      </c>
      <c r="BD220" s="18">
        <v>0.13521525004647911</v>
      </c>
      <c r="BE220" s="18">
        <v>-4.1390401556016004E-2</v>
      </c>
      <c r="BF220" s="18">
        <v>-4.4214259264707817E-2</v>
      </c>
      <c r="BG220" s="18">
        <v>-0.17926378258127998</v>
      </c>
      <c r="BH220" s="18">
        <v>2.9047779738273022E-2</v>
      </c>
      <c r="BI220" s="18">
        <v>0.14110755330307856</v>
      </c>
      <c r="BJ220" s="18">
        <v>-0.10315908135945916</v>
      </c>
      <c r="BK220" s="18">
        <v>-0.11635546847820631</v>
      </c>
      <c r="BL220" s="18">
        <v>-7.6427172743679717E-2</v>
      </c>
      <c r="BM220" s="18">
        <v>-6.6033740223091844E-2</v>
      </c>
      <c r="BN220" s="18">
        <v>8.9685587936980699E-2</v>
      </c>
      <c r="BO220" s="18">
        <v>0.15797956463108884</v>
      </c>
      <c r="BP220" s="18">
        <v>0.1503664530405667</v>
      </c>
      <c r="BQ220" s="18">
        <v>0.12063475967249428</v>
      </c>
      <c r="BR220" s="18">
        <v>3.9634792379581354E-2</v>
      </c>
      <c r="BS220" s="18">
        <v>-0.14883586423584538</v>
      </c>
      <c r="BT220" s="18">
        <v>-7.1799236704038982E-2</v>
      </c>
      <c r="BU220" s="18">
        <v>0.12594863349321081</v>
      </c>
      <c r="BV220" s="18">
        <v>-9.5497893186326871E-2</v>
      </c>
      <c r="BW220" s="18">
        <v>-8.5670995514159576E-2</v>
      </c>
      <c r="BX220" s="18">
        <v>-1.4847689682196444E-2</v>
      </c>
      <c r="BY220" s="18">
        <v>3.0743835399065025E-2</v>
      </c>
      <c r="BZ220" s="18">
        <v>5.3352342850291536E-2</v>
      </c>
      <c r="CA220" s="18">
        <v>5.3779181189439008E-2</v>
      </c>
      <c r="CB220" s="18">
        <v>3.3827725972208314E-3</v>
      </c>
      <c r="CC220" s="18">
        <v>0.13536379153528638</v>
      </c>
      <c r="CD220" s="18">
        <v>-3.4351111161721341E-2</v>
      </c>
      <c r="CE220" s="18">
        <v>-1.4823194071133345E-2</v>
      </c>
      <c r="CF220" s="18">
        <v>3.4599406776951627E-2</v>
      </c>
      <c r="CG220" s="18">
        <v>1.7807279576327106E-2</v>
      </c>
      <c r="CH220" s="18">
        <v>-2.9393865829502198E-2</v>
      </c>
      <c r="CI220" s="18">
        <v>-1.6388575339318846E-2</v>
      </c>
      <c r="CJ220" s="18">
        <v>6.63021292880389E-2</v>
      </c>
      <c r="CK220" s="18">
        <v>5.6968728679388278E-2</v>
      </c>
      <c r="CL220" s="18">
        <v>2.6296615032569502E-2</v>
      </c>
      <c r="CM220" s="18">
        <v>2.3693750798572815E-2</v>
      </c>
      <c r="CN220" s="19">
        <v>-1.3152831778801279E-2</v>
      </c>
      <c r="CP220" s="23">
        <f t="shared" ref="CP220:CP262" si="7">SUMSQ(AW220:CN220)</f>
        <v>1.0000000000000016</v>
      </c>
    </row>
    <row r="221" spans="1:94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 t="str">
        <v>3.Prices fluctuation</v>
      </c>
      <c r="AW221" s="25">
        <v>-0.36913145413116244</v>
      </c>
      <c r="AX221" s="26">
        <v>-0.36784226640767231</v>
      </c>
      <c r="AY221" s="26">
        <v>9.4644501962652186E-2</v>
      </c>
      <c r="AZ221" s="18">
        <v>0.18710457134424824</v>
      </c>
      <c r="BA221" s="18">
        <v>-0.14466061941692282</v>
      </c>
      <c r="BB221" s="18">
        <v>0.15996847841122525</v>
      </c>
      <c r="BC221" s="18">
        <v>-1.4042777802573864E-2</v>
      </c>
      <c r="BD221" s="18">
        <v>0.14880913226298187</v>
      </c>
      <c r="BE221" s="18">
        <v>-0.56725225033832605</v>
      </c>
      <c r="BF221" s="18">
        <v>4.4850968720355371E-2</v>
      </c>
      <c r="BG221" s="18">
        <v>0.1484045443874738</v>
      </c>
      <c r="BH221" s="18">
        <v>0.1161904708192107</v>
      </c>
      <c r="BI221" s="18">
        <v>6.4471267515438288E-2</v>
      </c>
      <c r="BJ221" s="18">
        <v>-2.7547801664119555E-2</v>
      </c>
      <c r="BK221" s="18">
        <v>9.2761874221059457E-2</v>
      </c>
      <c r="BL221" s="18">
        <v>-9.09888091409514E-3</v>
      </c>
      <c r="BM221" s="18">
        <v>0.29585284515927618</v>
      </c>
      <c r="BN221" s="18">
        <v>0.15252140181689181</v>
      </c>
      <c r="BO221" s="18">
        <v>-2.8571127123784634E-2</v>
      </c>
      <c r="BP221" s="18">
        <v>0.21285733123551151</v>
      </c>
      <c r="BQ221" s="18">
        <v>-3.2641477018529166E-2</v>
      </c>
      <c r="BR221" s="18">
        <v>-0.23458639606610865</v>
      </c>
      <c r="BS221" s="18">
        <v>-1.1821321146789261E-2</v>
      </c>
      <c r="BT221" s="18">
        <v>9.5727653932426091E-2</v>
      </c>
      <c r="BU221" s="18">
        <v>6.332281969382346E-4</v>
      </c>
      <c r="BV221" s="18">
        <v>-1.2875868204378202E-2</v>
      </c>
      <c r="BW221" s="18">
        <v>3.9486327372514597E-2</v>
      </c>
      <c r="BX221" s="18">
        <v>-8.2111189302440247E-5</v>
      </c>
      <c r="BY221" s="18">
        <v>-4.2325892952719393E-2</v>
      </c>
      <c r="BZ221" s="18">
        <v>2.8954914353272861E-2</v>
      </c>
      <c r="CA221" s="18">
        <v>-4.841339128826045E-2</v>
      </c>
      <c r="CB221" s="18">
        <v>4.2103570770050745E-2</v>
      </c>
      <c r="CC221" s="18">
        <v>-3.1191758033400772E-2</v>
      </c>
      <c r="CD221" s="18">
        <v>-6.316563275702387E-3</v>
      </c>
      <c r="CE221" s="18">
        <v>-3.0527315480017782E-2</v>
      </c>
      <c r="CF221" s="18">
        <v>-2.5435056536957424E-2</v>
      </c>
      <c r="CG221" s="18">
        <v>-6.9489211882736684E-2</v>
      </c>
      <c r="CH221" s="18">
        <v>3.7310798778123322E-2</v>
      </c>
      <c r="CI221" s="18">
        <v>-3.8804283554359151E-2</v>
      </c>
      <c r="CJ221" s="18">
        <v>-2.4607616657545923E-2</v>
      </c>
      <c r="CK221" s="18">
        <v>2.6565041386337931E-2</v>
      </c>
      <c r="CL221" s="18">
        <v>-1.1183450320160474E-2</v>
      </c>
      <c r="CM221" s="18">
        <v>-7.5815795370091123E-3</v>
      </c>
      <c r="CN221" s="19">
        <v>9.8300988156908454E-3</v>
      </c>
      <c r="CP221" s="23">
        <f t="shared" si="7"/>
        <v>1.0000000000000078</v>
      </c>
    </row>
    <row r="222" spans="1:94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 t="str">
        <v>4.Types of material availability at local market</v>
      </c>
      <c r="AW222" s="25">
        <v>-0.61356277224307221</v>
      </c>
      <c r="AX222" s="26">
        <v>-0.42595760760647217</v>
      </c>
      <c r="AY222" s="26">
        <v>-8.2848374933357186E-2</v>
      </c>
      <c r="AZ222" s="18">
        <v>-0.18179106949792403</v>
      </c>
      <c r="BA222" s="18">
        <v>-0.2122398401595621</v>
      </c>
      <c r="BB222" s="18">
        <v>-1.526601075999218E-2</v>
      </c>
      <c r="BC222" s="18">
        <v>-3.8557351269925613E-2</v>
      </c>
      <c r="BD222" s="18">
        <v>5.3466978477183541E-2</v>
      </c>
      <c r="BE222" s="18">
        <v>-0.31278218271552372</v>
      </c>
      <c r="BF222" s="18">
        <v>-0.12815119026025623</v>
      </c>
      <c r="BG222" s="18">
        <v>0.10228936725885765</v>
      </c>
      <c r="BH222" s="18">
        <v>-0.20701328963730073</v>
      </c>
      <c r="BI222" s="18">
        <v>-6.166016328210705E-2</v>
      </c>
      <c r="BJ222" s="18">
        <v>-1.1752192305761501E-2</v>
      </c>
      <c r="BK222" s="18">
        <v>0.19189611926343195</v>
      </c>
      <c r="BL222" s="18">
        <v>-8.5577848626342448E-2</v>
      </c>
      <c r="BM222" s="18">
        <v>-8.2512456576703086E-2</v>
      </c>
      <c r="BN222" s="18">
        <v>-6.9221067821033988E-2</v>
      </c>
      <c r="BO222" s="18">
        <v>-7.7895312714981083E-2</v>
      </c>
      <c r="BP222" s="18">
        <v>9.1685591528976207E-2</v>
      </c>
      <c r="BQ222" s="18">
        <v>9.7438217070530353E-2</v>
      </c>
      <c r="BR222" s="18">
        <v>4.2990130681258752E-2</v>
      </c>
      <c r="BS222" s="18">
        <v>8.8266196164244012E-2</v>
      </c>
      <c r="BT222" s="18">
        <v>3.2654112618338497E-2</v>
      </c>
      <c r="BU222" s="18">
        <v>-7.8758414754271283E-2</v>
      </c>
      <c r="BV222" s="18">
        <v>9.8469229459203778E-2</v>
      </c>
      <c r="BW222" s="18">
        <v>2.5082577545595904E-2</v>
      </c>
      <c r="BX222" s="18">
        <v>-7.5967491698406622E-2</v>
      </c>
      <c r="BY222" s="18">
        <v>0.10501225340830667</v>
      </c>
      <c r="BZ222" s="18">
        <v>3.7008855427358184E-2</v>
      </c>
      <c r="CA222" s="18">
        <v>-1.0032021486837107E-2</v>
      </c>
      <c r="CB222" s="18">
        <v>-0.17263549158433378</v>
      </c>
      <c r="CC222" s="18">
        <v>-1.3213494645338924E-2</v>
      </c>
      <c r="CD222" s="18">
        <v>0.10194382088085062</v>
      </c>
      <c r="CE222" s="18">
        <v>6.572234953690978E-2</v>
      </c>
      <c r="CF222" s="18">
        <v>-5.004075103367079E-3</v>
      </c>
      <c r="CG222" s="18">
        <v>6.4412183692825531E-2</v>
      </c>
      <c r="CH222" s="18">
        <v>2.2077358515328115E-2</v>
      </c>
      <c r="CI222" s="18">
        <v>3.7287451292594413E-2</v>
      </c>
      <c r="CJ222" s="18">
        <v>6.3930934002917423E-3</v>
      </c>
      <c r="CK222" s="18">
        <v>-3.8161996701267901E-2</v>
      </c>
      <c r="CL222" s="18">
        <v>5.0022675615380062E-2</v>
      </c>
      <c r="CM222" s="18">
        <v>7.4740485700039629E-3</v>
      </c>
      <c r="CN222" s="19">
        <v>-3.2199939487106213E-2</v>
      </c>
      <c r="CP222" s="23">
        <f t="shared" si="7"/>
        <v>1.0000000000000016</v>
      </c>
    </row>
    <row r="223" spans="1:94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 t="str">
        <v>5.Lack of consultant’s knowledge of available materials</v>
      </c>
      <c r="AW223" s="25">
        <v>-0.71076879907662804</v>
      </c>
      <c r="AX223" s="26">
        <v>-0.10440795642479647</v>
      </c>
      <c r="AY223" s="26">
        <v>0.14066696641860801</v>
      </c>
      <c r="AZ223" s="18">
        <v>6.8119135237798098E-2</v>
      </c>
      <c r="BA223" s="18">
        <v>-0.24470539331871913</v>
      </c>
      <c r="BB223" s="18">
        <v>-1.6067057964129664E-2</v>
      </c>
      <c r="BC223" s="18">
        <v>-0.12559095363983094</v>
      </c>
      <c r="BD223" s="18">
        <v>0.16311750672677564</v>
      </c>
      <c r="BE223" s="18">
        <v>-0.12143561850825604</v>
      </c>
      <c r="BF223" s="18">
        <v>-2.6241957365910621E-2</v>
      </c>
      <c r="BG223" s="18">
        <v>4.9726061716421167E-2</v>
      </c>
      <c r="BH223" s="18">
        <v>8.6282373681325852E-2</v>
      </c>
      <c r="BI223" s="18">
        <v>6.0389396004767476E-2</v>
      </c>
      <c r="BJ223" s="18">
        <v>-0.20609124404709839</v>
      </c>
      <c r="BK223" s="18">
        <v>0.197071232677384</v>
      </c>
      <c r="BL223" s="18">
        <v>7.0627286216629101E-2</v>
      </c>
      <c r="BM223" s="18">
        <v>-0.23785885101796223</v>
      </c>
      <c r="BN223" s="18">
        <v>0.18055167458313975</v>
      </c>
      <c r="BO223" s="18">
        <v>5.6453519351089755E-2</v>
      </c>
      <c r="BP223" s="18">
        <v>-0.17497638929531431</v>
      </c>
      <c r="BQ223" s="18">
        <v>-0.13112935025896669</v>
      </c>
      <c r="BR223" s="18">
        <v>0.13487504543195533</v>
      </c>
      <c r="BS223" s="18">
        <v>6.4108482525771851E-2</v>
      </c>
      <c r="BT223" s="18">
        <v>0.10125805424125447</v>
      </c>
      <c r="BU223" s="18">
        <v>-3.4351061356113814E-2</v>
      </c>
      <c r="BV223" s="18">
        <v>6.5423755965102276E-2</v>
      </c>
      <c r="BW223" s="18">
        <v>-0.16816602627764488</v>
      </c>
      <c r="BX223" s="18">
        <v>-2.8403792752246967E-2</v>
      </c>
      <c r="BY223" s="18">
        <v>-0.10321928432825087</v>
      </c>
      <c r="BZ223" s="18">
        <v>-7.6477997339459459E-3</v>
      </c>
      <c r="CA223" s="18">
        <v>5.9259949131509081E-2</v>
      </c>
      <c r="CB223" s="18">
        <v>-1.9586537390517626E-2</v>
      </c>
      <c r="CC223" s="18">
        <v>-4.4334474386094405E-2</v>
      </c>
      <c r="CD223" s="18">
        <v>-7.2549016382255527E-2</v>
      </c>
      <c r="CE223" s="18">
        <v>-2.6970781898346907E-2</v>
      </c>
      <c r="CF223" s="18">
        <v>-3.1947680439708246E-3</v>
      </c>
      <c r="CG223" s="18">
        <v>-4.2508656800972787E-2</v>
      </c>
      <c r="CH223" s="18">
        <v>1.6453803710227585E-2</v>
      </c>
      <c r="CI223" s="18">
        <v>8.3071137774148263E-2</v>
      </c>
      <c r="CJ223" s="18">
        <v>2.4965988210080316E-2</v>
      </c>
      <c r="CK223" s="18">
        <v>1.9228537819561835E-2</v>
      </c>
      <c r="CL223" s="18">
        <v>-1.107312349393583E-2</v>
      </c>
      <c r="CM223" s="18">
        <v>-2.622521009781004E-2</v>
      </c>
      <c r="CN223" s="19">
        <v>3.2085614461278986E-2</v>
      </c>
      <c r="CP223" s="23">
        <f t="shared" si="7"/>
        <v>0.99999999999999645</v>
      </c>
    </row>
    <row r="224" spans="1:94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 t="str">
        <v>6.Low productivity</v>
      </c>
      <c r="AW224" s="25">
        <v>-0.68042510045733295</v>
      </c>
      <c r="AX224" s="26">
        <v>-0.45598592118851178</v>
      </c>
      <c r="AY224" s="26">
        <v>-2.4016333113147419E-2</v>
      </c>
      <c r="AZ224" s="18">
        <v>0.13596013941432597</v>
      </c>
      <c r="BA224" s="18">
        <v>0.23073747342891149</v>
      </c>
      <c r="BB224" s="18">
        <v>0.10346639143985915</v>
      </c>
      <c r="BC224" s="18">
        <v>4.5212459569649276E-2</v>
      </c>
      <c r="BD224" s="18">
        <v>8.4382504023152491E-2</v>
      </c>
      <c r="BE224" s="18">
        <v>0.10579540852354007</v>
      </c>
      <c r="BF224" s="18">
        <v>-6.0814472529591025E-2</v>
      </c>
      <c r="BG224" s="18">
        <v>-1.345995013467805E-2</v>
      </c>
      <c r="BH224" s="18">
        <v>3.7467472232232443E-2</v>
      </c>
      <c r="BI224" s="18">
        <v>-0.26479707231508426</v>
      </c>
      <c r="BJ224" s="18">
        <v>0.12369839213496928</v>
      </c>
      <c r="BK224" s="18">
        <v>-9.723724159868187E-2</v>
      </c>
      <c r="BL224" s="18">
        <v>-9.9486786888714096E-2</v>
      </c>
      <c r="BM224" s="18">
        <v>-6.0245575530314989E-2</v>
      </c>
      <c r="BN224" s="18">
        <v>6.0069572631343257E-2</v>
      </c>
      <c r="BO224" s="18">
        <v>-7.5100772050142997E-2</v>
      </c>
      <c r="BP224" s="18">
        <v>8.4480253667300831E-2</v>
      </c>
      <c r="BQ224" s="18">
        <v>-6.0515851701581906E-2</v>
      </c>
      <c r="BR224" s="18">
        <v>2.6267734117333769E-2</v>
      </c>
      <c r="BS224" s="18">
        <v>0.11730595859311869</v>
      </c>
      <c r="BT224" s="18">
        <v>-2.8458076354128232E-2</v>
      </c>
      <c r="BU224" s="18">
        <v>-3.8308927420912853E-4</v>
      </c>
      <c r="BV224" s="18">
        <v>4.0722145643154226E-2</v>
      </c>
      <c r="BW224" s="18">
        <v>4.1838741110905062E-2</v>
      </c>
      <c r="BX224" s="18">
        <v>0.1218370059348326</v>
      </c>
      <c r="BY224" s="18">
        <v>0.10537494401971689</v>
      </c>
      <c r="BZ224" s="18">
        <v>-4.2341041218883567E-2</v>
      </c>
      <c r="CA224" s="18">
        <v>1.3706317283714632E-2</v>
      </c>
      <c r="CB224" s="18">
        <v>-3.4458730822241705E-2</v>
      </c>
      <c r="CC224" s="18">
        <v>3.7992680751119438E-2</v>
      </c>
      <c r="CD224" s="18">
        <v>-3.2294969393006828E-2</v>
      </c>
      <c r="CE224" s="18">
        <v>-0.14267778138314821</v>
      </c>
      <c r="CF224" s="18">
        <v>9.0536561789296907E-3</v>
      </c>
      <c r="CG224" s="18">
        <v>1.284189140457615E-2</v>
      </c>
      <c r="CH224" s="18">
        <v>5.02213352897612E-2</v>
      </c>
      <c r="CI224" s="18">
        <v>7.5938105996566876E-2</v>
      </c>
      <c r="CJ224" s="18">
        <v>-2.3554493737651928E-2</v>
      </c>
      <c r="CK224" s="18">
        <v>6.5867076112308076E-2</v>
      </c>
      <c r="CL224" s="18">
        <v>-7.4675312382876252E-2</v>
      </c>
      <c r="CM224" s="18">
        <v>4.3176881536286467E-2</v>
      </c>
      <c r="CN224" s="19">
        <v>-2.2443802418713254E-2</v>
      </c>
      <c r="CP224" s="23">
        <f t="shared" si="7"/>
        <v>0.99999999999999734</v>
      </c>
    </row>
    <row r="225" spans="1:94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 t="str">
        <v>7.Poor work execution</v>
      </c>
      <c r="AW225" s="25">
        <v>-0.75892455011169258</v>
      </c>
      <c r="AX225" s="26">
        <v>-0.37634146905022436</v>
      </c>
      <c r="AY225" s="26">
        <v>-6.6724017400595859E-2</v>
      </c>
      <c r="AZ225" s="18">
        <v>5.4096488477735627E-2</v>
      </c>
      <c r="BA225" s="18">
        <v>0.1559082859950886</v>
      </c>
      <c r="BB225" s="18">
        <v>0.16078203514306746</v>
      </c>
      <c r="BC225" s="18">
        <v>-2.9872231217585886E-2</v>
      </c>
      <c r="BD225" s="18">
        <v>-8.2830108905267916E-3</v>
      </c>
      <c r="BE225" s="18">
        <v>-1.0638340999047138E-2</v>
      </c>
      <c r="BF225" s="18">
        <v>-0.13386335913760097</v>
      </c>
      <c r="BG225" s="18">
        <v>6.4148202731298079E-2</v>
      </c>
      <c r="BH225" s="18">
        <v>-8.4008635730430992E-2</v>
      </c>
      <c r="BI225" s="18">
        <v>-0.25634016262102399</v>
      </c>
      <c r="BJ225" s="18">
        <v>-2.7202254151684018E-2</v>
      </c>
      <c r="BK225" s="18">
        <v>-3.9185919414243382E-2</v>
      </c>
      <c r="BL225" s="18">
        <v>9.1931535708581869E-2</v>
      </c>
      <c r="BM225" s="18">
        <v>2.313198542203871E-2</v>
      </c>
      <c r="BN225" s="18">
        <v>4.301171588409735E-2</v>
      </c>
      <c r="BO225" s="18">
        <v>-8.3948967186357387E-2</v>
      </c>
      <c r="BP225" s="18">
        <v>-9.7672563826055672E-3</v>
      </c>
      <c r="BQ225" s="18">
        <v>-3.2564508531968323E-2</v>
      </c>
      <c r="BR225" s="18">
        <v>2.306030051403514E-3</v>
      </c>
      <c r="BS225" s="18">
        <v>-1.3471962305394479E-2</v>
      </c>
      <c r="BT225" s="18">
        <v>2.2917770418592612E-2</v>
      </c>
      <c r="BU225" s="18">
        <v>5.8141894364308382E-2</v>
      </c>
      <c r="BV225" s="18">
        <v>0.19962018233453055</v>
      </c>
      <c r="BW225" s="18">
        <v>6.233763277620058E-2</v>
      </c>
      <c r="BX225" s="18">
        <v>2.8131641311803238E-2</v>
      </c>
      <c r="BY225" s="18">
        <v>9.155604649499198E-2</v>
      </c>
      <c r="BZ225" s="18">
        <v>-6.6015234495064079E-2</v>
      </c>
      <c r="CA225" s="18">
        <v>-3.6397741276542231E-2</v>
      </c>
      <c r="CB225" s="18">
        <v>0.12514672305635166</v>
      </c>
      <c r="CC225" s="18">
        <v>2.1172793666027263E-2</v>
      </c>
      <c r="CD225" s="18">
        <v>-4.8846794328649676E-2</v>
      </c>
      <c r="CE225" s="18">
        <v>1.7211679239532436E-2</v>
      </c>
      <c r="CF225" s="18">
        <v>3.1997044297943519E-2</v>
      </c>
      <c r="CG225" s="18">
        <v>2.1837988048985631E-2</v>
      </c>
      <c r="CH225" s="18">
        <v>-0.10515039137038174</v>
      </c>
      <c r="CI225" s="18">
        <v>-2.3184805210966511E-2</v>
      </c>
      <c r="CJ225" s="18">
        <v>5.9418815452595711E-2</v>
      </c>
      <c r="CK225" s="18">
        <v>-1.5364716676455387E-2</v>
      </c>
      <c r="CL225" s="18">
        <v>7.0308819203328141E-2</v>
      </c>
      <c r="CM225" s="18">
        <v>-2.6642805588726913E-2</v>
      </c>
      <c r="CN225" s="19">
        <v>6.0679203315556263E-2</v>
      </c>
      <c r="CP225" s="23">
        <f t="shared" si="7"/>
        <v>1.0000000000000013</v>
      </c>
    </row>
    <row r="226" spans="1:94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 t="str">
        <v>8.Shortage of laborers</v>
      </c>
      <c r="AW226" s="25">
        <v>-0.68055991683771044</v>
      </c>
      <c r="AX226" s="26">
        <v>-0.37303418982893394</v>
      </c>
      <c r="AY226" s="26">
        <v>-0.22943777650793584</v>
      </c>
      <c r="AZ226" s="18">
        <v>7.8652013826429987E-2</v>
      </c>
      <c r="BA226" s="18">
        <v>1.7308453551062749E-2</v>
      </c>
      <c r="BB226" s="18">
        <v>-0.11429650058639414</v>
      </c>
      <c r="BC226" s="18">
        <v>8.6212474681083423E-2</v>
      </c>
      <c r="BD226" s="18">
        <v>0.19391680606364312</v>
      </c>
      <c r="BE226" s="18">
        <v>0.17944812718859829</v>
      </c>
      <c r="BF226" s="18">
        <v>2.6905043331972387E-2</v>
      </c>
      <c r="BG226" s="18">
        <v>0.1094795083956713</v>
      </c>
      <c r="BH226" s="18">
        <v>9.650514397622767E-2</v>
      </c>
      <c r="BI226" s="18">
        <v>-4.6673192579009384E-2</v>
      </c>
      <c r="BJ226" s="18">
        <v>0.21725815553055114</v>
      </c>
      <c r="BK226" s="18">
        <v>-0.1070599554227151</v>
      </c>
      <c r="BL226" s="18">
        <v>-0.24548945175421633</v>
      </c>
      <c r="BM226" s="18">
        <v>4.8868136214278241E-2</v>
      </c>
      <c r="BN226" s="18">
        <v>-9.2982205393180112E-2</v>
      </c>
      <c r="BO226" s="18">
        <v>-3.0752752165666721E-2</v>
      </c>
      <c r="BP226" s="18">
        <v>-6.4698804677245647E-2</v>
      </c>
      <c r="BQ226" s="18">
        <v>9.7591031374845413E-2</v>
      </c>
      <c r="BR226" s="18">
        <v>6.3327540763399554E-2</v>
      </c>
      <c r="BS226" s="18">
        <v>4.7271351817837495E-2</v>
      </c>
      <c r="BT226" s="18">
        <v>0.12571158706295835</v>
      </c>
      <c r="BU226" s="18">
        <v>-5.5882906021364189E-3</v>
      </c>
      <c r="BV226" s="18">
        <v>-7.4446029328144356E-2</v>
      </c>
      <c r="BW226" s="18">
        <v>-7.632088875656963E-2</v>
      </c>
      <c r="BX226" s="18">
        <v>-1.6928624627794889E-2</v>
      </c>
      <c r="BY226" s="18">
        <v>-6.2019572860463217E-4</v>
      </c>
      <c r="BZ226" s="18">
        <v>0.10382240205836758</v>
      </c>
      <c r="CA226" s="18">
        <v>7.4076763407460181E-2</v>
      </c>
      <c r="CB226" s="18">
        <v>-3.0327820899736384E-2</v>
      </c>
      <c r="CC226" s="18">
        <v>3.6259635602992162E-2</v>
      </c>
      <c r="CD226" s="18">
        <v>-5.6562152424443145E-2</v>
      </c>
      <c r="CE226" s="18">
        <v>1.3289716709251054E-2</v>
      </c>
      <c r="CF226" s="18">
        <v>4.885559395423749E-2</v>
      </c>
      <c r="CG226" s="18">
        <v>-1.2482123029466836E-2</v>
      </c>
      <c r="CH226" s="18">
        <v>5.1495438053731829E-2</v>
      </c>
      <c r="CI226" s="18">
        <v>-7.0150811053940124E-2</v>
      </c>
      <c r="CJ226" s="18">
        <v>-7.6685934264887221E-2</v>
      </c>
      <c r="CK226" s="18">
        <v>-4.6401824600097105E-2</v>
      </c>
      <c r="CL226" s="18">
        <v>2.4093886041325112E-2</v>
      </c>
      <c r="CM226" s="18">
        <v>-1.4910426490595482E-3</v>
      </c>
      <c r="CN226" s="19">
        <v>7.1366453428519397E-2</v>
      </c>
      <c r="CP226" s="23">
        <f t="shared" si="7"/>
        <v>0.99999999999999889</v>
      </c>
    </row>
    <row r="227" spans="1:94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 t="str">
        <v>9.Mistakes happens during construction phase</v>
      </c>
      <c r="AW227" s="25">
        <v>-0.70856777607009835</v>
      </c>
      <c r="AX227" s="26">
        <v>-0.36948672403402499</v>
      </c>
      <c r="AY227" s="26">
        <v>0.18216587304020249</v>
      </c>
      <c r="AZ227" s="18">
        <v>0.26588886722516819</v>
      </c>
      <c r="BA227" s="18">
        <v>0.15605741042407736</v>
      </c>
      <c r="BB227" s="18">
        <v>-4.0176746897093399E-2</v>
      </c>
      <c r="BC227" s="18">
        <v>-2.1546639740355811E-2</v>
      </c>
      <c r="BD227" s="18">
        <v>9.9835144674367174E-2</v>
      </c>
      <c r="BE227" s="18">
        <v>8.6035295990902094E-2</v>
      </c>
      <c r="BF227" s="18">
        <v>-3.5757257249837429E-2</v>
      </c>
      <c r="BG227" s="18">
        <v>-0.11121069338928405</v>
      </c>
      <c r="BH227" s="18">
        <v>0.14279287489933715</v>
      </c>
      <c r="BI227" s="18">
        <v>6.1537996080959868E-2</v>
      </c>
      <c r="BJ227" s="18">
        <v>6.7356803519037209E-2</v>
      </c>
      <c r="BK227" s="18">
        <v>-8.7087036874139628E-2</v>
      </c>
      <c r="BL227" s="18">
        <v>0.10055852001901264</v>
      </c>
      <c r="BM227" s="18">
        <v>-7.556002331946482E-2</v>
      </c>
      <c r="BN227" s="18">
        <v>-8.8189535784059178E-2</v>
      </c>
      <c r="BO227" s="18">
        <v>-8.0955146092505537E-2</v>
      </c>
      <c r="BP227" s="18">
        <v>-4.1072385665294135E-2</v>
      </c>
      <c r="BQ227" s="18">
        <v>-1.8733137882201319E-2</v>
      </c>
      <c r="BR227" s="18">
        <v>-0.21920562374135769</v>
      </c>
      <c r="BS227" s="18">
        <v>-0.11427972037926397</v>
      </c>
      <c r="BT227" s="18">
        <v>7.9317501584195593E-2</v>
      </c>
      <c r="BU227" s="18">
        <v>3.1003029259170489E-2</v>
      </c>
      <c r="BV227" s="18">
        <v>2.2924899710563794E-2</v>
      </c>
      <c r="BW227" s="18">
        <v>-0.12318933388226778</v>
      </c>
      <c r="BX227" s="18">
        <v>7.1058741778598014E-2</v>
      </c>
      <c r="BY227" s="18">
        <v>-6.5439087314130256E-2</v>
      </c>
      <c r="BZ227" s="18">
        <v>-6.9733458190097034E-2</v>
      </c>
      <c r="CA227" s="18">
        <v>5.5366791433848553E-2</v>
      </c>
      <c r="CB227" s="18">
        <v>2.5200680587010641E-2</v>
      </c>
      <c r="CC227" s="18">
        <v>-2.7604859859561872E-2</v>
      </c>
      <c r="CD227" s="18">
        <v>-6.6163316632057573E-2</v>
      </c>
      <c r="CE227" s="18">
        <v>6.7330844855734498E-2</v>
      </c>
      <c r="CF227" s="18">
        <v>-5.7128616026769781E-2</v>
      </c>
      <c r="CG227" s="18">
        <v>5.3079602411602533E-2</v>
      </c>
      <c r="CH227" s="18">
        <v>2.3889857913671656E-2</v>
      </c>
      <c r="CI227" s="18">
        <v>1.4674484337668487E-2</v>
      </c>
      <c r="CJ227" s="18">
        <v>-1.2371767078756464E-2</v>
      </c>
      <c r="CK227" s="18">
        <v>-4.6188112131162092E-2</v>
      </c>
      <c r="CL227" s="18">
        <v>6.2588637746544287E-2</v>
      </c>
      <c r="CM227" s="18">
        <v>4.3609099439907435E-2</v>
      </c>
      <c r="CN227" s="19">
        <v>-7.0630733645384358E-2</v>
      </c>
      <c r="CP227" s="23">
        <f t="shared" si="7"/>
        <v>0.99999999999999922</v>
      </c>
    </row>
    <row r="228" spans="1:94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 t="str">
        <v>10.Unavailability of equipment</v>
      </c>
      <c r="AW228" s="25">
        <v>-0.69577894126729967</v>
      </c>
      <c r="AX228" s="26">
        <v>-0.17290020994311167</v>
      </c>
      <c r="AY228" s="26">
        <v>-0.26211970209548391</v>
      </c>
      <c r="AZ228" s="18">
        <v>9.0449368306834386E-3</v>
      </c>
      <c r="BA228" s="18">
        <v>5.0482910887203518E-2</v>
      </c>
      <c r="BB228" s="18">
        <v>-0.12467587978033452</v>
      </c>
      <c r="BC228" s="18">
        <v>0.29149982941836711</v>
      </c>
      <c r="BD228" s="18">
        <v>0.14838441275228434</v>
      </c>
      <c r="BE228" s="18">
        <v>1.5588175533958595E-2</v>
      </c>
      <c r="BF228" s="18">
        <v>-6.6049623121860787E-2</v>
      </c>
      <c r="BG228" s="18">
        <v>-0.22912075790947173</v>
      </c>
      <c r="BH228" s="18">
        <v>1.4240980157336033E-2</v>
      </c>
      <c r="BI228" s="18">
        <v>0.20083129120018098</v>
      </c>
      <c r="BJ228" s="18">
        <v>0.25470650933446953</v>
      </c>
      <c r="BK228" s="18">
        <v>-9.8730572091997301E-2</v>
      </c>
      <c r="BL228" s="18">
        <v>3.5410029398945921E-2</v>
      </c>
      <c r="BM228" s="18">
        <v>4.3308912706800026E-3</v>
      </c>
      <c r="BN228" s="18">
        <v>1.9062772220390611E-2</v>
      </c>
      <c r="BO228" s="18">
        <v>-4.1923349648818886E-2</v>
      </c>
      <c r="BP228" s="18">
        <v>-0.13593990215459151</v>
      </c>
      <c r="BQ228" s="18">
        <v>0.15072563859272556</v>
      </c>
      <c r="BR228" s="18">
        <v>-1.2050841130639575E-2</v>
      </c>
      <c r="BS228" s="18">
        <v>-1.4540389527387901E-2</v>
      </c>
      <c r="BT228" s="18">
        <v>6.590028121621043E-2</v>
      </c>
      <c r="BU228" s="18">
        <v>2.3217929015424438E-2</v>
      </c>
      <c r="BV228" s="18">
        <v>0.10152201057850202</v>
      </c>
      <c r="BW228" s="18">
        <v>0.10040618342635521</v>
      </c>
      <c r="BX228" s="18">
        <v>-4.3176276065788409E-2</v>
      </c>
      <c r="BY228" s="18">
        <v>-0.10491252449158157</v>
      </c>
      <c r="BZ228" s="18">
        <v>-3.592315466158844E-4</v>
      </c>
      <c r="CA228" s="18">
        <v>-7.1470893178002939E-2</v>
      </c>
      <c r="CB228" s="18">
        <v>-3.6587541074407551E-2</v>
      </c>
      <c r="CC228" s="18">
        <v>-4.0944125899253024E-2</v>
      </c>
      <c r="CD228" s="18">
        <v>1.9067527868115313E-2</v>
      </c>
      <c r="CE228" s="18">
        <v>3.7598105710335041E-2</v>
      </c>
      <c r="CF228" s="18">
        <v>1.1355116601831626E-2</v>
      </c>
      <c r="CG228" s="18">
        <v>-4.9185964422160883E-3</v>
      </c>
      <c r="CH228" s="18">
        <v>3.5379000659398599E-2</v>
      </c>
      <c r="CI228" s="18">
        <v>-2.4643223070715061E-2</v>
      </c>
      <c r="CJ228" s="18">
        <v>0.13347185241555182</v>
      </c>
      <c r="CK228" s="18">
        <v>2.912178711707435E-2</v>
      </c>
      <c r="CL228" s="18">
        <v>-7.7672307339632679E-2</v>
      </c>
      <c r="CM228" s="18">
        <v>-1.278250689076656E-2</v>
      </c>
      <c r="CN228" s="19">
        <v>-2.0503936565850344E-3</v>
      </c>
      <c r="CP228" s="23">
        <f t="shared" si="7"/>
        <v>1.0000000000000056</v>
      </c>
    </row>
    <row r="229" spans="1:94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 t="str">
        <v>11.Lack of engineering experience</v>
      </c>
      <c r="AW229" s="25">
        <v>-0.72405651990119901</v>
      </c>
      <c r="AX229" s="26">
        <v>-0.35821445369019955</v>
      </c>
      <c r="AY229" s="26">
        <v>7.724712856726712E-2</v>
      </c>
      <c r="AZ229" s="18">
        <v>-4.6737360438990058E-2</v>
      </c>
      <c r="BA229" s="18">
        <v>0.20342635725297684</v>
      </c>
      <c r="BB229" s="18">
        <v>0.21001468706278981</v>
      </c>
      <c r="BC229" s="18">
        <v>0.18022008814293822</v>
      </c>
      <c r="BD229" s="18">
        <v>4.007261151794031E-2</v>
      </c>
      <c r="BE229" s="18">
        <v>5.6500561165824338E-2</v>
      </c>
      <c r="BF229" s="18">
        <v>0.17088583956459485</v>
      </c>
      <c r="BG229" s="18">
        <v>0.13013982231597188</v>
      </c>
      <c r="BH229" s="18">
        <v>3.1036198103515079E-2</v>
      </c>
      <c r="BI229" s="18">
        <v>0.10533968691498523</v>
      </c>
      <c r="BJ229" s="18">
        <v>-7.8116540710734803E-2</v>
      </c>
      <c r="BK229" s="18">
        <v>9.439118101441675E-2</v>
      </c>
      <c r="BL229" s="18">
        <v>-9.5157418450767944E-3</v>
      </c>
      <c r="BM229" s="18">
        <v>2.8968284134170139E-3</v>
      </c>
      <c r="BN229" s="18">
        <v>-0.1492090915319868</v>
      </c>
      <c r="BO229" s="18">
        <v>0.14441903945956547</v>
      </c>
      <c r="BP229" s="18">
        <v>-6.0143377190203434E-2</v>
      </c>
      <c r="BQ229" s="18">
        <v>-1.9516468148818831E-2</v>
      </c>
      <c r="BR229" s="18">
        <v>-1.4593931187170121E-2</v>
      </c>
      <c r="BS229" s="18">
        <v>8.6625983826276232E-2</v>
      </c>
      <c r="BT229" s="18">
        <v>-5.5965339647082619E-2</v>
      </c>
      <c r="BU229" s="18">
        <v>3.256648877276852E-2</v>
      </c>
      <c r="BV229" s="18">
        <v>-2.9025096566717135E-2</v>
      </c>
      <c r="BW229" s="18">
        <v>8.1361378313448529E-2</v>
      </c>
      <c r="BX229" s="18">
        <v>1.1710141887251706E-2</v>
      </c>
      <c r="BY229" s="18">
        <v>-3.1684560938356962E-2</v>
      </c>
      <c r="BZ229" s="18">
        <v>1.3249721740946428E-2</v>
      </c>
      <c r="CA229" s="18">
        <v>-4.279113702372743E-2</v>
      </c>
      <c r="CB229" s="18">
        <v>8.3877678380020929E-2</v>
      </c>
      <c r="CC229" s="18">
        <v>0.14949870065291504</v>
      </c>
      <c r="CD229" s="18">
        <v>2.7294191399808331E-2</v>
      </c>
      <c r="CE229" s="18">
        <v>0.16661468841171459</v>
      </c>
      <c r="CF229" s="18">
        <v>-3.4505504543253199E-2</v>
      </c>
      <c r="CG229" s="18">
        <v>-1.0670171474042388E-2</v>
      </c>
      <c r="CH229" s="18">
        <v>8.9473792402626623E-3</v>
      </c>
      <c r="CI229" s="18">
        <v>9.0975860923928051E-2</v>
      </c>
      <c r="CJ229" s="18">
        <v>-5.3967493906078745E-2</v>
      </c>
      <c r="CK229" s="18">
        <v>1.930403227109722E-2</v>
      </c>
      <c r="CL229" s="18">
        <v>-3.3983891841973292E-2</v>
      </c>
      <c r="CM229" s="18">
        <v>-3.9575787003899771E-2</v>
      </c>
      <c r="CN229" s="19">
        <v>-1.5084371970467407E-3</v>
      </c>
      <c r="CP229" s="23">
        <f t="shared" si="7"/>
        <v>0.99999999999999833</v>
      </c>
    </row>
    <row r="230" spans="1:94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 t="str">
        <v>12.Construction cost underestimation</v>
      </c>
      <c r="AW230" s="25">
        <v>-0.72032249828291506</v>
      </c>
      <c r="AX230" s="26">
        <v>-0.27455062056924467</v>
      </c>
      <c r="AY230" s="26">
        <v>8.6271411759147737E-2</v>
      </c>
      <c r="AZ230" s="18">
        <v>0.3594072464376365</v>
      </c>
      <c r="BA230" s="18">
        <v>0.12465285791669939</v>
      </c>
      <c r="BB230" s="18">
        <v>-2.3076447914363224E-2</v>
      </c>
      <c r="BC230" s="18">
        <v>4.8352863929131788E-2</v>
      </c>
      <c r="BD230" s="18">
        <v>-3.1729145612366859E-2</v>
      </c>
      <c r="BE230" s="18">
        <v>0.12821907961010684</v>
      </c>
      <c r="BF230" s="18">
        <v>0.24389709340798207</v>
      </c>
      <c r="BG230" s="18">
        <v>3.9518137490590292E-2</v>
      </c>
      <c r="BH230" s="18">
        <v>-9.5306181452006907E-4</v>
      </c>
      <c r="BI230" s="18">
        <v>0.10041351645149514</v>
      </c>
      <c r="BJ230" s="18">
        <v>0.13216991107714623</v>
      </c>
      <c r="BK230" s="18">
        <v>-5.1657085622619857E-2</v>
      </c>
      <c r="BL230" s="18">
        <v>-7.1222488911909928E-3</v>
      </c>
      <c r="BM230" s="18">
        <v>7.7179277450804037E-2</v>
      </c>
      <c r="BN230" s="18">
        <v>9.7993089110710946E-2</v>
      </c>
      <c r="BO230" s="18">
        <v>-1.345100774072429E-2</v>
      </c>
      <c r="BP230" s="18">
        <v>-0.15748243970133155</v>
      </c>
      <c r="BQ230" s="18">
        <v>4.9486351293910213E-2</v>
      </c>
      <c r="BR230" s="18">
        <v>-3.3428890310437061E-2</v>
      </c>
      <c r="BS230" s="18">
        <v>7.475688185967358E-2</v>
      </c>
      <c r="BT230" s="18">
        <v>-0.13053814946691386</v>
      </c>
      <c r="BU230" s="18">
        <v>-8.2059606537712854E-3</v>
      </c>
      <c r="BV230" s="18">
        <v>-0.12606189178207364</v>
      </c>
      <c r="BW230" s="18">
        <v>-2.9080822540073464E-2</v>
      </c>
      <c r="BX230" s="18">
        <v>-0.1143890001052744</v>
      </c>
      <c r="BY230" s="18">
        <v>6.1951391504822834E-3</v>
      </c>
      <c r="BZ230" s="18">
        <v>-1.0000509942473621E-2</v>
      </c>
      <c r="CA230" s="18">
        <v>-5.7651165038983522E-2</v>
      </c>
      <c r="CB230" s="18">
        <v>-4.3013622951742804E-2</v>
      </c>
      <c r="CC230" s="18">
        <v>-7.3365248631437729E-2</v>
      </c>
      <c r="CD230" s="18">
        <v>7.5007003715660048E-2</v>
      </c>
      <c r="CE230" s="18">
        <v>-5.8167502636298829E-2</v>
      </c>
      <c r="CF230" s="18">
        <v>2.9318171536454499E-2</v>
      </c>
      <c r="CG230" s="18">
        <v>-4.5548551079668889E-2</v>
      </c>
      <c r="CH230" s="18">
        <v>-6.5083261236365486E-2</v>
      </c>
      <c r="CI230" s="18">
        <v>3.5322628392117673E-2</v>
      </c>
      <c r="CJ230" s="18">
        <v>-5.5834817094066701E-3</v>
      </c>
      <c r="CK230" s="18">
        <v>7.5724284151859556E-2</v>
      </c>
      <c r="CL230" s="18">
        <v>0.10617426459370635</v>
      </c>
      <c r="CM230" s="18">
        <v>-4.5225957258418778E-3</v>
      </c>
      <c r="CN230" s="19">
        <v>-1.2640203690216239E-2</v>
      </c>
      <c r="CP230" s="23">
        <f t="shared" si="7"/>
        <v>1.0000000000000004</v>
      </c>
    </row>
    <row r="231" spans="1:94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 t="str">
        <v>13.Poor site management</v>
      </c>
      <c r="AW231" s="25">
        <v>-0.70708720540225434</v>
      </c>
      <c r="AX231" s="26">
        <v>-0.23640009854036326</v>
      </c>
      <c r="AY231" s="26">
        <v>4.6125582652537529E-2</v>
      </c>
      <c r="AZ231" s="18">
        <v>0.17035450265406998</v>
      </c>
      <c r="BA231" s="18">
        <v>0.21329243772613737</v>
      </c>
      <c r="BB231" s="18">
        <v>0.23321045640011157</v>
      </c>
      <c r="BC231" s="18">
        <v>7.1675696267580226E-3</v>
      </c>
      <c r="BD231" s="18">
        <v>-1.8065124598869136E-3</v>
      </c>
      <c r="BE231" s="18">
        <v>6.7963784507116431E-2</v>
      </c>
      <c r="BF231" s="18">
        <v>0.18128862168107338</v>
      </c>
      <c r="BG231" s="18">
        <v>0.23123327223104864</v>
      </c>
      <c r="BH231" s="18">
        <v>-7.7676689533725238E-2</v>
      </c>
      <c r="BI231" s="18">
        <v>-0.1454634731957325</v>
      </c>
      <c r="BJ231" s="18">
        <v>-4.5154683408621991E-2</v>
      </c>
      <c r="BK231" s="18">
        <v>9.0964785008772045E-2</v>
      </c>
      <c r="BL231" s="18">
        <v>3.1147725575463758E-2</v>
      </c>
      <c r="BM231" s="18">
        <v>-9.4443603655073746E-2</v>
      </c>
      <c r="BN231" s="18">
        <v>0.14263188969198226</v>
      </c>
      <c r="BO231" s="18">
        <v>0.29260874886523935</v>
      </c>
      <c r="BP231" s="18">
        <v>1.9959344277728826E-2</v>
      </c>
      <c r="BQ231" s="18">
        <v>8.6319904409100881E-2</v>
      </c>
      <c r="BR231" s="18">
        <v>2.0088906478906394E-2</v>
      </c>
      <c r="BS231" s="18">
        <v>3.4643896395532649E-2</v>
      </c>
      <c r="BT231" s="18">
        <v>-4.323228148610804E-2</v>
      </c>
      <c r="BU231" s="18">
        <v>-3.4432685298713683E-2</v>
      </c>
      <c r="BV231" s="18">
        <v>-3.4966166728094265E-2</v>
      </c>
      <c r="BW231" s="18">
        <v>-8.9753703992094452E-2</v>
      </c>
      <c r="BX231" s="18">
        <v>2.8900982098666192E-2</v>
      </c>
      <c r="BY231" s="18">
        <v>-8.0380776010384222E-2</v>
      </c>
      <c r="BZ231" s="18">
        <v>-2.7544439251673478E-2</v>
      </c>
      <c r="CA231" s="18">
        <v>-4.5755093270706142E-2</v>
      </c>
      <c r="CB231" s="18">
        <v>-5.4431398353343022E-3</v>
      </c>
      <c r="CC231" s="18">
        <v>-2.4477839782135906E-2</v>
      </c>
      <c r="CD231" s="18">
        <v>6.8201610747530228E-2</v>
      </c>
      <c r="CE231" s="18">
        <v>-5.3402378674909462E-2</v>
      </c>
      <c r="CF231" s="18">
        <v>-9.226210909092928E-3</v>
      </c>
      <c r="CG231" s="18">
        <v>7.0397112544720003E-2</v>
      </c>
      <c r="CH231" s="18">
        <v>-3.4385857216941963E-2</v>
      </c>
      <c r="CI231" s="18">
        <v>-0.1131651812371343</v>
      </c>
      <c r="CJ231" s="18">
        <v>1.4570052275943952E-2</v>
      </c>
      <c r="CK231" s="18">
        <v>-7.4149743873512558E-2</v>
      </c>
      <c r="CL231" s="18">
        <v>-5.9108528489085016E-2</v>
      </c>
      <c r="CM231" s="18">
        <v>-2.2318793192109237E-3</v>
      </c>
      <c r="CN231" s="19">
        <v>-2.0962908551973605E-2</v>
      </c>
      <c r="CP231" s="23">
        <f t="shared" si="7"/>
        <v>1.000000000000002</v>
      </c>
    </row>
    <row r="232" spans="1:94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 t="str">
        <v>14.Delayed payment for completed work</v>
      </c>
      <c r="AW232" s="25">
        <v>-0.34151869833724718</v>
      </c>
      <c r="AX232" s="26">
        <v>0.39597877482097626</v>
      </c>
      <c r="AY232" s="26">
        <v>-0.53928915466571081</v>
      </c>
      <c r="AZ232" s="18">
        <v>-0.26314416219242198</v>
      </c>
      <c r="BA232" s="18">
        <v>-0.12377761286426153</v>
      </c>
      <c r="BB232" s="18">
        <v>0.24086886191799878</v>
      </c>
      <c r="BC232" s="18">
        <v>7.173025864239016E-2</v>
      </c>
      <c r="BD232" s="18">
        <v>0.14160692112355378</v>
      </c>
      <c r="BE232" s="18">
        <v>8.9353784477993581E-2</v>
      </c>
      <c r="BF232" s="18">
        <v>9.4224844177064435E-2</v>
      </c>
      <c r="BG232" s="18">
        <v>0.2058176546687687</v>
      </c>
      <c r="BH232" s="18">
        <v>0.18621215062891289</v>
      </c>
      <c r="BI232" s="18">
        <v>-0.21608468979245754</v>
      </c>
      <c r="BJ232" s="18">
        <v>5.8636967714525388E-2</v>
      </c>
      <c r="BK232" s="18">
        <v>-2.0778250839840304E-3</v>
      </c>
      <c r="BL232" s="18">
        <v>0.13601972361315809</v>
      </c>
      <c r="BM232" s="18">
        <v>2.6535550873097644E-2</v>
      </c>
      <c r="BN232" s="18">
        <v>-2.368198149358574E-2</v>
      </c>
      <c r="BO232" s="18">
        <v>8.2797178202435373E-2</v>
      </c>
      <c r="BP232" s="18">
        <v>-0.117724478323571</v>
      </c>
      <c r="BQ232" s="18">
        <v>-6.7481289301422429E-2</v>
      </c>
      <c r="BR232" s="18">
        <v>-6.7860961334713213E-2</v>
      </c>
      <c r="BS232" s="18">
        <v>-4.2658441022817475E-2</v>
      </c>
      <c r="BT232" s="18">
        <v>4.8219428216007658E-2</v>
      </c>
      <c r="BU232" s="18">
        <v>-0.11689927737268609</v>
      </c>
      <c r="BV232" s="18">
        <v>5.6599609127049748E-2</v>
      </c>
      <c r="BW232" s="18">
        <v>-8.9205124840723432E-3</v>
      </c>
      <c r="BX232" s="18">
        <v>-2.0181348841439337E-2</v>
      </c>
      <c r="BY232" s="18">
        <v>8.6034384926513746E-2</v>
      </c>
      <c r="BZ232" s="18">
        <v>-4.4212721633817002E-2</v>
      </c>
      <c r="CA232" s="18">
        <v>9.735550222556133E-2</v>
      </c>
      <c r="CB232" s="18">
        <v>-2.9042592149598801E-2</v>
      </c>
      <c r="CC232" s="18">
        <v>5.3112150994512421E-2</v>
      </c>
      <c r="CD232" s="18">
        <v>5.5163328062610026E-2</v>
      </c>
      <c r="CE232" s="18">
        <v>2.8247230264677767E-2</v>
      </c>
      <c r="CF232" s="18">
        <v>9.9996712226207637E-3</v>
      </c>
      <c r="CG232" s="18">
        <v>-0.14786402741354354</v>
      </c>
      <c r="CH232" s="18">
        <v>-8.0962329043352786E-3</v>
      </c>
      <c r="CI232" s="18">
        <v>-3.6159071799493486E-2</v>
      </c>
      <c r="CJ232" s="18">
        <v>2.6354296892716129E-2</v>
      </c>
      <c r="CK232" s="18">
        <v>5.4324673829404205E-3</v>
      </c>
      <c r="CL232" s="18">
        <v>6.3435296509714205E-3</v>
      </c>
      <c r="CM232" s="18">
        <v>2.8015750137841786E-2</v>
      </c>
      <c r="CN232" s="19">
        <v>-3.9394176622844057E-2</v>
      </c>
      <c r="CP232" s="23">
        <f t="shared" si="7"/>
        <v>0.99999999999999734</v>
      </c>
    </row>
    <row r="233" spans="1:94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 t="str">
        <v>15.Cash flow problem during construction</v>
      </c>
      <c r="AW233" s="25">
        <v>-0.44959928243634889</v>
      </c>
      <c r="AX233" s="26">
        <v>0.46566197115855174</v>
      </c>
      <c r="AY233" s="26">
        <v>-0.26063948713312918</v>
      </c>
      <c r="AZ233" s="18">
        <v>-0.33043568018765013</v>
      </c>
      <c r="BA233" s="18">
        <v>-4.4226333497316014E-2</v>
      </c>
      <c r="BB233" s="18">
        <v>0.35095479139551594</v>
      </c>
      <c r="BC233" s="18">
        <v>0.33406431664248504</v>
      </c>
      <c r="BD233" s="18">
        <v>8.2313578434506665E-2</v>
      </c>
      <c r="BE233" s="18">
        <v>-1.4617067577630623E-3</v>
      </c>
      <c r="BF233" s="18">
        <v>-9.56331191350034E-2</v>
      </c>
      <c r="BG233" s="18">
        <v>2.2661475795877066E-2</v>
      </c>
      <c r="BH233" s="18">
        <v>-7.0102974263063694E-2</v>
      </c>
      <c r="BI233" s="18">
        <v>5.6621341609154621E-2</v>
      </c>
      <c r="BJ233" s="18">
        <v>7.5443975782980205E-2</v>
      </c>
      <c r="BK233" s="18">
        <v>-4.0321184159411239E-3</v>
      </c>
      <c r="BL233" s="18">
        <v>1.0277271424110886E-2</v>
      </c>
      <c r="BM233" s="18">
        <v>-4.6657467016034168E-2</v>
      </c>
      <c r="BN233" s="18">
        <v>1.627381821207613E-2</v>
      </c>
      <c r="BO233" s="18">
        <v>-0.10052106169456565</v>
      </c>
      <c r="BP233" s="18">
        <v>4.3646771185423379E-2</v>
      </c>
      <c r="BQ233" s="18">
        <v>-8.191642658421136E-2</v>
      </c>
      <c r="BR233" s="18">
        <v>-0.13174029348911434</v>
      </c>
      <c r="BS233" s="18">
        <v>-0.10288949022402305</v>
      </c>
      <c r="BT233" s="18">
        <v>6.6215935851945698E-2</v>
      </c>
      <c r="BU233" s="18">
        <v>-0.12397770840106717</v>
      </c>
      <c r="BV233" s="18">
        <v>-0.13287068739373611</v>
      </c>
      <c r="BW233" s="18">
        <v>-0.11221674067066183</v>
      </c>
      <c r="BX233" s="18">
        <v>5.2094196553256374E-2</v>
      </c>
      <c r="BY233" s="18">
        <v>-1.3343719643979795E-2</v>
      </c>
      <c r="BZ233" s="18">
        <v>-5.2591526286380794E-2</v>
      </c>
      <c r="CA233" s="18">
        <v>-6.571615051319904E-2</v>
      </c>
      <c r="CB233" s="18">
        <v>-1.7592147961517618E-2</v>
      </c>
      <c r="CC233" s="18">
        <v>-5.1205950767052866E-2</v>
      </c>
      <c r="CD233" s="18">
        <v>5.0161313659184852E-2</v>
      </c>
      <c r="CE233" s="18">
        <v>2.446296118726491E-2</v>
      </c>
      <c r="CF233" s="18">
        <v>3.3826580663670128E-2</v>
      </c>
      <c r="CG233" s="18">
        <v>0.1008229649739851</v>
      </c>
      <c r="CH233" s="18">
        <v>-4.6252451397370005E-2</v>
      </c>
      <c r="CI233" s="18">
        <v>5.1501424447459775E-2</v>
      </c>
      <c r="CJ233" s="18">
        <v>-2.8461620803488002E-2</v>
      </c>
      <c r="CK233" s="18">
        <v>3.3908417061000284E-2</v>
      </c>
      <c r="CL233" s="18">
        <v>-1.8082787694340602E-2</v>
      </c>
      <c r="CM233" s="18">
        <v>1.6834067340513872E-2</v>
      </c>
      <c r="CN233" s="19">
        <v>5.4809705708497053E-2</v>
      </c>
      <c r="CP233" s="23">
        <f t="shared" si="7"/>
        <v>1.0000000000000011</v>
      </c>
    </row>
    <row r="234" spans="1:94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 t="str">
        <v>16.High rate of interest</v>
      </c>
      <c r="AW234" s="25">
        <v>-0.58329028788207238</v>
      </c>
      <c r="AX234" s="26">
        <v>0.34135979217899648</v>
      </c>
      <c r="AY234" s="26">
        <v>0.18863114496880448</v>
      </c>
      <c r="AZ234" s="18">
        <v>-8.8248593358608338E-2</v>
      </c>
      <c r="BA234" s="18">
        <v>-0.13747102656412249</v>
      </c>
      <c r="BB234" s="18">
        <v>3.1217266796991347E-3</v>
      </c>
      <c r="BC234" s="18">
        <v>0.35001623645223456</v>
      </c>
      <c r="BD234" s="18">
        <v>4.7433091351864978E-2</v>
      </c>
      <c r="BE234" s="18">
        <v>0.16963539298157956</v>
      </c>
      <c r="BF234" s="18">
        <v>0.2081655401292517</v>
      </c>
      <c r="BG234" s="18">
        <v>0.19602875478080903</v>
      </c>
      <c r="BH234" s="18">
        <v>0.16097344676304812</v>
      </c>
      <c r="BI234" s="18">
        <v>3.7302629762927003E-2</v>
      </c>
      <c r="BJ234" s="18">
        <v>-6.6424227248217921E-2</v>
      </c>
      <c r="BK234" s="18">
        <v>-1.3926056041047817E-2</v>
      </c>
      <c r="BL234" s="18">
        <v>4.6825799852981825E-2</v>
      </c>
      <c r="BM234" s="18">
        <v>-0.18160513742996656</v>
      </c>
      <c r="BN234" s="18">
        <v>9.2058234476559864E-2</v>
      </c>
      <c r="BO234" s="18">
        <v>-0.20665527409671416</v>
      </c>
      <c r="BP234" s="18">
        <v>2.4390275842012133E-2</v>
      </c>
      <c r="BQ234" s="18">
        <v>-0.13541089129676087</v>
      </c>
      <c r="BR234" s="18">
        <v>-4.7869608979441099E-2</v>
      </c>
      <c r="BS234" s="18">
        <v>-0.12362407393112083</v>
      </c>
      <c r="BT234" s="18">
        <v>-0.12023419129731819</v>
      </c>
      <c r="BU234" s="18">
        <v>0.13533516900138906</v>
      </c>
      <c r="BV234" s="18">
        <v>0.10479606975104454</v>
      </c>
      <c r="BW234" s="18">
        <v>3.881166416485389E-2</v>
      </c>
      <c r="BX234" s="18">
        <v>-7.0976367357462128E-2</v>
      </c>
      <c r="BY234" s="18">
        <v>1.5216461174044847E-2</v>
      </c>
      <c r="BZ234" s="18">
        <v>0.10977764986678082</v>
      </c>
      <c r="CA234" s="18">
        <v>-8.5273997577346161E-2</v>
      </c>
      <c r="CB234" s="18">
        <v>-5.687104248442109E-2</v>
      </c>
      <c r="CC234" s="18">
        <v>5.7403483716693467E-2</v>
      </c>
      <c r="CD234" s="18">
        <v>9.7727887073226268E-3</v>
      </c>
      <c r="CE234" s="18">
        <v>-7.1583083464249436E-2</v>
      </c>
      <c r="CF234" s="18">
        <v>-6.8554187723628882E-2</v>
      </c>
      <c r="CG234" s="18">
        <v>1.033106616129012E-2</v>
      </c>
      <c r="CH234" s="18">
        <v>4.262587625960064E-2</v>
      </c>
      <c r="CI234" s="18">
        <v>-2.1745383586793912E-2</v>
      </c>
      <c r="CJ234" s="18">
        <v>-1.4841433226804077E-2</v>
      </c>
      <c r="CK234" s="18">
        <v>-4.0647593469707095E-2</v>
      </c>
      <c r="CL234" s="18">
        <v>1.3350261534491622E-2</v>
      </c>
      <c r="CM234" s="18">
        <v>-6.7555197622568928E-3</v>
      </c>
      <c r="CN234" s="19">
        <v>1.0344462715935586E-2</v>
      </c>
      <c r="CP234" s="23">
        <f t="shared" si="7"/>
        <v>0.99999999999999611</v>
      </c>
    </row>
    <row r="235" spans="1:94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 t="str">
        <v>17.Contractor’s financial difficulties</v>
      </c>
      <c r="AW235" s="25">
        <v>-0.34409801252149641</v>
      </c>
      <c r="AX235" s="26">
        <v>0.43444691350593945</v>
      </c>
      <c r="AY235" s="26">
        <v>-0.1528849001988411</v>
      </c>
      <c r="AZ235" s="18">
        <v>-0.37190690964150175</v>
      </c>
      <c r="BA235" s="18">
        <v>6.8493623401092385E-2</v>
      </c>
      <c r="BB235" s="18">
        <v>0.17760462148192921</v>
      </c>
      <c r="BC235" s="18">
        <v>0.43993896079350642</v>
      </c>
      <c r="BD235" s="18">
        <v>-6.8611159042667472E-2</v>
      </c>
      <c r="BE235" s="18">
        <v>-0.27408564488928222</v>
      </c>
      <c r="BF235" s="18">
        <v>-3.9140001245168456E-2</v>
      </c>
      <c r="BG235" s="18">
        <v>-2.78135444687829E-2</v>
      </c>
      <c r="BH235" s="18">
        <v>-0.14520382829412395</v>
      </c>
      <c r="BI235" s="18">
        <v>3.8662586498639386E-2</v>
      </c>
      <c r="BJ235" s="18">
        <v>5.8296801065878485E-2</v>
      </c>
      <c r="BK235" s="18">
        <v>-0.22588893680472488</v>
      </c>
      <c r="BL235" s="18">
        <v>-1.9640583560571728E-2</v>
      </c>
      <c r="BM235" s="18">
        <v>9.7308978629932499E-2</v>
      </c>
      <c r="BN235" s="18">
        <v>7.1490075755143892E-2</v>
      </c>
      <c r="BO235" s="18">
        <v>2.0407796498188729E-2</v>
      </c>
      <c r="BP235" s="18">
        <v>3.238586332887148E-2</v>
      </c>
      <c r="BQ235" s="18">
        <v>0.11485328058196669</v>
      </c>
      <c r="BR235" s="18">
        <v>0.12525249270882163</v>
      </c>
      <c r="BS235" s="18">
        <v>0.18502382451398205</v>
      </c>
      <c r="BT235" s="18">
        <v>-7.5977685866258624E-2</v>
      </c>
      <c r="BU235" s="18">
        <v>8.373940090750602E-2</v>
      </c>
      <c r="BV235" s="18">
        <v>4.5085030958959403E-2</v>
      </c>
      <c r="BW235" s="18">
        <v>-0.11942916022121924</v>
      </c>
      <c r="BX235" s="18">
        <v>6.2462530227150044E-2</v>
      </c>
      <c r="BY235" s="18">
        <v>-1.0729422435109591E-2</v>
      </c>
      <c r="BZ235" s="18">
        <v>3.2503932896246396E-2</v>
      </c>
      <c r="CA235" s="18">
        <v>4.1801259601631391E-2</v>
      </c>
      <c r="CB235" s="18">
        <v>9.5175244044903726E-2</v>
      </c>
      <c r="CC235" s="18">
        <v>-7.9606080180888827E-2</v>
      </c>
      <c r="CD235" s="18">
        <v>-3.0319258286461804E-2</v>
      </c>
      <c r="CE235" s="18">
        <v>-1.6137895102494668E-2</v>
      </c>
      <c r="CF235" s="18">
        <v>-5.0870923539577298E-2</v>
      </c>
      <c r="CG235" s="18">
        <v>-3.8075611049502675E-2</v>
      </c>
      <c r="CH235" s="18">
        <v>2.3456868286568802E-2</v>
      </c>
      <c r="CI235" s="18">
        <v>3.5896797663603812E-2</v>
      </c>
      <c r="CJ235" s="18">
        <v>-9.9648361848734719E-3</v>
      </c>
      <c r="CK235" s="18">
        <v>-4.6266600359137128E-2</v>
      </c>
      <c r="CL235" s="18">
        <v>3.5764541942446125E-2</v>
      </c>
      <c r="CM235" s="18">
        <v>-9.3633210991404259E-3</v>
      </c>
      <c r="CN235" s="19">
        <v>-2.7197851598844199E-2</v>
      </c>
      <c r="CP235" s="23">
        <f t="shared" si="7"/>
        <v>0.99999999999999767</v>
      </c>
    </row>
    <row r="236" spans="1:94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 t="str">
        <v>18.Increase in salaries of skilled laborers</v>
      </c>
      <c r="AW236" s="25">
        <v>-0.40214932374452311</v>
      </c>
      <c r="AX236" s="26">
        <v>3.3870871069750501E-2</v>
      </c>
      <c r="AY236" s="26">
        <v>-0.25442792605372733</v>
      </c>
      <c r="AZ236" s="18">
        <v>0.21191655774963872</v>
      </c>
      <c r="BA236" s="18">
        <v>-0.15743956400055062</v>
      </c>
      <c r="BB236" s="18">
        <v>-0.40454375595206549</v>
      </c>
      <c r="BC236" s="18">
        <v>0.13486996320154668</v>
      </c>
      <c r="BD236" s="18">
        <v>0.21664474609811485</v>
      </c>
      <c r="BE236" s="18">
        <v>-0.27756601243522677</v>
      </c>
      <c r="BF236" s="18">
        <v>0.27699160417764052</v>
      </c>
      <c r="BG236" s="18">
        <v>0.15550233102936251</v>
      </c>
      <c r="BH236" s="18">
        <v>0.11275539008521263</v>
      </c>
      <c r="BI236" s="18">
        <v>-5.9612261492518547E-2</v>
      </c>
      <c r="BJ236" s="18">
        <v>-0.29733646785171164</v>
      </c>
      <c r="BK236" s="18">
        <v>-0.28133629270896165</v>
      </c>
      <c r="BL236" s="18">
        <v>5.7970434220394822E-2</v>
      </c>
      <c r="BM236" s="18">
        <v>-2.8381265851271237E-2</v>
      </c>
      <c r="BN236" s="18">
        <v>-9.6798125139992752E-2</v>
      </c>
      <c r="BO236" s="18">
        <v>-4.1636125141202858E-2</v>
      </c>
      <c r="BP236" s="18">
        <v>5.3294479008791681E-2</v>
      </c>
      <c r="BQ236" s="18">
        <v>-3.3094905633281727E-2</v>
      </c>
      <c r="BR236" s="18">
        <v>0.1822966970186608</v>
      </c>
      <c r="BS236" s="18">
        <v>-8.2363256860127857E-3</v>
      </c>
      <c r="BT236" s="18">
        <v>-6.0738036654505063E-2</v>
      </c>
      <c r="BU236" s="18">
        <v>-8.8991338025403058E-2</v>
      </c>
      <c r="BV236" s="18">
        <v>-6.7822363122254911E-2</v>
      </c>
      <c r="BW236" s="18">
        <v>0.11455442232571413</v>
      </c>
      <c r="BX236" s="18">
        <v>9.4914088231552188E-2</v>
      </c>
      <c r="BY236" s="18">
        <v>-7.0856359347394177E-2</v>
      </c>
      <c r="BZ236" s="18">
        <v>-8.0382963928058229E-2</v>
      </c>
      <c r="CA236" s="18">
        <v>4.389301751862814E-2</v>
      </c>
      <c r="CB236" s="18">
        <v>8.5807584492661459E-3</v>
      </c>
      <c r="CC236" s="18">
        <v>-1.0516336197895304E-2</v>
      </c>
      <c r="CD236" s="18">
        <v>2.7933717318772852E-2</v>
      </c>
      <c r="CE236" s="18">
        <v>2.4238725924624727E-2</v>
      </c>
      <c r="CF236" s="18">
        <v>-1.7544313667936587E-2</v>
      </c>
      <c r="CG236" s="18">
        <v>5.3473896263381358E-2</v>
      </c>
      <c r="CH236" s="18">
        <v>8.0586545467904551E-3</v>
      </c>
      <c r="CI236" s="18">
        <v>-2.4783886902002842E-2</v>
      </c>
      <c r="CJ236" s="18">
        <v>2.0000846903727301E-2</v>
      </c>
      <c r="CK236" s="18">
        <v>2.7694499138355901E-2</v>
      </c>
      <c r="CL236" s="18">
        <v>2.5478955687781042E-2</v>
      </c>
      <c r="CM236" s="18">
        <v>2.2562847951995382E-2</v>
      </c>
      <c r="CN236" s="19">
        <v>1.2916116580719427E-2</v>
      </c>
      <c r="CP236" s="23">
        <f t="shared" si="7"/>
        <v>1.0000000000000064</v>
      </c>
    </row>
    <row r="237" spans="1:94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 t="str">
        <v>19.Change design</v>
      </c>
      <c r="AW237" s="25">
        <v>-0.5815240895027507</v>
      </c>
      <c r="AX237" s="26">
        <v>0.12387936875920999</v>
      </c>
      <c r="AY237" s="26">
        <v>0.29706663640159053</v>
      </c>
      <c r="AZ237" s="18">
        <v>0.18091931350653162</v>
      </c>
      <c r="BA237" s="18">
        <v>-0.22320768854403542</v>
      </c>
      <c r="BB237" s="18">
        <v>0.3380017377372907</v>
      </c>
      <c r="BC237" s="18">
        <v>-0.23359938616134487</v>
      </c>
      <c r="BD237" s="18">
        <v>0.18839679240982007</v>
      </c>
      <c r="BE237" s="18">
        <v>0.22827896108465978</v>
      </c>
      <c r="BF237" s="18">
        <v>-6.4962875061714512E-2</v>
      </c>
      <c r="BG237" s="18">
        <v>6.0305940115409511E-2</v>
      </c>
      <c r="BH237" s="18">
        <v>0.16457687087522158</v>
      </c>
      <c r="BI237" s="18">
        <v>-3.416144700181134E-2</v>
      </c>
      <c r="BJ237" s="18">
        <v>-9.0408698933931012E-2</v>
      </c>
      <c r="BK237" s="18">
        <v>-0.11634050559415544</v>
      </c>
      <c r="BL237" s="18">
        <v>-7.0654366957219345E-3</v>
      </c>
      <c r="BM237" s="18">
        <v>0.21833846941076421</v>
      </c>
      <c r="BN237" s="18">
        <v>-5.5647255148448149E-2</v>
      </c>
      <c r="BO237" s="18">
        <v>-0.11015587662253802</v>
      </c>
      <c r="BP237" s="18">
        <v>4.079517149663154E-2</v>
      </c>
      <c r="BQ237" s="18">
        <v>6.3818825110080968E-2</v>
      </c>
      <c r="BR237" s="18">
        <v>9.5971584367201282E-2</v>
      </c>
      <c r="BS237" s="18">
        <v>-4.7071649900422265E-2</v>
      </c>
      <c r="BT237" s="18">
        <v>-4.6414218051271737E-2</v>
      </c>
      <c r="BU237" s="18">
        <v>0.14749719094710251</v>
      </c>
      <c r="BV237" s="18">
        <v>-1.2990821708415897E-2</v>
      </c>
      <c r="BW237" s="18">
        <v>1.9281031122529997E-2</v>
      </c>
      <c r="BX237" s="18">
        <v>1.0372669860803608E-2</v>
      </c>
      <c r="BY237" s="18">
        <v>4.368406769409014E-2</v>
      </c>
      <c r="BZ237" s="18">
        <v>3.472326135349018E-3</v>
      </c>
      <c r="CA237" s="18">
        <v>0.10296397903586603</v>
      </c>
      <c r="CB237" s="18">
        <v>-7.8817162870058743E-2</v>
      </c>
      <c r="CC237" s="18">
        <v>-0.14472627322706269</v>
      </c>
      <c r="CD237" s="18">
        <v>4.1441852548184971E-2</v>
      </c>
      <c r="CE237" s="18">
        <v>6.9378309802908086E-2</v>
      </c>
      <c r="CF237" s="18">
        <v>-3.2207610891660264E-2</v>
      </c>
      <c r="CG237" s="18">
        <v>-1.1343605372416475E-3</v>
      </c>
      <c r="CH237" s="18">
        <v>-5.9733625863265888E-2</v>
      </c>
      <c r="CI237" s="18">
        <v>2.3264788034006167E-2</v>
      </c>
      <c r="CJ237" s="18">
        <v>-6.9599455567457124E-3</v>
      </c>
      <c r="CK237" s="18">
        <v>-1.1894823550749918E-2</v>
      </c>
      <c r="CL237" s="18">
        <v>-6.7256104863947022E-2</v>
      </c>
      <c r="CM237" s="18">
        <v>-2.6252909603243287E-2</v>
      </c>
      <c r="CN237" s="19">
        <v>3.1521873676355235E-3</v>
      </c>
      <c r="CP237" s="23">
        <f t="shared" si="7"/>
        <v>0.99999999999999678</v>
      </c>
    </row>
    <row r="238" spans="1:94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 t="str">
        <v>20.Errors and omission in design</v>
      </c>
      <c r="AW238" s="25">
        <v>-0.53827914783113917</v>
      </c>
      <c r="AX238" s="26">
        <v>0.33579546250241271</v>
      </c>
      <c r="AY238" s="26">
        <v>0.45262562450388633</v>
      </c>
      <c r="AZ238" s="18">
        <v>-7.2898082620718826E-2</v>
      </c>
      <c r="BA238" s="18">
        <v>-0.13989770000043389</v>
      </c>
      <c r="BB238" s="18">
        <v>0.14597454491034687</v>
      </c>
      <c r="BC238" s="18">
        <v>-0.1658502623020027</v>
      </c>
      <c r="BD238" s="18">
        <v>0.23872604141533674</v>
      </c>
      <c r="BE238" s="18">
        <v>0.1770364051993864</v>
      </c>
      <c r="BF238" s="18">
        <v>-0.11519929824794589</v>
      </c>
      <c r="BG238" s="18">
        <v>-6.1997365386218417E-2</v>
      </c>
      <c r="BH238" s="18">
        <v>0.11684807595285018</v>
      </c>
      <c r="BI238" s="18">
        <v>0.11266505067874776</v>
      </c>
      <c r="BJ238" s="18">
        <v>2.0523815323113166E-2</v>
      </c>
      <c r="BK238" s="18">
        <v>-2.5327508913283496E-2</v>
      </c>
      <c r="BL238" s="18">
        <v>7.5911667775399344E-2</v>
      </c>
      <c r="BM238" s="18">
        <v>8.6042844125223478E-2</v>
      </c>
      <c r="BN238" s="18">
        <v>-0.18918954594598533</v>
      </c>
      <c r="BO238" s="18">
        <v>-5.7721137361264954E-2</v>
      </c>
      <c r="BP238" s="18">
        <v>5.9681961218098468E-2</v>
      </c>
      <c r="BQ238" s="18">
        <v>0.10589313936246321</v>
      </c>
      <c r="BR238" s="18">
        <v>0.13036110786944324</v>
      </c>
      <c r="BS238" s="18">
        <v>2.8213165018338211E-2</v>
      </c>
      <c r="BT238" s="18">
        <v>0.15639221166221456</v>
      </c>
      <c r="BU238" s="18">
        <v>-0.13992050391097374</v>
      </c>
      <c r="BV238" s="18">
        <v>1.48469119886441E-2</v>
      </c>
      <c r="BW238" s="18">
        <v>2.3614135066831046E-2</v>
      </c>
      <c r="BX238" s="18">
        <v>9.5488229555881144E-5</v>
      </c>
      <c r="BY238" s="18">
        <v>-5.4592590179207104E-2</v>
      </c>
      <c r="BZ238" s="18">
        <v>-2.5272327298193605E-5</v>
      </c>
      <c r="CA238" s="18">
        <v>-6.0458401099342057E-2</v>
      </c>
      <c r="CB238" s="18">
        <v>0.108415149895596</v>
      </c>
      <c r="CC238" s="18">
        <v>8.1606327278792912E-2</v>
      </c>
      <c r="CD238" s="18">
        <v>9.8801361251726491E-2</v>
      </c>
      <c r="CE238" s="18">
        <v>-0.13475150159471608</v>
      </c>
      <c r="CF238" s="18">
        <v>1.9127338814237463E-3</v>
      </c>
      <c r="CG238" s="18">
        <v>1.1494989962190312E-2</v>
      </c>
      <c r="CH238" s="18">
        <v>1.2453028781515375E-2</v>
      </c>
      <c r="CI238" s="18">
        <v>1.6588582266290453E-2</v>
      </c>
      <c r="CJ238" s="18">
        <v>4.4553387034261703E-3</v>
      </c>
      <c r="CK238" s="18">
        <v>-1.8305656305254214E-2</v>
      </c>
      <c r="CL238" s="18">
        <v>3.5146831400807134E-2</v>
      </c>
      <c r="CM238" s="18">
        <v>-2.8095632498708216E-2</v>
      </c>
      <c r="CN238" s="19">
        <v>-2.2048360545417367E-2</v>
      </c>
      <c r="CP238" s="23">
        <f t="shared" si="7"/>
        <v>0.99999999999999645</v>
      </c>
    </row>
    <row r="239" spans="1:94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 t="str">
        <v>21.Incomplete design drawings and specifications at tendering stage</v>
      </c>
      <c r="AW239" s="25">
        <v>-0.50871239760795361</v>
      </c>
      <c r="AX239" s="26">
        <v>0.51975768065284778</v>
      </c>
      <c r="AY239" s="26">
        <v>0.20195952821614438</v>
      </c>
      <c r="AZ239" s="18">
        <v>0.1669019357467571</v>
      </c>
      <c r="BA239" s="18">
        <v>-0.18896445959816227</v>
      </c>
      <c r="BB239" s="18">
        <v>0.29036570184636012</v>
      </c>
      <c r="BC239" s="18">
        <v>-4.3450112720560513E-2</v>
      </c>
      <c r="BD239" s="18">
        <v>0.18198645863280197</v>
      </c>
      <c r="BE239" s="18">
        <v>4.1122171148229442E-2</v>
      </c>
      <c r="BF239" s="18">
        <v>4.6635427937753951E-2</v>
      </c>
      <c r="BG239" s="18">
        <v>-0.14762991802617495</v>
      </c>
      <c r="BH239" s="18">
        <v>-8.4825815811081118E-2</v>
      </c>
      <c r="BI239" s="18">
        <v>9.3716246235628478E-2</v>
      </c>
      <c r="BJ239" s="18">
        <v>-5.5313560575652246E-3</v>
      </c>
      <c r="BK239" s="18">
        <v>0.26355325626006709</v>
      </c>
      <c r="BL239" s="18">
        <v>-8.5567406231805546E-2</v>
      </c>
      <c r="BM239" s="18">
        <v>0.15474799807745224</v>
      </c>
      <c r="BN239" s="18">
        <v>-8.3445314538324752E-2</v>
      </c>
      <c r="BO239" s="18">
        <v>8.6007707303431043E-3</v>
      </c>
      <c r="BP239" s="18">
        <v>-7.1201964894272288E-2</v>
      </c>
      <c r="BQ239" s="18">
        <v>-5.7138852419286575E-2</v>
      </c>
      <c r="BR239" s="18">
        <v>3.347928802381528E-3</v>
      </c>
      <c r="BS239" s="18">
        <v>0.17062567783158802</v>
      </c>
      <c r="BT239" s="18">
        <v>-0.12446961802259598</v>
      </c>
      <c r="BU239" s="18">
        <v>-1.7213048682094274E-3</v>
      </c>
      <c r="BV239" s="18">
        <v>-4.8819313701707792E-2</v>
      </c>
      <c r="BW239" s="18">
        <v>5.8755141845515044E-2</v>
      </c>
      <c r="BX239" s="18">
        <v>-1.3338950438970985E-2</v>
      </c>
      <c r="BY239" s="18">
        <v>1.604009445466607E-2</v>
      </c>
      <c r="BZ239" s="18">
        <v>-8.1199619277604981E-2</v>
      </c>
      <c r="CA239" s="18">
        <v>-3.4524120975968922E-2</v>
      </c>
      <c r="CB239" s="18">
        <v>-2.3861421404601967E-2</v>
      </c>
      <c r="CC239" s="18">
        <v>2.9787611249950156E-2</v>
      </c>
      <c r="CD239" s="18">
        <v>-0.11619472479925742</v>
      </c>
      <c r="CE239" s="18">
        <v>1.7077108501936455E-2</v>
      </c>
      <c r="CF239" s="18">
        <v>-1.335046301274012E-2</v>
      </c>
      <c r="CG239" s="18">
        <v>1.900582503850835E-2</v>
      </c>
      <c r="CH239" s="18">
        <v>4.3254420034617463E-2</v>
      </c>
      <c r="CI239" s="18">
        <v>-4.1326437181318516E-2</v>
      </c>
      <c r="CJ239" s="18">
        <v>5.7950441513073443E-2</v>
      </c>
      <c r="CK239" s="18">
        <v>-2.3853495664543971E-2</v>
      </c>
      <c r="CL239" s="18">
        <v>2.1820726922396363E-2</v>
      </c>
      <c r="CM239" s="18">
        <v>8.1201485023583625E-2</v>
      </c>
      <c r="CN239" s="19">
        <v>2.4128340343433231E-2</v>
      </c>
      <c r="CP239" s="23">
        <f t="shared" si="7"/>
        <v>0.99999999999999745</v>
      </c>
    </row>
    <row r="240" spans="1:94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 t="str">
        <v>22.Delay in preparation and approval of drawing</v>
      </c>
      <c r="AW240" s="25">
        <v>-0.43509948159366552</v>
      </c>
      <c r="AX240" s="26">
        <v>0.51953566782564009</v>
      </c>
      <c r="AY240" s="26">
        <v>-3.7808890574312436E-2</v>
      </c>
      <c r="AZ240" s="18">
        <v>0.21839119043472824</v>
      </c>
      <c r="BA240" s="18">
        <v>-7.0678504233334258E-2</v>
      </c>
      <c r="BB240" s="18">
        <v>-0.17473001104625613</v>
      </c>
      <c r="BC240" s="18">
        <v>-0.14524172667383073</v>
      </c>
      <c r="BD240" s="18">
        <v>0.11244162730892646</v>
      </c>
      <c r="BE240" s="18">
        <v>-3.1399951310215536E-2</v>
      </c>
      <c r="BF240" s="18">
        <v>-8.2016087124786238E-2</v>
      </c>
      <c r="BG240" s="18">
        <v>-0.15727323888723932</v>
      </c>
      <c r="BH240" s="18">
        <v>-0.14996571149608465</v>
      </c>
      <c r="BI240" s="18">
        <v>-0.20258698769172265</v>
      </c>
      <c r="BJ240" s="18">
        <v>-0.26351162904332992</v>
      </c>
      <c r="BK240" s="18">
        <v>-0.24711996611100373</v>
      </c>
      <c r="BL240" s="18">
        <v>-0.14455164623603872</v>
      </c>
      <c r="BM240" s="18">
        <v>8.3173280525618898E-2</v>
      </c>
      <c r="BN240" s="18">
        <v>0.17963632233415097</v>
      </c>
      <c r="BO240" s="18">
        <v>-8.6340870617724105E-3</v>
      </c>
      <c r="BP240" s="18">
        <v>-0.12496936958313483</v>
      </c>
      <c r="BQ240" s="18">
        <v>6.8243395392825618E-2</v>
      </c>
      <c r="BR240" s="18">
        <v>-0.26217535110055423</v>
      </c>
      <c r="BS240" s="18">
        <v>5.5547848904417135E-2</v>
      </c>
      <c r="BT240" s="18">
        <v>-4.460961295216892E-2</v>
      </c>
      <c r="BU240" s="18">
        <v>-3.2571209343663578E-3</v>
      </c>
      <c r="BV240" s="18">
        <v>1.9836114572845481E-2</v>
      </c>
      <c r="BW240" s="18">
        <v>-3.3108476287405438E-2</v>
      </c>
      <c r="BX240" s="18">
        <v>-0.12368728575380757</v>
      </c>
      <c r="BY240" s="18">
        <v>-3.0755643897889697E-4</v>
      </c>
      <c r="BZ240" s="18">
        <v>-2.4434510324620538E-2</v>
      </c>
      <c r="CA240" s="18">
        <v>5.1049421596714627E-2</v>
      </c>
      <c r="CB240" s="18">
        <v>3.1856115719240609E-2</v>
      </c>
      <c r="CC240" s="18">
        <v>8.8279843366511637E-2</v>
      </c>
      <c r="CD240" s="18">
        <v>5.7259338083548765E-2</v>
      </c>
      <c r="CE240" s="18">
        <v>1.8306601316093653E-3</v>
      </c>
      <c r="CF240" s="18">
        <v>5.043367041230512E-2</v>
      </c>
      <c r="CG240" s="18">
        <v>4.4763087950879653E-2</v>
      </c>
      <c r="CH240" s="18">
        <v>4.2061257430833207E-2</v>
      </c>
      <c r="CI240" s="18">
        <v>3.4207043388617339E-2</v>
      </c>
      <c r="CJ240" s="18">
        <v>-6.0621220648675901E-3</v>
      </c>
      <c r="CK240" s="18">
        <v>-2.7319594846333856E-2</v>
      </c>
      <c r="CL240" s="18">
        <v>-2.6167319402287698E-2</v>
      </c>
      <c r="CM240" s="18">
        <v>-2.4626986839679444E-2</v>
      </c>
      <c r="CN240" s="19">
        <v>1.2462786098193361E-3</v>
      </c>
      <c r="CP240" s="23">
        <f t="shared" si="7"/>
        <v>1.0000000000000029</v>
      </c>
    </row>
    <row r="241" spans="1:94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 t="str">
        <v>23.Inaccurate quantity take-off</v>
      </c>
      <c r="AW241" s="25">
        <v>-0.38929391293835486</v>
      </c>
      <c r="AX241" s="26">
        <v>0.43568867601895317</v>
      </c>
      <c r="AY241" s="26">
        <v>0.54909683911816776</v>
      </c>
      <c r="AZ241" s="18">
        <v>-4.787170110016014E-3</v>
      </c>
      <c r="BA241" s="18">
        <v>5.7887154391730138E-2</v>
      </c>
      <c r="BB241" s="18">
        <v>-6.7673736820987082E-2</v>
      </c>
      <c r="BC241" s="18">
        <v>-4.2672507868318485E-2</v>
      </c>
      <c r="BD241" s="18">
        <v>3.0225608516896197E-2</v>
      </c>
      <c r="BE241" s="18">
        <v>-0.24239389221178745</v>
      </c>
      <c r="BF241" s="18">
        <v>5.8756825066636771E-2</v>
      </c>
      <c r="BG241" s="18">
        <v>-0.18993239161406775</v>
      </c>
      <c r="BH241" s="18">
        <v>2.2882360867375183E-2</v>
      </c>
      <c r="BI241" s="18">
        <v>-2.4486915363942777E-2</v>
      </c>
      <c r="BJ241" s="18">
        <v>5.211184304758984E-2</v>
      </c>
      <c r="BK241" s="18">
        <v>-0.10941278726266944</v>
      </c>
      <c r="BL241" s="18">
        <v>8.314653917225695E-2</v>
      </c>
      <c r="BM241" s="18">
        <v>-0.30300967881059099</v>
      </c>
      <c r="BN241" s="18">
        <v>8.8334234498928355E-2</v>
      </c>
      <c r="BO241" s="18">
        <v>-5.2019832590971069E-3</v>
      </c>
      <c r="BP241" s="18">
        <v>-5.2427254259514014E-2</v>
      </c>
      <c r="BQ241" s="18">
        <v>0.19686643636792783</v>
      </c>
      <c r="BR241" s="18">
        <v>-2.5006879582053866E-2</v>
      </c>
      <c r="BS241" s="18">
        <v>6.9276484419392131E-2</v>
      </c>
      <c r="BT241" s="18">
        <v>0.12688247096515384</v>
      </c>
      <c r="BU241" s="18">
        <v>1.225772913609866E-2</v>
      </c>
      <c r="BV241" s="18">
        <v>-8.4407482760906691E-2</v>
      </c>
      <c r="BW241" s="18">
        <v>3.4319174715854252E-2</v>
      </c>
      <c r="BX241" s="18">
        <v>4.1884783389788023E-2</v>
      </c>
      <c r="BY241" s="18">
        <v>0.15589286054372614</v>
      </c>
      <c r="BZ241" s="18">
        <v>-5.2106420544939108E-2</v>
      </c>
      <c r="CA241" s="18">
        <v>-4.8422606472338307E-2</v>
      </c>
      <c r="CB241" s="18">
        <v>-4.8463929367319108E-2</v>
      </c>
      <c r="CC241" s="18">
        <v>3.0010703596115549E-2</v>
      </c>
      <c r="CD241" s="18">
        <v>-2.4159075714113309E-2</v>
      </c>
      <c r="CE241" s="18">
        <v>4.6583271505026509E-2</v>
      </c>
      <c r="CF241" s="18">
        <v>-7.8253386326046767E-2</v>
      </c>
      <c r="CG241" s="18">
        <v>-4.7174554557499151E-2</v>
      </c>
      <c r="CH241" s="18">
        <v>-4.2163526198739587E-2</v>
      </c>
      <c r="CI241" s="18">
        <v>-6.0636671668854267E-2</v>
      </c>
      <c r="CJ241" s="18">
        <v>-4.6181668314799799E-2</v>
      </c>
      <c r="CK241" s="18">
        <v>2.8350018952469292E-2</v>
      </c>
      <c r="CL241" s="18">
        <v>-1.3114164199439782E-2</v>
      </c>
      <c r="CM241" s="18">
        <v>-8.6862362374695093E-3</v>
      </c>
      <c r="CN241" s="19">
        <v>1.384733946908444E-2</v>
      </c>
      <c r="CP241" s="23">
        <f t="shared" si="7"/>
        <v>0.99999999999999356</v>
      </c>
    </row>
    <row r="242" spans="1:94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 t="str">
        <v>24.Long period from planning of project to construction</v>
      </c>
      <c r="AW242" s="25">
        <v>-0.1777296669691823</v>
      </c>
      <c r="AX242" s="26">
        <v>0.29693027956260171</v>
      </c>
      <c r="AY242" s="26">
        <v>0.23651967465278737</v>
      </c>
      <c r="AZ242" s="18">
        <v>-0.1075039650937285</v>
      </c>
      <c r="BA242" s="18">
        <v>0.21412707922557095</v>
      </c>
      <c r="BB242" s="18">
        <v>0.23204472852677885</v>
      </c>
      <c r="BC242" s="18">
        <v>-0.34671869470405292</v>
      </c>
      <c r="BD242" s="18">
        <v>-0.19842004350828546</v>
      </c>
      <c r="BE242" s="18">
        <v>-0.3267300985710675</v>
      </c>
      <c r="BF242" s="18">
        <v>0.18885955870206494</v>
      </c>
      <c r="BG242" s="18">
        <v>0.28827382284412434</v>
      </c>
      <c r="BH242" s="18">
        <v>-4.3120616898188226E-2</v>
      </c>
      <c r="BI242" s="18">
        <v>0.23935056585482153</v>
      </c>
      <c r="BJ242" s="18">
        <v>0.17118664021224411</v>
      </c>
      <c r="BK242" s="18">
        <v>-0.35405282367974372</v>
      </c>
      <c r="BL242" s="18">
        <v>-5.7936257672189483E-2</v>
      </c>
      <c r="BM242" s="18">
        <v>1.3259209796131521E-2</v>
      </c>
      <c r="BN242" s="18">
        <v>-0.19109997870884896</v>
      </c>
      <c r="BO242" s="18">
        <v>0.12122750754431101</v>
      </c>
      <c r="BP242" s="18">
        <v>-6.5831965521581742E-2</v>
      </c>
      <c r="BQ242" s="18">
        <v>-0.1283589605945599</v>
      </c>
      <c r="BR242" s="18">
        <v>-1.8136948700427438E-2</v>
      </c>
      <c r="BS242" s="18">
        <v>-1.8030382314389453E-2</v>
      </c>
      <c r="BT242" s="18">
        <v>2.0496246594060616E-2</v>
      </c>
      <c r="BU242" s="18">
        <v>5.8240828331735956E-3</v>
      </c>
      <c r="BV242" s="18">
        <v>0.12747608756884116</v>
      </c>
      <c r="BW242" s="18">
        <v>-1.6342909505892133E-2</v>
      </c>
      <c r="BX242" s="18">
        <v>-4.2408289623202436E-2</v>
      </c>
      <c r="BY242" s="18">
        <v>-1.9558700941891251E-2</v>
      </c>
      <c r="BZ242" s="18">
        <v>-1.33526915281131E-2</v>
      </c>
      <c r="CA242" s="18">
        <v>6.1333886502276478E-3</v>
      </c>
      <c r="CB242" s="18">
        <v>-9.874844887600126E-2</v>
      </c>
      <c r="CC242" s="18">
        <v>2.8241346235640275E-2</v>
      </c>
      <c r="CD242" s="18">
        <v>-5.4139132723317961E-2</v>
      </c>
      <c r="CE242" s="18">
        <v>-2.7962844974180372E-2</v>
      </c>
      <c r="CF242" s="18">
        <v>4.6283538591564012E-2</v>
      </c>
      <c r="CG242" s="18">
        <v>4.1331484888666621E-2</v>
      </c>
      <c r="CH242" s="18">
        <v>-1.3562376911484795E-3</v>
      </c>
      <c r="CI242" s="18">
        <v>2.7998427455318774E-3</v>
      </c>
      <c r="CJ242" s="18">
        <v>8.4359310638608114E-3</v>
      </c>
      <c r="CK242" s="18">
        <v>1.6197572365915045E-2</v>
      </c>
      <c r="CL242" s="18">
        <v>-7.6357949562623154E-3</v>
      </c>
      <c r="CM242" s="18">
        <v>-5.2796324386378346E-3</v>
      </c>
      <c r="CN242" s="19">
        <v>4.0364371443844171E-3</v>
      </c>
      <c r="CP242" s="23">
        <f t="shared" si="7"/>
        <v>0.99999999999999889</v>
      </c>
    </row>
    <row r="243" spans="1:94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 t="str">
        <v>25.Delays in issuing information to the contractor during construction stage</v>
      </c>
      <c r="AW243" s="25">
        <v>-0.62998066192640989</v>
      </c>
      <c r="AX243" s="26">
        <v>0.24758868493225947</v>
      </c>
      <c r="AY243" s="26">
        <v>0.16265453363457311</v>
      </c>
      <c r="AZ243" s="18">
        <v>-0.21700551246660107</v>
      </c>
      <c r="BA243" s="18">
        <v>0.21502906600749902</v>
      </c>
      <c r="BB243" s="18">
        <v>-1.1396156804424358E-3</v>
      </c>
      <c r="BC243" s="18">
        <v>-0.28304699558105251</v>
      </c>
      <c r="BD243" s="18">
        <v>0.16739532388975614</v>
      </c>
      <c r="BE243" s="18">
        <v>8.4098048455422209E-2</v>
      </c>
      <c r="BF243" s="18">
        <v>-0.14325132675073679</v>
      </c>
      <c r="BG243" s="18">
        <v>0.12476771341575429</v>
      </c>
      <c r="BH243" s="18">
        <v>-7.0634564080070406E-2</v>
      </c>
      <c r="BI243" s="18">
        <v>-9.2099305271206772E-2</v>
      </c>
      <c r="BJ243" s="18">
        <v>9.4000968115162203E-2</v>
      </c>
      <c r="BK243" s="18">
        <v>-6.165268351997244E-2</v>
      </c>
      <c r="BL243" s="18">
        <v>-0.24858841473995993</v>
      </c>
      <c r="BM243" s="18">
        <v>-0.22403480149090282</v>
      </c>
      <c r="BN243" s="18">
        <v>9.3868639612832039E-2</v>
      </c>
      <c r="BO243" s="18">
        <v>9.9835723793580619E-2</v>
      </c>
      <c r="BP243" s="18">
        <v>7.7432136497622608E-2</v>
      </c>
      <c r="BQ243" s="18">
        <v>-8.2466280943500989E-2</v>
      </c>
      <c r="BR243" s="18">
        <v>2.4033963547001828E-3</v>
      </c>
      <c r="BS243" s="18">
        <v>-7.6630721727929008E-2</v>
      </c>
      <c r="BT243" s="18">
        <v>-3.751335491266581E-2</v>
      </c>
      <c r="BU243" s="18">
        <v>-9.5373666535002663E-2</v>
      </c>
      <c r="BV243" s="18">
        <v>-4.0778886898257309E-2</v>
      </c>
      <c r="BW243" s="18">
        <v>0.14891410074894995</v>
      </c>
      <c r="BX243" s="18">
        <v>-7.2416325260874242E-2</v>
      </c>
      <c r="BY243" s="18">
        <v>-1.6212037819476013E-2</v>
      </c>
      <c r="BZ243" s="18">
        <v>0.10892125326786112</v>
      </c>
      <c r="CA243" s="18">
        <v>1.0969669591117241E-3</v>
      </c>
      <c r="CB243" s="18">
        <v>0.13593356226755188</v>
      </c>
      <c r="CC243" s="18">
        <v>-0.1325243140636094</v>
      </c>
      <c r="CD243" s="18">
        <v>-9.1743710562425355E-3</v>
      </c>
      <c r="CE243" s="18">
        <v>5.7618984726507755E-2</v>
      </c>
      <c r="CF243" s="18">
        <v>-2.3436659602946368E-2</v>
      </c>
      <c r="CG243" s="18">
        <v>-1.7452571419471173E-2</v>
      </c>
      <c r="CH243" s="18">
        <v>3.5811674464324823E-2</v>
      </c>
      <c r="CI243" s="18">
        <v>4.8919151588669363E-3</v>
      </c>
      <c r="CJ243" s="18">
        <v>1.8778332805770383E-2</v>
      </c>
      <c r="CK243" s="18">
        <v>1.8812624540036092E-2</v>
      </c>
      <c r="CL243" s="18">
        <v>1.7156354517494869E-2</v>
      </c>
      <c r="CM243" s="18">
        <v>2.8356946022904821E-2</v>
      </c>
      <c r="CN243" s="19">
        <v>-8.1900586979206345E-3</v>
      </c>
      <c r="CP243" s="23">
        <f t="shared" si="7"/>
        <v>0.999999999999997</v>
      </c>
    </row>
    <row r="244" spans="1:94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 t="str">
        <v>26.No practical use of earned value management system</v>
      </c>
      <c r="AW244" s="25">
        <v>-0.60582737857038571</v>
      </c>
      <c r="AX244" s="26">
        <v>0.31082032875400667</v>
      </c>
      <c r="AY244" s="26">
        <v>0.11828043284357853</v>
      </c>
      <c r="AZ244" s="18">
        <v>0.22580609912060393</v>
      </c>
      <c r="BA244" s="18">
        <v>0.10471744954870563</v>
      </c>
      <c r="BB244" s="18">
        <v>-0.2735668991084188</v>
      </c>
      <c r="BC244" s="18">
        <v>8.6199059184322843E-2</v>
      </c>
      <c r="BD244" s="18">
        <v>1.0377819806377246E-4</v>
      </c>
      <c r="BE244" s="18">
        <v>-0.30698509454455908</v>
      </c>
      <c r="BF244" s="18">
        <v>-0.13547888172981418</v>
      </c>
      <c r="BG244" s="18">
        <v>3.0641665942702342E-2</v>
      </c>
      <c r="BH244" s="18">
        <v>0.1418436652842858</v>
      </c>
      <c r="BI244" s="18">
        <v>-5.2602522966631621E-2</v>
      </c>
      <c r="BJ244" s="18">
        <v>-9.2529103082105754E-2</v>
      </c>
      <c r="BK244" s="18">
        <v>0.14151120835029607</v>
      </c>
      <c r="BL244" s="18">
        <v>-0.22200419558050483</v>
      </c>
      <c r="BM244" s="18">
        <v>9.6670538968313652E-2</v>
      </c>
      <c r="BN244" s="18">
        <v>-0.13007567929228769</v>
      </c>
      <c r="BO244" s="18">
        <v>1.3200935421876867E-2</v>
      </c>
      <c r="BP244" s="18">
        <v>-0.19210386482945185</v>
      </c>
      <c r="BQ244" s="18">
        <v>9.1952065631581061E-3</v>
      </c>
      <c r="BR244" s="18">
        <v>5.2920581544434624E-2</v>
      </c>
      <c r="BS244" s="18">
        <v>-0.15457951549130197</v>
      </c>
      <c r="BT244" s="18">
        <v>-4.4164285121805848E-2</v>
      </c>
      <c r="BU244" s="18">
        <v>-1.7166869954935368E-3</v>
      </c>
      <c r="BV244" s="18">
        <v>-1.1780344366334237E-2</v>
      </c>
      <c r="BW244" s="18">
        <v>-8.3307065380338816E-2</v>
      </c>
      <c r="BX244" s="18">
        <v>0.12908963830129636</v>
      </c>
      <c r="BY244" s="18">
        <v>8.6427925676278494E-2</v>
      </c>
      <c r="BZ244" s="18">
        <v>0.11965518962649545</v>
      </c>
      <c r="CA244" s="18">
        <v>-0.11273605712887347</v>
      </c>
      <c r="CB244" s="18">
        <v>1.9952539008138776E-2</v>
      </c>
      <c r="CC244" s="18">
        <v>5.5563834405340405E-3</v>
      </c>
      <c r="CD244" s="18">
        <v>-1.0074232303229656E-2</v>
      </c>
      <c r="CE244" s="18">
        <v>-6.8745959789635368E-3</v>
      </c>
      <c r="CF244" s="18">
        <v>7.2502249063008534E-2</v>
      </c>
      <c r="CG244" s="18">
        <v>-2.6514600452498389E-2</v>
      </c>
      <c r="CH244" s="18">
        <v>-6.0763358293528122E-2</v>
      </c>
      <c r="CI244" s="18">
        <v>1.983679018019209E-2</v>
      </c>
      <c r="CJ244" s="18">
        <v>2.0795503007493912E-2</v>
      </c>
      <c r="CK244" s="18">
        <v>-2.1236053266614246E-2</v>
      </c>
      <c r="CL244" s="18">
        <v>-2.8627270381765019E-2</v>
      </c>
      <c r="CM244" s="18">
        <v>1.7559843833475253E-2</v>
      </c>
      <c r="CN244" s="19">
        <v>-3.0120307359238947E-2</v>
      </c>
      <c r="CP244" s="23">
        <f t="shared" si="7"/>
        <v>0.99999999999999312</v>
      </c>
    </row>
    <row r="245" spans="1:94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 t="str">
        <v>27.Lack of cost planning/monitoring during pre and post contract stage</v>
      </c>
      <c r="AW245" s="25">
        <v>-0.74268135733023277</v>
      </c>
      <c r="AX245" s="26">
        <v>0.2019972115076428</v>
      </c>
      <c r="AY245" s="26">
        <v>7.0006301691819636E-2</v>
      </c>
      <c r="AZ245" s="18">
        <v>-4.3187956919903313E-2</v>
      </c>
      <c r="BA245" s="18">
        <v>0.26670256758265831</v>
      </c>
      <c r="BB245" s="18">
        <v>4.575396049991861E-2</v>
      </c>
      <c r="BC245" s="18">
        <v>-4.5918172544000616E-2</v>
      </c>
      <c r="BD245" s="18">
        <v>-3.5800120646710371E-2</v>
      </c>
      <c r="BE245" s="18">
        <v>-0.10754314081482845</v>
      </c>
      <c r="BF245" s="18">
        <v>-0.23608284249114314</v>
      </c>
      <c r="BG245" s="18">
        <v>-0.14516288556496396</v>
      </c>
      <c r="BH245" s="18">
        <v>-0.16121364525770759</v>
      </c>
      <c r="BI245" s="18">
        <v>4.946660479573433E-2</v>
      </c>
      <c r="BJ245" s="18">
        <v>9.8681554842433905E-2</v>
      </c>
      <c r="BK245" s="18">
        <v>0.17467353050646775</v>
      </c>
      <c r="BL245" s="18">
        <v>1.1076012214299595E-2</v>
      </c>
      <c r="BM245" s="18">
        <v>4.315479136972003E-2</v>
      </c>
      <c r="BN245" s="18">
        <v>9.414748457723543E-2</v>
      </c>
      <c r="BO245" s="18">
        <v>1.9996962104059119E-2</v>
      </c>
      <c r="BP245" s="18">
        <v>-6.3430226228706685E-2</v>
      </c>
      <c r="BQ245" s="18">
        <v>4.666197358940212E-2</v>
      </c>
      <c r="BR245" s="18">
        <v>2.5984590587058765E-2</v>
      </c>
      <c r="BS245" s="18">
        <v>-0.18556696711739237</v>
      </c>
      <c r="BT245" s="18">
        <v>-0.15541011436722243</v>
      </c>
      <c r="BU245" s="18">
        <v>-3.9357037479670696E-2</v>
      </c>
      <c r="BV245" s="18">
        <v>3.3834821704174074E-2</v>
      </c>
      <c r="BW245" s="18">
        <v>0.10339113476125281</v>
      </c>
      <c r="BX245" s="18">
        <v>0.15110963966869803</v>
      </c>
      <c r="BY245" s="18">
        <v>-0.11220208013375174</v>
      </c>
      <c r="BZ245" s="18">
        <v>-4.3543474816987296E-2</v>
      </c>
      <c r="CA245" s="18">
        <v>0.13155522788709514</v>
      </c>
      <c r="CB245" s="18">
        <v>-9.3427102168045992E-2</v>
      </c>
      <c r="CC245" s="18">
        <v>4.6773366587242897E-2</v>
      </c>
      <c r="CD245" s="18">
        <v>3.6001833289522452E-2</v>
      </c>
      <c r="CE245" s="18">
        <v>-3.142422231081167E-2</v>
      </c>
      <c r="CF245" s="18">
        <v>-1.1273794159009767E-2</v>
      </c>
      <c r="CG245" s="18">
        <v>-2.7868729027524082E-2</v>
      </c>
      <c r="CH245" s="18">
        <v>3.5261225070377961E-2</v>
      </c>
      <c r="CI245" s="18">
        <v>-2.2495381651714011E-2</v>
      </c>
      <c r="CJ245" s="18">
        <v>-5.3171582828645925E-2</v>
      </c>
      <c r="CK245" s="18">
        <v>1.0833012491720541E-2</v>
      </c>
      <c r="CL245" s="18">
        <v>3.9545752512579212E-2</v>
      </c>
      <c r="CM245" s="18">
        <v>-4.1511057000265777E-2</v>
      </c>
      <c r="CN245" s="19">
        <v>1.9405950806378223E-2</v>
      </c>
      <c r="CP245" s="23">
        <f t="shared" si="7"/>
        <v>1.0000000000000018</v>
      </c>
    </row>
    <row r="246" spans="1:94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 t="str">
        <v>28.Poor communication between client, consultant and contractor</v>
      </c>
      <c r="AW246" s="25">
        <v>-0.69065373856233603</v>
      </c>
      <c r="AX246" s="26">
        <v>0.11403783623268857</v>
      </c>
      <c r="AY246" s="26">
        <v>-0.22932680315583781</v>
      </c>
      <c r="AZ246" s="18">
        <v>-6.6526223500298709E-3</v>
      </c>
      <c r="BA246" s="18">
        <v>0.2633047216182951</v>
      </c>
      <c r="BB246" s="18">
        <v>-0.19631034663834135</v>
      </c>
      <c r="BC246" s="18">
        <v>0.12580788919039987</v>
      </c>
      <c r="BD246" s="18">
        <v>0.17549645412930637</v>
      </c>
      <c r="BE246" s="18">
        <v>-9.6270688397307846E-2</v>
      </c>
      <c r="BF246" s="18">
        <v>2.9659069450258717E-3</v>
      </c>
      <c r="BG246" s="18">
        <v>-0.20621741208977692</v>
      </c>
      <c r="BH246" s="18">
        <v>-6.1339388165227498E-3</v>
      </c>
      <c r="BI246" s="18">
        <v>0.1761558645855327</v>
      </c>
      <c r="BJ246" s="18">
        <v>-6.6942556892396129E-2</v>
      </c>
      <c r="BK246" s="18">
        <v>0.17363506578177146</v>
      </c>
      <c r="BL246" s="18">
        <v>0.21252025304822558</v>
      </c>
      <c r="BM246" s="18">
        <v>3.9750356599537316E-2</v>
      </c>
      <c r="BN246" s="18">
        <v>-0.18403738803851558</v>
      </c>
      <c r="BO246" s="18">
        <v>9.7086632423478078E-2</v>
      </c>
      <c r="BP246" s="18">
        <v>2.038411703685632E-2</v>
      </c>
      <c r="BQ246" s="18">
        <v>-3.9745685057415103E-2</v>
      </c>
      <c r="BR246" s="18">
        <v>-2.5353256538555212E-2</v>
      </c>
      <c r="BS246" s="18">
        <v>1.1838138606653717E-2</v>
      </c>
      <c r="BT246" s="18">
        <v>-2.6589471513851898E-2</v>
      </c>
      <c r="BU246" s="18">
        <v>-1.499954247842372E-2</v>
      </c>
      <c r="BV246" s="18">
        <v>6.8830269526726578E-2</v>
      </c>
      <c r="BW246" s="18">
        <v>-3.2637948835321758E-3</v>
      </c>
      <c r="BX246" s="18">
        <v>-0.15904563184539813</v>
      </c>
      <c r="BY246" s="18">
        <v>0.11027996741358283</v>
      </c>
      <c r="BZ246" s="18">
        <v>6.9652713703086247E-2</v>
      </c>
      <c r="CA246" s="18">
        <v>0.12981413761880731</v>
      </c>
      <c r="CB246" s="18">
        <v>6.1513829754252819E-2</v>
      </c>
      <c r="CC246" s="18">
        <v>-4.5796210692519594E-2</v>
      </c>
      <c r="CD246" s="18">
        <v>-2.7991319521370579E-2</v>
      </c>
      <c r="CE246" s="18">
        <v>-6.6094233344019232E-2</v>
      </c>
      <c r="CF246" s="18">
        <v>-2.4786345207457192E-2</v>
      </c>
      <c r="CG246" s="18">
        <v>7.1772040731818185E-2</v>
      </c>
      <c r="CH246" s="18">
        <v>-4.6337460561281039E-2</v>
      </c>
      <c r="CI246" s="18">
        <v>-4.2579207970640097E-2</v>
      </c>
      <c r="CJ246" s="18">
        <v>-6.1012947558131844E-2</v>
      </c>
      <c r="CK246" s="18">
        <v>4.4778817867414375E-2</v>
      </c>
      <c r="CL246" s="18">
        <v>-3.4717734666900653E-2</v>
      </c>
      <c r="CM246" s="18">
        <v>1.5246697821971716E-3</v>
      </c>
      <c r="CN246" s="19">
        <v>-2.9886150445840869E-3</v>
      </c>
      <c r="CP246" s="23">
        <f t="shared" si="7"/>
        <v>1.000000000000002</v>
      </c>
    </row>
    <row r="247" spans="1:94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 t="str">
        <v>29.Insufficient coordination between local authority who is responsible about road projects and service authorities</v>
      </c>
      <c r="AW247" s="25">
        <v>-0.4796107595698198</v>
      </c>
      <c r="AX247" s="26">
        <v>0.10612194014999873</v>
      </c>
      <c r="AY247" s="26">
        <v>-0.3286754244076327</v>
      </c>
      <c r="AZ247" s="18">
        <v>3.4405971048148232E-4</v>
      </c>
      <c r="BA247" s="18">
        <v>0.55612613694056823</v>
      </c>
      <c r="BB247" s="18">
        <v>-7.5297693173234648E-2</v>
      </c>
      <c r="BC247" s="18">
        <v>-0.19161834281736612</v>
      </c>
      <c r="BD247" s="18">
        <v>0.19064671987638271</v>
      </c>
      <c r="BE247" s="18">
        <v>-2.276336728929762E-2</v>
      </c>
      <c r="BF247" s="18">
        <v>1.9638315810729334E-2</v>
      </c>
      <c r="BG247" s="18">
        <v>-0.18508360692048767</v>
      </c>
      <c r="BH247" s="18">
        <v>-5.3829939879933932E-2</v>
      </c>
      <c r="BI247" s="18">
        <v>0.19785604581737751</v>
      </c>
      <c r="BJ247" s="18">
        <v>-6.7307267972215687E-2</v>
      </c>
      <c r="BK247" s="18">
        <v>-3.3546470600359098E-2</v>
      </c>
      <c r="BL247" s="18">
        <v>0.12076176743201708</v>
      </c>
      <c r="BM247" s="18">
        <v>-3.3570891487400431E-2</v>
      </c>
      <c r="BN247" s="18">
        <v>6.2486009747817532E-2</v>
      </c>
      <c r="BO247" s="18">
        <v>-6.5755057814359322E-2</v>
      </c>
      <c r="BP247" s="18">
        <v>0.17740496332524025</v>
      </c>
      <c r="BQ247" s="18">
        <v>-0.23149009563905348</v>
      </c>
      <c r="BR247" s="18">
        <v>3.3511534928373131E-2</v>
      </c>
      <c r="BS247" s="18">
        <v>6.698525045748592E-2</v>
      </c>
      <c r="BT247" s="18">
        <v>6.4458145828294428E-2</v>
      </c>
      <c r="BU247" s="18">
        <v>8.7833789188000347E-2</v>
      </c>
      <c r="BV247" s="18">
        <v>-0.16578402523777183</v>
      </c>
      <c r="BW247" s="18">
        <v>2.2872553721738319E-2</v>
      </c>
      <c r="BX247" s="18">
        <v>2.0410408765867707E-2</v>
      </c>
      <c r="BY247" s="18">
        <v>3.8888844530268349E-2</v>
      </c>
      <c r="BZ247" s="18">
        <v>1.5428300041868771E-2</v>
      </c>
      <c r="CA247" s="18">
        <v>-1.1885732614677865E-2</v>
      </c>
      <c r="CB247" s="18">
        <v>-6.5020598129890236E-2</v>
      </c>
      <c r="CC247" s="18">
        <v>2.8106947203286957E-2</v>
      </c>
      <c r="CD247" s="18">
        <v>2.8461382806591069E-2</v>
      </c>
      <c r="CE247" s="18">
        <v>1.9242740710329937E-4</v>
      </c>
      <c r="CF247" s="18">
        <v>5.6540044551044347E-2</v>
      </c>
      <c r="CG247" s="18">
        <v>-5.6334809380975265E-2</v>
      </c>
      <c r="CH247" s="18">
        <v>-1.3382749754693253E-2</v>
      </c>
      <c r="CI247" s="18">
        <v>2.0595948434749423E-2</v>
      </c>
      <c r="CJ247" s="18">
        <v>4.8558076402108324E-2</v>
      </c>
      <c r="CK247" s="18">
        <v>-8.6052338443940682E-2</v>
      </c>
      <c r="CL247" s="18">
        <v>4.189033343457188E-3</v>
      </c>
      <c r="CM247" s="18">
        <v>-2.0393565493594067E-2</v>
      </c>
      <c r="CN247" s="19">
        <v>-4.7035090425257978E-3</v>
      </c>
      <c r="CP247" s="23">
        <f t="shared" si="7"/>
        <v>1</v>
      </c>
    </row>
    <row r="248" spans="1:94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 t="str">
        <v>30.Delays in decisions making by the approval authorities</v>
      </c>
      <c r="AW248" s="25">
        <v>-0.34176600368600779</v>
      </c>
      <c r="AX248" s="26">
        <v>0.33697131471414632</v>
      </c>
      <c r="AY248" s="26">
        <v>-0.35392788984248197</v>
      </c>
      <c r="AZ248" s="18">
        <v>-0.1502845327349587</v>
      </c>
      <c r="BA248" s="18">
        <v>0.33523115125023101</v>
      </c>
      <c r="BB248" s="18">
        <v>2.2491902611406669E-2</v>
      </c>
      <c r="BC248" s="18">
        <v>-0.32428821292216231</v>
      </c>
      <c r="BD248" s="18">
        <v>-6.2247532394679402E-2</v>
      </c>
      <c r="BE248" s="18">
        <v>4.7785135969629272E-2</v>
      </c>
      <c r="BF248" s="18">
        <v>0.11537196481739927</v>
      </c>
      <c r="BG248" s="18">
        <v>0.24899568317398255</v>
      </c>
      <c r="BH248" s="18">
        <v>-0.17285912550982727</v>
      </c>
      <c r="BI248" s="18">
        <v>-0.18506661182046377</v>
      </c>
      <c r="BJ248" s="18">
        <v>-0.16697630740843553</v>
      </c>
      <c r="BK248" s="18">
        <v>0.15725062076904459</v>
      </c>
      <c r="BL248" s="18">
        <v>7.7306731450323352E-2</v>
      </c>
      <c r="BM248" s="18">
        <v>-3.7422799297957832E-2</v>
      </c>
      <c r="BN248" s="18">
        <v>-0.17270966681345212</v>
      </c>
      <c r="BO248" s="18">
        <v>-0.25713407775687941</v>
      </c>
      <c r="BP248" s="18">
        <v>4.4569746065053407E-2</v>
      </c>
      <c r="BQ248" s="18">
        <v>0.23171437820431115</v>
      </c>
      <c r="BR248" s="18">
        <v>-5.204624909019296E-2</v>
      </c>
      <c r="BS248" s="18">
        <v>2.7966789347219231E-2</v>
      </c>
      <c r="BT248" s="18">
        <v>1.3798918767509423E-2</v>
      </c>
      <c r="BU248" s="18">
        <v>8.7326925109177458E-2</v>
      </c>
      <c r="BV248" s="18">
        <v>-4.1572342135008426E-2</v>
      </c>
      <c r="BW248" s="18">
        <v>-9.0163229147216292E-2</v>
      </c>
      <c r="BX248" s="18">
        <v>1.1965577936135081E-2</v>
      </c>
      <c r="BY248" s="18">
        <v>-0.10444544289372648</v>
      </c>
      <c r="BZ248" s="18">
        <v>5.4431606878120251E-2</v>
      </c>
      <c r="CA248" s="18">
        <v>-2.4144029524040826E-2</v>
      </c>
      <c r="CB248" s="18">
        <v>-3.9936855905818346E-3</v>
      </c>
      <c r="CC248" s="18">
        <v>1.1488293528966229E-2</v>
      </c>
      <c r="CD248" s="18">
        <v>-5.1677319325450291E-2</v>
      </c>
      <c r="CE248" s="18">
        <v>-5.1196700057218238E-3</v>
      </c>
      <c r="CF248" s="18">
        <v>-1.9897177978951346E-2</v>
      </c>
      <c r="CG248" s="18">
        <v>-1.3136860224254303E-2</v>
      </c>
      <c r="CH248" s="18">
        <v>2.2739178885726352E-2</v>
      </c>
      <c r="CI248" s="18">
        <v>-1.6353480325777017E-2</v>
      </c>
      <c r="CJ248" s="18">
        <v>3.3090878631527355E-2</v>
      </c>
      <c r="CK248" s="18">
        <v>7.3666955637609263E-2</v>
      </c>
      <c r="CL248" s="18">
        <v>-2.054935231942404E-3</v>
      </c>
      <c r="CM248" s="18">
        <v>-3.7207596327333168E-3</v>
      </c>
      <c r="CN248" s="19">
        <v>-6.2511848441090759E-3</v>
      </c>
      <c r="CP248" s="23">
        <f t="shared" si="7"/>
        <v>1.0000000000000042</v>
      </c>
    </row>
    <row r="249" spans="1:94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 t="str">
        <v>31.Change schedule</v>
      </c>
      <c r="AW249" s="25">
        <v>-0.44573521069870548</v>
      </c>
      <c r="AX249" s="26">
        <v>0.42083252907246599</v>
      </c>
      <c r="AY249" s="26">
        <v>-4.8069687688202314E-2</v>
      </c>
      <c r="AZ249" s="18">
        <v>7.2860910872130979E-2</v>
      </c>
      <c r="BA249" s="18">
        <v>-0.13105345573759999</v>
      </c>
      <c r="BB249" s="18">
        <v>-0.43522826208381193</v>
      </c>
      <c r="BC249" s="18">
        <v>8.5464077619599559E-3</v>
      </c>
      <c r="BD249" s="18">
        <v>-4.5145200032328185E-2</v>
      </c>
      <c r="BE249" s="18">
        <v>-4.8429748940067553E-2</v>
      </c>
      <c r="BF249" s="18">
        <v>-6.2532320394742477E-2</v>
      </c>
      <c r="BG249" s="18">
        <v>0.23365826252052424</v>
      </c>
      <c r="BH249" s="18">
        <v>0.16829475281616157</v>
      </c>
      <c r="BI249" s="18">
        <v>-0.15015473865519802</v>
      </c>
      <c r="BJ249" s="18">
        <v>0.33074257108179972</v>
      </c>
      <c r="BK249" s="18">
        <v>0.14643877066927322</v>
      </c>
      <c r="BL249" s="18">
        <v>4.5868767940946846E-2</v>
      </c>
      <c r="BM249" s="18">
        <v>-1.0180548605203385E-2</v>
      </c>
      <c r="BN249" s="18">
        <v>-8.7098392986931589E-2</v>
      </c>
      <c r="BO249" s="18">
        <v>0.21737157996713824</v>
      </c>
      <c r="BP249" s="18">
        <v>0.19578498759459179</v>
      </c>
      <c r="BQ249" s="18">
        <v>0.10251150031714032</v>
      </c>
      <c r="BR249" s="18">
        <v>-4.220574244017021E-2</v>
      </c>
      <c r="BS249" s="18">
        <v>-4.8811061030500306E-2</v>
      </c>
      <c r="BT249" s="18">
        <v>-1.8569632942122164E-2</v>
      </c>
      <c r="BU249" s="18">
        <v>0.14069337882505872</v>
      </c>
      <c r="BV249" s="18">
        <v>-5.8100076340541401E-2</v>
      </c>
      <c r="BW249" s="18">
        <v>-6.8632948054224022E-3</v>
      </c>
      <c r="BX249" s="18">
        <v>-6.4226072540198562E-2</v>
      </c>
      <c r="BY249" s="18">
        <v>7.9067751208448805E-3</v>
      </c>
      <c r="BZ249" s="18">
        <v>-0.12669343643983233</v>
      </c>
      <c r="CA249" s="18">
        <v>1.0331177069796393E-2</v>
      </c>
      <c r="CB249" s="18">
        <v>5.1758559172213588E-3</v>
      </c>
      <c r="CC249" s="18">
        <v>5.7560941246147367E-3</v>
      </c>
      <c r="CD249" s="18">
        <v>-1.1391192016799726E-2</v>
      </c>
      <c r="CE249" s="18">
        <v>-2.8435266316505153E-2</v>
      </c>
      <c r="CF249" s="18">
        <v>-1.1471439561996123E-2</v>
      </c>
      <c r="CG249" s="18">
        <v>4.7585250515639957E-3</v>
      </c>
      <c r="CH249" s="18">
        <v>9.4028217190656547E-3</v>
      </c>
      <c r="CI249" s="18">
        <v>8.691566529388739E-2</v>
      </c>
      <c r="CJ249" s="18">
        <v>3.2528168219070605E-2</v>
      </c>
      <c r="CK249" s="18">
        <v>-2.6217966830276447E-2</v>
      </c>
      <c r="CL249" s="18">
        <v>4.9576637671566648E-3</v>
      </c>
      <c r="CM249" s="18">
        <v>-1.3202800127690095E-2</v>
      </c>
      <c r="CN249" s="19">
        <v>2.5276570426287195E-2</v>
      </c>
      <c r="CP249" s="23">
        <f t="shared" si="7"/>
        <v>1.0000000000000038</v>
      </c>
    </row>
    <row r="250" spans="1:94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 t="str">
        <v>32.Stoppages because of work being rejected by consultant</v>
      </c>
      <c r="AW250" s="25">
        <v>-0.59210980289671811</v>
      </c>
      <c r="AX250" s="26">
        <v>5.4092545045406941E-2</v>
      </c>
      <c r="AY250" s="26">
        <v>0.2943983069634834</v>
      </c>
      <c r="AZ250" s="18">
        <v>-0.1448214295024611</v>
      </c>
      <c r="BA250" s="18">
        <v>-0.33835410317033765</v>
      </c>
      <c r="BB250" s="18">
        <v>-0.22391698821972156</v>
      </c>
      <c r="BC250" s="18">
        <v>-5.0156503581554927E-2</v>
      </c>
      <c r="BD250" s="18">
        <v>7.6911255507525256E-2</v>
      </c>
      <c r="BE250" s="18">
        <v>5.6959362196198432E-2</v>
      </c>
      <c r="BF250" s="18">
        <v>-0.18542179459399358</v>
      </c>
      <c r="BG250" s="18">
        <v>-3.655661870276198E-2</v>
      </c>
      <c r="BH250" s="18">
        <v>-0.15373001958520521</v>
      </c>
      <c r="BI250" s="18">
        <v>-0.2369786697470968</v>
      </c>
      <c r="BJ250" s="18">
        <v>0.1640630962917802</v>
      </c>
      <c r="BK250" s="18">
        <v>-7.1840261842877909E-2</v>
      </c>
      <c r="BL250" s="18">
        <v>0.328602552585956</v>
      </c>
      <c r="BM250" s="18">
        <v>6.2711829344346937E-2</v>
      </c>
      <c r="BN250" s="18">
        <v>-2.8381559084893034E-2</v>
      </c>
      <c r="BO250" s="18">
        <v>3.8696181537666859E-2</v>
      </c>
      <c r="BP250" s="18">
        <v>3.819191238993988E-2</v>
      </c>
      <c r="BQ250" s="18">
        <v>-0.19612663567526772</v>
      </c>
      <c r="BR250" s="18">
        <v>3.8278948750854823E-2</v>
      </c>
      <c r="BS250" s="18">
        <v>7.9168753533710778E-2</v>
      </c>
      <c r="BT250" s="18">
        <v>-7.0072850471633377E-2</v>
      </c>
      <c r="BU250" s="18">
        <v>5.4857022421628078E-2</v>
      </c>
      <c r="BV250" s="18">
        <v>-9.9286515554997956E-3</v>
      </c>
      <c r="BW250" s="18">
        <v>-7.0595026785814127E-2</v>
      </c>
      <c r="BX250" s="18">
        <v>3.2035234894331834E-2</v>
      </c>
      <c r="BY250" s="18">
        <v>-4.1971448696346121E-2</v>
      </c>
      <c r="BZ250" s="18">
        <v>4.2780417893204165E-2</v>
      </c>
      <c r="CA250" s="18">
        <v>-8.8572864405649654E-2</v>
      </c>
      <c r="CB250" s="18">
        <v>-1.1076039595881616E-2</v>
      </c>
      <c r="CC250" s="18">
        <v>-1.0298832075787013E-2</v>
      </c>
      <c r="CD250" s="18">
        <v>-8.5700050635604368E-3</v>
      </c>
      <c r="CE250" s="18">
        <v>7.5086025676743662E-2</v>
      </c>
      <c r="CF250" s="18">
        <v>9.9948950634927494E-2</v>
      </c>
      <c r="CG250" s="18">
        <v>5.6825372518076785E-3</v>
      </c>
      <c r="CH250" s="18">
        <v>4.1666028011573507E-2</v>
      </c>
      <c r="CI250" s="18">
        <v>-6.5946666074228208E-2</v>
      </c>
      <c r="CJ250" s="18">
        <v>-4.6793922512432758E-2</v>
      </c>
      <c r="CK250" s="18">
        <v>4.7485586497354654E-2</v>
      </c>
      <c r="CL250" s="18">
        <v>-2.1688162096421002E-3</v>
      </c>
      <c r="CM250" s="18">
        <v>-2.0848682765362732E-2</v>
      </c>
      <c r="CN250" s="19">
        <v>-2.6132392963219141E-2</v>
      </c>
      <c r="CP250" s="23">
        <f t="shared" si="7"/>
        <v>1.000000000000004</v>
      </c>
    </row>
    <row r="251" spans="1:94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 t="str">
        <v>33.Lowest bid price</v>
      </c>
      <c r="AW251" s="25">
        <v>-0.37597779602256504</v>
      </c>
      <c r="AX251" s="26">
        <v>-0.16018772262310013</v>
      </c>
      <c r="AY251" s="26">
        <v>-0.32745729894748371</v>
      </c>
      <c r="AZ251" s="18">
        <v>-1.8651619585180551E-2</v>
      </c>
      <c r="BA251" s="18">
        <v>-0.34361772522162909</v>
      </c>
      <c r="BB251" s="18">
        <v>-0.1086217622131022</v>
      </c>
      <c r="BC251" s="18">
        <v>-0.21797960359442065</v>
      </c>
      <c r="BD251" s="18">
        <v>-0.17069786162901823</v>
      </c>
      <c r="BE251" s="18">
        <v>2.6612546872946549E-2</v>
      </c>
      <c r="BF251" s="18">
        <v>-0.38549072948368296</v>
      </c>
      <c r="BG251" s="18">
        <v>0.34119866806168897</v>
      </c>
      <c r="BH251" s="18">
        <v>-7.2491188373164567E-2</v>
      </c>
      <c r="BI251" s="18">
        <v>0.28781725074945069</v>
      </c>
      <c r="BJ251" s="18">
        <v>9.3513178465491134E-3</v>
      </c>
      <c r="BK251" s="18">
        <v>-8.8452314953341507E-2</v>
      </c>
      <c r="BL251" s="18">
        <v>0.23357638776797143</v>
      </c>
      <c r="BM251" s="18">
        <v>-5.0487555914671536E-2</v>
      </c>
      <c r="BN251" s="18">
        <v>5.3016835446500654E-2</v>
      </c>
      <c r="BO251" s="18">
        <v>-1.2052798803686333E-2</v>
      </c>
      <c r="BP251" s="18">
        <v>-0.1689342104113554</v>
      </c>
      <c r="BQ251" s="18">
        <v>5.8771649386539546E-2</v>
      </c>
      <c r="BR251" s="18">
        <v>-0.10329503782119534</v>
      </c>
      <c r="BS251" s="18">
        <v>9.9557713604569498E-2</v>
      </c>
      <c r="BT251" s="18">
        <v>-2.633825538312334E-2</v>
      </c>
      <c r="BU251" s="18">
        <v>2.8969251322779586E-2</v>
      </c>
      <c r="BV251" s="18">
        <v>-7.7600663090002978E-2</v>
      </c>
      <c r="BW251" s="18">
        <v>0.12010665925312883</v>
      </c>
      <c r="BX251" s="18">
        <v>7.3025963954183593E-2</v>
      </c>
      <c r="BY251" s="18">
        <v>-6.6043069803933185E-3</v>
      </c>
      <c r="BZ251" s="18">
        <v>7.2279922896019227E-2</v>
      </c>
      <c r="CA251" s="18">
        <v>7.3026660982130655E-3</v>
      </c>
      <c r="CB251" s="18">
        <v>2.95564463346593E-2</v>
      </c>
      <c r="CC251" s="18">
        <v>2.1042278148223521E-2</v>
      </c>
      <c r="CD251" s="18">
        <v>1.6889756913711601E-3</v>
      </c>
      <c r="CE251" s="18">
        <v>-4.9072859491392777E-2</v>
      </c>
      <c r="CF251" s="18">
        <v>-2.856011657390356E-2</v>
      </c>
      <c r="CG251" s="18">
        <v>2.4411529221252254E-3</v>
      </c>
      <c r="CH251" s="18">
        <v>-4.7299577626654828E-2</v>
      </c>
      <c r="CI251" s="18">
        <v>1.6734082483095099E-2</v>
      </c>
      <c r="CJ251" s="18">
        <v>-2.4314970813032414E-2</v>
      </c>
      <c r="CK251" s="18">
        <v>-3.6666683666276283E-2</v>
      </c>
      <c r="CL251" s="18">
        <v>-2.053579597891058E-2</v>
      </c>
      <c r="CM251" s="18">
        <v>4.8863234821839789E-2</v>
      </c>
      <c r="CN251" s="19">
        <v>7.9760521496654024E-3</v>
      </c>
      <c r="CP251" s="23">
        <f t="shared" si="7"/>
        <v>0.99999999999999456</v>
      </c>
    </row>
    <row r="252" spans="1:94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 t="str">
        <v>34.Insufficient time for preparation of contract documents</v>
      </c>
      <c r="AW252" s="25">
        <v>-0.67348410300742056</v>
      </c>
      <c r="AX252" s="26">
        <v>0.1425548198178159</v>
      </c>
      <c r="AY252" s="26">
        <v>7.3787305435914594E-2</v>
      </c>
      <c r="AZ252" s="18">
        <v>-1.8361019858993684E-2</v>
      </c>
      <c r="BA252" s="18">
        <v>-4.5560761595247606E-2</v>
      </c>
      <c r="BB252" s="18">
        <v>-0.15076030758886211</v>
      </c>
      <c r="BC252" s="18">
        <v>0.21160558204804678</v>
      </c>
      <c r="BD252" s="18">
        <v>-0.30762640690377707</v>
      </c>
      <c r="BE252" s="18">
        <v>0.2580197697323115</v>
      </c>
      <c r="BF252" s="18">
        <v>-0.17130196722186086</v>
      </c>
      <c r="BG252" s="18">
        <v>0.24099745576669679</v>
      </c>
      <c r="BH252" s="18">
        <v>0.10056306049277733</v>
      </c>
      <c r="BI252" s="18">
        <v>0.20299237616588164</v>
      </c>
      <c r="BJ252" s="18">
        <v>-0.12102506801864134</v>
      </c>
      <c r="BK252" s="18">
        <v>1.6079136824557239E-2</v>
      </c>
      <c r="BL252" s="18">
        <v>-0.13638211456543275</v>
      </c>
      <c r="BM252" s="18">
        <v>5.2803774977432341E-2</v>
      </c>
      <c r="BN252" s="18">
        <v>0.10023822547973689</v>
      </c>
      <c r="BO252" s="18">
        <v>-6.8807724740714948E-2</v>
      </c>
      <c r="BP252" s="18">
        <v>0.14717861989142778</v>
      </c>
      <c r="BQ252" s="18">
        <v>1.4189007422300128E-3</v>
      </c>
      <c r="BR252" s="18">
        <v>-3.30320001581631E-2</v>
      </c>
      <c r="BS252" s="18">
        <v>6.3458893103308683E-2</v>
      </c>
      <c r="BT252" s="18">
        <v>3.8573812119642431E-4</v>
      </c>
      <c r="BU252" s="18">
        <v>-0.1743387721156418</v>
      </c>
      <c r="BV252" s="18">
        <v>-3.7565413874987408E-2</v>
      </c>
      <c r="BW252" s="18">
        <v>2.0249899286863819E-2</v>
      </c>
      <c r="BX252" s="18">
        <v>-3.2446966768140974E-3</v>
      </c>
      <c r="BY252" s="18">
        <v>5.1743807566929818E-2</v>
      </c>
      <c r="BZ252" s="18">
        <v>-4.9194901375631962E-2</v>
      </c>
      <c r="CA252" s="18">
        <v>3.3262396991469864E-2</v>
      </c>
      <c r="CB252" s="18">
        <v>-3.6199249874488734E-2</v>
      </c>
      <c r="CC252" s="18">
        <v>1.2425730007228844E-2</v>
      </c>
      <c r="CD252" s="18">
        <v>-0.14575370526406034</v>
      </c>
      <c r="CE252" s="18">
        <v>2.2637030319609387E-2</v>
      </c>
      <c r="CF252" s="18">
        <v>2.706292397535567E-2</v>
      </c>
      <c r="CG252" s="18">
        <v>1.3257513449242477E-2</v>
      </c>
      <c r="CH252" s="18">
        <v>-2.1059873773873309E-2</v>
      </c>
      <c r="CI252" s="18">
        <v>-3.8664450334717312E-2</v>
      </c>
      <c r="CJ252" s="18">
        <v>2.9798394177798487E-2</v>
      </c>
      <c r="CK252" s="18">
        <v>1.5276917692924528E-2</v>
      </c>
      <c r="CL252" s="18">
        <v>-4.1181279629933327E-3</v>
      </c>
      <c r="CM252" s="18">
        <v>-7.2961294216560738E-2</v>
      </c>
      <c r="CN252" s="19">
        <v>-4.4336577480455969E-2</v>
      </c>
      <c r="CP252" s="23">
        <f t="shared" si="7"/>
        <v>0.99999999999999623</v>
      </c>
    </row>
    <row r="253" spans="1:94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 t="str">
        <v>35.Discrepancies in contract documents</v>
      </c>
      <c r="AW253" s="25">
        <v>-0.64962425444973748</v>
      </c>
      <c r="AX253" s="26">
        <v>6.8995562020122109E-2</v>
      </c>
      <c r="AY253" s="26">
        <v>0.16867159851414121</v>
      </c>
      <c r="AZ253" s="18">
        <v>-2.8077596443979339E-2</v>
      </c>
      <c r="BA253" s="18">
        <v>0.20109779347835113</v>
      </c>
      <c r="BB253" s="18">
        <v>-0.16324761044020736</v>
      </c>
      <c r="BC253" s="18">
        <v>0.10090900136573897</v>
      </c>
      <c r="BD253" s="18">
        <v>-0.39440045530798207</v>
      </c>
      <c r="BE253" s="18">
        <v>0.17495700382435758</v>
      </c>
      <c r="BF253" s="18">
        <v>-0.24177146904995195</v>
      </c>
      <c r="BG253" s="18">
        <v>8.5049976236648686E-2</v>
      </c>
      <c r="BH253" s="18">
        <v>-1.7665712615669311E-2</v>
      </c>
      <c r="BI253" s="18">
        <v>0.16341002182810777</v>
      </c>
      <c r="BJ253" s="18">
        <v>-0.24787650796612401</v>
      </c>
      <c r="BK253" s="18">
        <v>9.970350582039452E-4</v>
      </c>
      <c r="BL253" s="18">
        <v>-0.11073819817219185</v>
      </c>
      <c r="BM253" s="18">
        <v>9.2772647594589405E-2</v>
      </c>
      <c r="BN253" s="18">
        <v>7.524941892458145E-3</v>
      </c>
      <c r="BO253" s="18">
        <v>8.359533915878288E-2</v>
      </c>
      <c r="BP253" s="18">
        <v>2.4657333849626963E-2</v>
      </c>
      <c r="BQ253" s="18">
        <v>-8.3613012705041151E-2</v>
      </c>
      <c r="BR253" s="18">
        <v>6.1558368590518935E-2</v>
      </c>
      <c r="BS253" s="18">
        <v>6.3452081966988809E-3</v>
      </c>
      <c r="BT253" s="18">
        <v>0.14318668015407202</v>
      </c>
      <c r="BU253" s="18">
        <v>0.13618562225204089</v>
      </c>
      <c r="BV253" s="18">
        <v>5.3419118861910822E-2</v>
      </c>
      <c r="BW253" s="18">
        <v>-6.7016633067300976E-2</v>
      </c>
      <c r="BX253" s="18">
        <v>-6.3954302572323107E-3</v>
      </c>
      <c r="BY253" s="18">
        <v>3.5167618139801023E-2</v>
      </c>
      <c r="BZ253" s="18">
        <v>-7.44219169451657E-2</v>
      </c>
      <c r="CA253" s="18">
        <v>-2.0889440438823328E-3</v>
      </c>
      <c r="CB253" s="18">
        <v>7.9134890456042922E-3</v>
      </c>
      <c r="CC253" s="18">
        <v>-9.9931359248801692E-3</v>
      </c>
      <c r="CD253" s="18">
        <v>0.13931024087440447</v>
      </c>
      <c r="CE253" s="18">
        <v>2.3302965479087504E-2</v>
      </c>
      <c r="CF253" s="18">
        <v>-2.1699876810824647E-2</v>
      </c>
      <c r="CG253" s="18">
        <v>-2.4803926488608942E-2</v>
      </c>
      <c r="CH253" s="18">
        <v>6.1237924122124081E-2</v>
      </c>
      <c r="CI253" s="18">
        <v>-4.7111342128802552E-2</v>
      </c>
      <c r="CJ253" s="18">
        <v>2.1497744427363603E-3</v>
      </c>
      <c r="CK253" s="18">
        <v>5.0918915085187463E-2</v>
      </c>
      <c r="CL253" s="18">
        <v>1.1888940208799768E-2</v>
      </c>
      <c r="CM253" s="18">
        <v>5.859153318536324E-2</v>
      </c>
      <c r="CN253" s="19">
        <v>2.2616216971956732E-2</v>
      </c>
      <c r="CP253" s="23">
        <f t="shared" si="7"/>
        <v>1.0000000000000007</v>
      </c>
    </row>
    <row r="254" spans="1:94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 t="str">
        <v>36.Underestimation of time for completion of project</v>
      </c>
      <c r="AW254" s="25">
        <v>-0.4803238390682707</v>
      </c>
      <c r="AX254" s="26">
        <v>-0.3229167669400515</v>
      </c>
      <c r="AY254" s="26">
        <v>0.24771830394923447</v>
      </c>
      <c r="AZ254" s="18">
        <v>-0.18033624825807301</v>
      </c>
      <c r="BA254" s="18">
        <v>0.18857406075888816</v>
      </c>
      <c r="BB254" s="18">
        <v>-8.3640044727086547E-3</v>
      </c>
      <c r="BC254" s="18">
        <v>-0.1432561083128373</v>
      </c>
      <c r="BD254" s="18">
        <v>-0.43227221279778311</v>
      </c>
      <c r="BE254" s="18">
        <v>-0.10838659470748835</v>
      </c>
      <c r="BF254" s="18">
        <v>-4.0370904634354943E-2</v>
      </c>
      <c r="BG254" s="18">
        <v>-0.17770829879747763</v>
      </c>
      <c r="BH254" s="18">
        <v>0.31692374342288848</v>
      </c>
      <c r="BI254" s="18">
        <v>-0.10076957685596155</v>
      </c>
      <c r="BJ254" s="18">
        <v>1.4736554851944368E-2</v>
      </c>
      <c r="BK254" s="18">
        <v>-8.7543203576686268E-2</v>
      </c>
      <c r="BL254" s="18">
        <v>0.21370619392604615</v>
      </c>
      <c r="BM254" s="18">
        <v>5.6877649927106685E-2</v>
      </c>
      <c r="BN254" s="18">
        <v>-3.0786943048296433E-2</v>
      </c>
      <c r="BO254" s="18">
        <v>-9.3383972084344069E-2</v>
      </c>
      <c r="BP254" s="18">
        <v>5.3066531950001987E-2</v>
      </c>
      <c r="BQ254" s="18">
        <v>4.6567131619885807E-2</v>
      </c>
      <c r="BR254" s="18">
        <v>7.6108189222979048E-3</v>
      </c>
      <c r="BS254" s="18">
        <v>4.7174512916684716E-3</v>
      </c>
      <c r="BT254" s="18">
        <v>-0.17734039523120512</v>
      </c>
      <c r="BU254" s="18">
        <v>-0.19735351529212791</v>
      </c>
      <c r="BV254" s="18">
        <v>-3.8782379664649529E-2</v>
      </c>
      <c r="BW254" s="18">
        <v>-0.10287893596045609</v>
      </c>
      <c r="BX254" s="18">
        <v>-6.4450530488720584E-2</v>
      </c>
      <c r="BY254" s="18">
        <v>1.76853484441385E-2</v>
      </c>
      <c r="BZ254" s="18">
        <v>4.62306015033878E-2</v>
      </c>
      <c r="CA254" s="18">
        <v>5.7391114184583668E-3</v>
      </c>
      <c r="CB254" s="18">
        <v>8.2706716595466832E-3</v>
      </c>
      <c r="CC254" s="18">
        <v>1.3175482778957573E-2</v>
      </c>
      <c r="CD254" s="18">
        <v>2.2971003852852848E-2</v>
      </c>
      <c r="CE254" s="18">
        <v>2.9935761653005506E-2</v>
      </c>
      <c r="CF254" s="18">
        <v>-2.9641130818091114E-2</v>
      </c>
      <c r="CG254" s="18">
        <v>-2.2460604572281034E-2</v>
      </c>
      <c r="CH254" s="18">
        <v>4.0434694896076102E-2</v>
      </c>
      <c r="CI254" s="18">
        <v>1.3672402380642944E-2</v>
      </c>
      <c r="CJ254" s="18">
        <v>4.6391803170581586E-2</v>
      </c>
      <c r="CK254" s="18">
        <v>-3.4064218483733449E-2</v>
      </c>
      <c r="CL254" s="18">
        <v>-2.8584500790983135E-2</v>
      </c>
      <c r="CM254" s="18">
        <v>2.4545097239814365E-2</v>
      </c>
      <c r="CN254" s="19">
        <v>4.8148037096899923E-2</v>
      </c>
      <c r="CP254" s="23">
        <f t="shared" si="7"/>
        <v>1.0000000000000038</v>
      </c>
    </row>
    <row r="255" spans="1:94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 t="str">
        <v>37.Extension of time with cost claims</v>
      </c>
      <c r="AW255" s="25">
        <v>-0.37483338921771586</v>
      </c>
      <c r="AX255" s="26">
        <v>9.6502295268417068E-2</v>
      </c>
      <c r="AY255" s="26">
        <v>-0.28173641026244933</v>
      </c>
      <c r="AZ255" s="18">
        <v>-0.34004607438861173</v>
      </c>
      <c r="BA255" s="18">
        <v>-0.15199735882218929</v>
      </c>
      <c r="BB255" s="18">
        <v>0.11212217470024731</v>
      </c>
      <c r="BC255" s="18">
        <v>-0.15929196278750798</v>
      </c>
      <c r="BD255" s="18">
        <v>-0.30875897013535142</v>
      </c>
      <c r="BE255" s="18">
        <v>-0.15098389243273716</v>
      </c>
      <c r="BF255" s="18">
        <v>7.3910204610150382E-2</v>
      </c>
      <c r="BG255" s="18">
        <v>-0.24055459457519818</v>
      </c>
      <c r="BH255" s="18">
        <v>0.4967607807563803</v>
      </c>
      <c r="BI255" s="18">
        <v>-7.4091592093136968E-2</v>
      </c>
      <c r="BJ255" s="18">
        <v>4.0292660029672349E-2</v>
      </c>
      <c r="BK255" s="18">
        <v>0.13522771701483588</v>
      </c>
      <c r="BL255" s="18">
        <v>-0.18106862830330964</v>
      </c>
      <c r="BM255" s="18">
        <v>-0.14075611699955995</v>
      </c>
      <c r="BN255" s="18">
        <v>-2.7158712580189776E-2</v>
      </c>
      <c r="BO255" s="18">
        <v>-6.2446427440704E-2</v>
      </c>
      <c r="BP255" s="18">
        <v>-7.0195438283274333E-2</v>
      </c>
      <c r="BQ255" s="18">
        <v>-6.9369152927303696E-2</v>
      </c>
      <c r="BR255" s="18">
        <v>-6.2653583865283219E-2</v>
      </c>
      <c r="BS255" s="18">
        <v>0.15703759443762724</v>
      </c>
      <c r="BT255" s="18">
        <v>3.7028723869989002E-3</v>
      </c>
      <c r="BU255" s="18">
        <v>0.11770552205488113</v>
      </c>
      <c r="BV255" s="18">
        <v>-1.4436431627455001E-2</v>
      </c>
      <c r="BW255" s="18">
        <v>8.5606235719088347E-2</v>
      </c>
      <c r="BX255" s="18">
        <v>3.9366857498118656E-2</v>
      </c>
      <c r="BY255" s="18">
        <v>-7.0823534340717337E-2</v>
      </c>
      <c r="BZ255" s="18">
        <v>-1.6782484417923488E-2</v>
      </c>
      <c r="CA255" s="18">
        <v>2.8700269234547715E-2</v>
      </c>
      <c r="CB255" s="18">
        <v>3.5869084090127179E-2</v>
      </c>
      <c r="CC255" s="18">
        <v>-3.7829261386143356E-2</v>
      </c>
      <c r="CD255" s="18">
        <v>5.4290944073264284E-2</v>
      </c>
      <c r="CE255" s="18">
        <v>-1.3714863748215575E-2</v>
      </c>
      <c r="CF255" s="18">
        <v>5.6558114440727059E-2</v>
      </c>
      <c r="CG255" s="18">
        <v>5.7987523361216389E-2</v>
      </c>
      <c r="CH255" s="18">
        <v>-1.4891340795898003E-2</v>
      </c>
      <c r="CI255" s="18">
        <v>-4.0877294097191631E-2</v>
      </c>
      <c r="CJ255" s="18">
        <v>-2.0230932418409849E-2</v>
      </c>
      <c r="CK255" s="18">
        <v>5.5177646596066337E-3</v>
      </c>
      <c r="CL255" s="18">
        <v>1.6570626322800611E-2</v>
      </c>
      <c r="CM255" s="18">
        <v>-2.3594064555962101E-2</v>
      </c>
      <c r="CN255" s="19">
        <v>-1.6972402552708446E-2</v>
      </c>
      <c r="CP255" s="23">
        <f t="shared" si="7"/>
        <v>0.99999999999999412</v>
      </c>
    </row>
    <row r="256" spans="1:94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 t="str">
        <v>38.Scope and specification changes</v>
      </c>
      <c r="AW256" s="25">
        <v>-0.38260687638861396</v>
      </c>
      <c r="AX256" s="26">
        <v>0.25154922008763642</v>
      </c>
      <c r="AY256" s="26">
        <v>-0.29088452021224032</v>
      </c>
      <c r="AZ256" s="18">
        <v>0.53349474397920016</v>
      </c>
      <c r="BA256" s="18">
        <v>-0.21510711176658212</v>
      </c>
      <c r="BB256" s="18">
        <v>2.6414601672331447E-2</v>
      </c>
      <c r="BC256" s="18">
        <v>-0.1225002346237019</v>
      </c>
      <c r="BD256" s="18">
        <v>-0.27680277507425322</v>
      </c>
      <c r="BE256" s="18">
        <v>-8.0633092483400573E-2</v>
      </c>
      <c r="BF256" s="18">
        <v>7.1895726729280296E-2</v>
      </c>
      <c r="BG256" s="18">
        <v>-8.5754419568262449E-2</v>
      </c>
      <c r="BH256" s="18">
        <v>-0.14975598843636023</v>
      </c>
      <c r="BI256" s="18">
        <v>-8.1900119101645102E-2</v>
      </c>
      <c r="BJ256" s="18">
        <v>0.30430238258929165</v>
      </c>
      <c r="BK256" s="18">
        <v>1.9636483093351007E-2</v>
      </c>
      <c r="BL256" s="18">
        <v>-8.2290611156474402E-2</v>
      </c>
      <c r="BM256" s="18">
        <v>7.4411635411830615E-2</v>
      </c>
      <c r="BN256" s="18">
        <v>0.10895475249524049</v>
      </c>
      <c r="BO256" s="18">
        <v>-9.3292263749960525E-2</v>
      </c>
      <c r="BP256" s="18">
        <v>1.0107223609114178E-2</v>
      </c>
      <c r="BQ256" s="18">
        <v>-0.17863747027746896</v>
      </c>
      <c r="BR256" s="18">
        <v>0.13477214709742913</v>
      </c>
      <c r="BS256" s="18">
        <v>-1.9176617595239268E-2</v>
      </c>
      <c r="BT256" s="18">
        <v>7.6039828625628872E-2</v>
      </c>
      <c r="BU256" s="18">
        <v>-1.613810887212239E-2</v>
      </c>
      <c r="BV256" s="18">
        <v>-4.7631195483163483E-2</v>
      </c>
      <c r="BW256" s="18">
        <v>-6.0050156739740665E-2</v>
      </c>
      <c r="BX256" s="18">
        <v>-1.2235310340586166E-2</v>
      </c>
      <c r="BY256" s="18">
        <v>-5.9576642384605791E-3</v>
      </c>
      <c r="BZ256" s="18">
        <v>7.7305052757032894E-2</v>
      </c>
      <c r="CA256" s="18">
        <v>4.9839876373644079E-2</v>
      </c>
      <c r="CB256" s="18">
        <v>4.3754101168264524E-2</v>
      </c>
      <c r="CC256" s="18">
        <v>0.10068704291414929</v>
      </c>
      <c r="CD256" s="18">
        <v>3.4505509143970201E-2</v>
      </c>
      <c r="CE256" s="18">
        <v>3.3144713215051615E-2</v>
      </c>
      <c r="CF256" s="18">
        <v>-0.13063838104403849</v>
      </c>
      <c r="CG256" s="18">
        <v>4.6651796640907059E-2</v>
      </c>
      <c r="CH256" s="18">
        <v>-3.6027290472255842E-2</v>
      </c>
      <c r="CI256" s="18">
        <v>-1.1678673001123968E-2</v>
      </c>
      <c r="CJ256" s="18">
        <v>3.4516730761382106E-2</v>
      </c>
      <c r="CK256" s="18">
        <v>2.5641249614005015E-2</v>
      </c>
      <c r="CL256" s="18">
        <v>-1.0642768147891989E-2</v>
      </c>
      <c r="CM256" s="18">
        <v>-1.1783708524149696E-2</v>
      </c>
      <c r="CN256" s="19">
        <v>-1.5960708311601915E-2</v>
      </c>
      <c r="CP256" s="23">
        <f t="shared" si="7"/>
        <v>1.0000000000000042</v>
      </c>
    </row>
    <row r="257" spans="1:94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 t="str">
        <v>39.Changes in client requirements</v>
      </c>
      <c r="AW257" s="25">
        <v>-0.45150600787871215</v>
      </c>
      <c r="AX257" s="26">
        <v>0.10475899541791961</v>
      </c>
      <c r="AY257" s="26">
        <v>-0.41698307384610417</v>
      </c>
      <c r="AZ257" s="18">
        <v>0.49733852666688494</v>
      </c>
      <c r="BA257" s="18">
        <v>-0.16227385642925468</v>
      </c>
      <c r="BB257" s="18">
        <v>0.24441280892403081</v>
      </c>
      <c r="BC257" s="18">
        <v>-0.12119203615205081</v>
      </c>
      <c r="BD257" s="18">
        <v>-0.20047927910866725</v>
      </c>
      <c r="BE257" s="18">
        <v>-7.1998178532000204E-2</v>
      </c>
      <c r="BF257" s="18">
        <v>7.7779248448983124E-2</v>
      </c>
      <c r="BG257" s="18">
        <v>-4.9151233893406594E-2</v>
      </c>
      <c r="BH257" s="18">
        <v>-4.3383658249466141E-2</v>
      </c>
      <c r="BI257" s="18">
        <v>0.19731083895374599</v>
      </c>
      <c r="BJ257" s="18">
        <v>1.7468148206401482E-2</v>
      </c>
      <c r="BK257" s="18">
        <v>1.5078744961804081E-2</v>
      </c>
      <c r="BL257" s="18">
        <v>5.9051283823717396E-2</v>
      </c>
      <c r="BM257" s="18">
        <v>-0.15758340402718535</v>
      </c>
      <c r="BN257" s="18">
        <v>5.8843680602407009E-2</v>
      </c>
      <c r="BO257" s="18">
        <v>-0.1094653477140711</v>
      </c>
      <c r="BP257" s="18">
        <v>8.9013674345322147E-2</v>
      </c>
      <c r="BQ257" s="18">
        <v>0.12601373561412366</v>
      </c>
      <c r="BR257" s="18">
        <v>0.16053473561268017</v>
      </c>
      <c r="BS257" s="18">
        <v>-0.12839564984503798</v>
      </c>
      <c r="BT257" s="18">
        <v>-4.3939337760942297E-2</v>
      </c>
      <c r="BU257" s="18">
        <v>2.1369039071561721E-3</v>
      </c>
      <c r="BV257" s="18">
        <v>4.9267244200051366E-2</v>
      </c>
      <c r="BW257" s="18">
        <v>-1.1759352730733833E-3</v>
      </c>
      <c r="BX257" s="18">
        <v>-8.2461958056104498E-2</v>
      </c>
      <c r="BY257" s="18">
        <v>4.1854672073516529E-2</v>
      </c>
      <c r="BZ257" s="18">
        <v>-9.2794303437047809E-2</v>
      </c>
      <c r="CA257" s="18">
        <v>-5.5759023313352356E-2</v>
      </c>
      <c r="CB257" s="18">
        <v>8.6279494968844905E-2</v>
      </c>
      <c r="CC257" s="18">
        <v>-1.3863838195263985E-2</v>
      </c>
      <c r="CD257" s="18">
        <v>-1.9229940932662094E-2</v>
      </c>
      <c r="CE257" s="18">
        <v>3.2817719415104439E-2</v>
      </c>
      <c r="CF257" s="18">
        <v>0.10907768532716677</v>
      </c>
      <c r="CG257" s="18">
        <v>-3.4664256244231188E-2</v>
      </c>
      <c r="CH257" s="18">
        <v>5.4044903756331912E-2</v>
      </c>
      <c r="CI257" s="18">
        <v>1.2650758910966137E-6</v>
      </c>
      <c r="CJ257" s="18">
        <v>-8.3114772953099089E-2</v>
      </c>
      <c r="CK257" s="18">
        <v>-1.9843391927991491E-2</v>
      </c>
      <c r="CL257" s="18">
        <v>-2.4144110934897864E-2</v>
      </c>
      <c r="CM257" s="18">
        <v>1.7269876139801705E-2</v>
      </c>
      <c r="CN257" s="19">
        <v>-1.5982920655158106E-2</v>
      </c>
      <c r="CP257" s="23">
        <f t="shared" si="7"/>
        <v>0.99999999999999889</v>
      </c>
    </row>
    <row r="258" spans="1:94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 t="str">
        <v>40.Frequency of variation orders and additional works</v>
      </c>
      <c r="AW258" s="25">
        <v>-0.36442436359161923</v>
      </c>
      <c r="AX258" s="26">
        <v>0.23636939034571661</v>
      </c>
      <c r="AY258" s="26">
        <v>-0.32345133021903677</v>
      </c>
      <c r="AZ258" s="18">
        <v>0.4825632260893572</v>
      </c>
      <c r="BA258" s="18">
        <v>-0.24080215585623135</v>
      </c>
      <c r="BB258" s="18">
        <v>8.9091451494275914E-2</v>
      </c>
      <c r="BC258" s="18">
        <v>-2.3932683472769306E-2</v>
      </c>
      <c r="BD258" s="18">
        <v>-0.17078308573253259</v>
      </c>
      <c r="BE258" s="18">
        <v>0.21715741120410112</v>
      </c>
      <c r="BF258" s="18">
        <v>7.5018244794057845E-2</v>
      </c>
      <c r="BG258" s="18">
        <v>-0.27990545830723201</v>
      </c>
      <c r="BH258" s="18">
        <v>-1.9820168993825438E-2</v>
      </c>
      <c r="BI258" s="18">
        <v>9.2276846385476279E-3</v>
      </c>
      <c r="BJ258" s="18">
        <v>-0.13024488195629205</v>
      </c>
      <c r="BK258" s="18">
        <v>-8.6603280802147811E-2</v>
      </c>
      <c r="BL258" s="18">
        <v>3.1368794863188914E-3</v>
      </c>
      <c r="BM258" s="18">
        <v>-0.10722160580676927</v>
      </c>
      <c r="BN258" s="18">
        <v>-0.16354074888681044</v>
      </c>
      <c r="BO258" s="18">
        <v>0.24617707162576427</v>
      </c>
      <c r="BP258" s="18">
        <v>0.18879485795083903</v>
      </c>
      <c r="BQ258" s="18">
        <v>3.0941093573018257E-2</v>
      </c>
      <c r="BR258" s="18">
        <v>-0.14770996843673512</v>
      </c>
      <c r="BS258" s="18">
        <v>4.9840309101936695E-2</v>
      </c>
      <c r="BT258" s="18">
        <v>4.2393164895789303E-3</v>
      </c>
      <c r="BU258" s="18">
        <v>-5.84250970224202E-2</v>
      </c>
      <c r="BV258" s="18">
        <v>0.11342316955408607</v>
      </c>
      <c r="BW258" s="18">
        <v>1.2082673020913433E-3</v>
      </c>
      <c r="BX258" s="18">
        <v>0.13099309451254654</v>
      </c>
      <c r="BY258" s="18">
        <v>-7.1363651518972912E-3</v>
      </c>
      <c r="BZ258" s="18">
        <v>0.12269704737509218</v>
      </c>
      <c r="CA258" s="18">
        <v>-4.9923976814540215E-2</v>
      </c>
      <c r="CB258" s="18">
        <v>-6.4767057326401312E-2</v>
      </c>
      <c r="CC258" s="18">
        <v>-4.9097447030973601E-2</v>
      </c>
      <c r="CD258" s="18">
        <v>-3.4322150037639798E-3</v>
      </c>
      <c r="CE258" s="18">
        <v>-5.5900378902319324E-3</v>
      </c>
      <c r="CF258" s="18">
        <v>-1.5997779960315473E-2</v>
      </c>
      <c r="CG258" s="18">
        <v>-4.051189030095631E-2</v>
      </c>
      <c r="CH258" s="18">
        <v>2.14494335854934E-4</v>
      </c>
      <c r="CI258" s="18">
        <v>2.4402704372939038E-2</v>
      </c>
      <c r="CJ258" s="18">
        <v>7.21717514689507E-3</v>
      </c>
      <c r="CK258" s="18">
        <v>1.1805679208788911E-2</v>
      </c>
      <c r="CL258" s="18">
        <v>3.2094751906665116E-2</v>
      </c>
      <c r="CM258" s="18">
        <v>-1.296378574973465E-2</v>
      </c>
      <c r="CN258" s="19">
        <v>2.7497842784598252E-2</v>
      </c>
      <c r="CP258" s="23">
        <f t="shared" si="7"/>
        <v>1.0000000000000033</v>
      </c>
    </row>
    <row r="259" spans="1:94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 t="str">
        <v>41.Rework due to error in execution</v>
      </c>
      <c r="AW259" s="25">
        <v>-0.51671070647719242</v>
      </c>
      <c r="AX259" s="26">
        <v>-5.6144496277620519E-2</v>
      </c>
      <c r="AY259" s="26">
        <v>0.29163697446291642</v>
      </c>
      <c r="AZ259" s="18">
        <v>7.0659331421083785E-2</v>
      </c>
      <c r="BA259" s="18">
        <v>-5.2730269697201383E-2</v>
      </c>
      <c r="BB259" s="18">
        <v>0.22621275644053196</v>
      </c>
      <c r="BC259" s="18">
        <v>0.35276980707769279</v>
      </c>
      <c r="BD259" s="18">
        <v>-0.39653062926957999</v>
      </c>
      <c r="BE259" s="18">
        <v>-8.2012575573005467E-2</v>
      </c>
      <c r="BF259" s="18">
        <v>3.0661305472608293E-2</v>
      </c>
      <c r="BG259" s="18">
        <v>-9.4942197641470036E-2</v>
      </c>
      <c r="BH259" s="18">
        <v>-0.16460390931622337</v>
      </c>
      <c r="BI259" s="18">
        <v>-0.30438137670416243</v>
      </c>
      <c r="BJ259" s="18">
        <v>-0.1373623502414742</v>
      </c>
      <c r="BK259" s="18">
        <v>-2.2246636639642593E-2</v>
      </c>
      <c r="BL259" s="18">
        <v>0.12172711447383398</v>
      </c>
      <c r="BM259" s="18">
        <v>1.3517748688432214E-2</v>
      </c>
      <c r="BN259" s="18">
        <v>-9.5137034506477397E-2</v>
      </c>
      <c r="BO259" s="18">
        <v>4.1171593717760441E-2</v>
      </c>
      <c r="BP259" s="18">
        <v>-5.2976438827946767E-2</v>
      </c>
      <c r="BQ259" s="18">
        <v>-4.0744352720017843E-3</v>
      </c>
      <c r="BR259" s="18">
        <v>2.83215149148341E-2</v>
      </c>
      <c r="BS259" s="18">
        <v>-8.4105076080395899E-2</v>
      </c>
      <c r="BT259" s="18">
        <v>0.17048111986618514</v>
      </c>
      <c r="BU259" s="18">
        <v>3.7550810606851615E-2</v>
      </c>
      <c r="BV259" s="18">
        <v>-0.14011646822979348</v>
      </c>
      <c r="BW259" s="18">
        <v>0.1662348884636469</v>
      </c>
      <c r="BX259" s="18">
        <v>-9.9526698925678933E-2</v>
      </c>
      <c r="BY259" s="18">
        <v>-7.5041445177819785E-2</v>
      </c>
      <c r="BZ259" s="18">
        <v>5.3103321515689951E-2</v>
      </c>
      <c r="CA259" s="18">
        <v>6.1241641761259007E-2</v>
      </c>
      <c r="CB259" s="18">
        <v>-3.5000632946260192E-2</v>
      </c>
      <c r="CC259" s="18">
        <v>-1.5169215784304999E-2</v>
      </c>
      <c r="CD259" s="18">
        <v>-6.2918496784887715E-2</v>
      </c>
      <c r="CE259" s="18">
        <v>-4.2181030436432301E-2</v>
      </c>
      <c r="CF259" s="18">
        <v>4.9754588051270705E-2</v>
      </c>
      <c r="CG259" s="18">
        <v>-1.0457834415719156E-2</v>
      </c>
      <c r="CH259" s="18">
        <v>-2.816363042926717E-3</v>
      </c>
      <c r="CI259" s="18">
        <v>3.3952492469760141E-2</v>
      </c>
      <c r="CJ259" s="18">
        <v>7.3356653978763064E-3</v>
      </c>
      <c r="CK259" s="18">
        <v>-2.4069574507877719E-2</v>
      </c>
      <c r="CL259" s="18">
        <v>2.5518195087263049E-3</v>
      </c>
      <c r="CM259" s="18">
        <v>1.869803870072374E-2</v>
      </c>
      <c r="CN259" s="19">
        <v>-1.3043618682531498E-2</v>
      </c>
      <c r="CP259" s="23">
        <f t="shared" si="7"/>
        <v>0.99999999999999367</v>
      </c>
    </row>
    <row r="260" spans="1:94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 t="str">
        <v>42.Weather conditions</v>
      </c>
      <c r="AW260" s="25">
        <v>-0.61759475041054301</v>
      </c>
      <c r="AX260" s="26">
        <v>5.2870001198972442E-2</v>
      </c>
      <c r="AY260" s="26">
        <v>0.25344432176217557</v>
      </c>
      <c r="AZ260" s="18">
        <v>-0.3434390151246986</v>
      </c>
      <c r="BA260" s="18">
        <v>-0.10171807575971839</v>
      </c>
      <c r="BB260" s="18">
        <v>-0.3506976734556328</v>
      </c>
      <c r="BC260" s="18">
        <v>-3.8681207415763634E-2</v>
      </c>
      <c r="BD260" s="18">
        <v>-5.9315904661966012E-2</v>
      </c>
      <c r="BE260" s="18">
        <v>0.11629155649663198</v>
      </c>
      <c r="BF260" s="18">
        <v>0.33470095317850684</v>
      </c>
      <c r="BG260" s="18">
        <v>-0.1092724682215208</v>
      </c>
      <c r="BH260" s="18">
        <v>-0.14902431895708773</v>
      </c>
      <c r="BI260" s="18">
        <v>4.3705215846942751E-2</v>
      </c>
      <c r="BJ260" s="18">
        <v>6.8212236788692912E-2</v>
      </c>
      <c r="BK260" s="18">
        <v>4.6264249940026127E-2</v>
      </c>
      <c r="BL260" s="18">
        <v>-0.1057123793565619</v>
      </c>
      <c r="BM260" s="18">
        <v>5.802006537771584E-2</v>
      </c>
      <c r="BN260" s="18">
        <v>8.4494042871508621E-2</v>
      </c>
      <c r="BO260" s="18">
        <v>-9.3973568758958445E-2</v>
      </c>
      <c r="BP260" s="18">
        <v>0.15339271297890417</v>
      </c>
      <c r="BQ260" s="18">
        <v>2.1482394823561769E-2</v>
      </c>
      <c r="BR260" s="18">
        <v>-1.9388514534809852E-2</v>
      </c>
      <c r="BS260" s="18">
        <v>3.5297810355057489E-2</v>
      </c>
      <c r="BT260" s="18">
        <v>1.9888353345357861E-2</v>
      </c>
      <c r="BU260" s="18">
        <v>-3.8928011316045688E-2</v>
      </c>
      <c r="BV260" s="18">
        <v>0.13148388680709672</v>
      </c>
      <c r="BW260" s="18">
        <v>6.4075685150803054E-3</v>
      </c>
      <c r="BX260" s="18">
        <v>6.2975110478666555E-3</v>
      </c>
      <c r="BY260" s="18">
        <v>-0.13887577438489301</v>
      </c>
      <c r="BZ260" s="18">
        <v>-9.1484171854159507E-3</v>
      </c>
      <c r="CA260" s="18">
        <v>3.3317577353095727E-2</v>
      </c>
      <c r="CB260" s="18">
        <v>-3.3707453073306419E-3</v>
      </c>
      <c r="CC260" s="18">
        <v>3.0785981235898412E-2</v>
      </c>
      <c r="CD260" s="18">
        <v>2.2146323369627422E-3</v>
      </c>
      <c r="CE260" s="18">
        <v>2.0266041608883689E-2</v>
      </c>
      <c r="CF260" s="18">
        <v>3.535118412033917E-2</v>
      </c>
      <c r="CG260" s="18">
        <v>-5.6591324836010433E-2</v>
      </c>
      <c r="CH260" s="18">
        <v>-0.12858863852506475</v>
      </c>
      <c r="CI260" s="18">
        <v>2.2875722701039894E-2</v>
      </c>
      <c r="CJ260" s="18">
        <v>-4.5205382719466405E-2</v>
      </c>
      <c r="CK260" s="18">
        <v>-2.3222864012019839E-2</v>
      </c>
      <c r="CL260" s="18">
        <v>-3.5774039719156721E-2</v>
      </c>
      <c r="CM260" s="18">
        <v>6.4908784546913664E-2</v>
      </c>
      <c r="CN260" s="19">
        <v>1.021758752463508E-3</v>
      </c>
      <c r="CP260" s="23">
        <f t="shared" si="7"/>
        <v>0.99999999999999989</v>
      </c>
    </row>
    <row r="261" spans="1:94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 t="str">
        <v>43.Accidents during construction</v>
      </c>
      <c r="AW261" s="25">
        <v>-0.49280330620830459</v>
      </c>
      <c r="AX261" s="26">
        <v>-0.20466698891598301</v>
      </c>
      <c r="AY261" s="26">
        <v>0.17562471478358643</v>
      </c>
      <c r="AZ261" s="18">
        <v>-0.29371202134475793</v>
      </c>
      <c r="BA261" s="18">
        <v>-0.27281469225199573</v>
      </c>
      <c r="BB261" s="18">
        <v>-0.1421477357594729</v>
      </c>
      <c r="BC261" s="18">
        <v>-0.10968664499276301</v>
      </c>
      <c r="BD261" s="18">
        <v>-0.14142885759787671</v>
      </c>
      <c r="BE261" s="18">
        <v>9.0712958908352487E-2</v>
      </c>
      <c r="BF261" s="18">
        <v>0.51142602671013604</v>
      </c>
      <c r="BG261" s="18">
        <v>3.4230774742157583E-3</v>
      </c>
      <c r="BH261" s="18">
        <v>-0.27212085609067554</v>
      </c>
      <c r="BI261" s="18">
        <v>0.11547062940321444</v>
      </c>
      <c r="BJ261" s="18">
        <v>4.6044668758008708E-2</v>
      </c>
      <c r="BK261" s="18">
        <v>9.5166726472664623E-2</v>
      </c>
      <c r="BL261" s="18">
        <v>3.1388656436868431E-2</v>
      </c>
      <c r="BM261" s="18">
        <v>3.5348893440121182E-2</v>
      </c>
      <c r="BN261" s="18">
        <v>-2.5958745797535737E-2</v>
      </c>
      <c r="BO261" s="18">
        <v>-3.2227153323429646E-2</v>
      </c>
      <c r="BP261" s="18">
        <v>-9.9200463519701312E-2</v>
      </c>
      <c r="BQ261" s="18">
        <v>-1.0250469734982229E-2</v>
      </c>
      <c r="BR261" s="18">
        <v>-8.7398392996719573E-2</v>
      </c>
      <c r="BS261" s="18">
        <v>-6.5481489508869575E-2</v>
      </c>
      <c r="BT261" s="18">
        <v>2.8072353372328961E-2</v>
      </c>
      <c r="BU261" s="18">
        <v>-2.1594999573599509E-3</v>
      </c>
      <c r="BV261" s="18">
        <v>-4.5738440425537957E-2</v>
      </c>
      <c r="BW261" s="18">
        <v>8.2734153153573502E-4</v>
      </c>
      <c r="BX261" s="18">
        <v>0.13352345047850633</v>
      </c>
      <c r="BY261" s="18">
        <v>0.16470981696012862</v>
      </c>
      <c r="BZ261" s="18">
        <v>-5.9504574657992431E-3</v>
      </c>
      <c r="CA261" s="18">
        <v>6.6642406883487826E-2</v>
      </c>
      <c r="CB261" s="18">
        <v>8.6656975352518109E-2</v>
      </c>
      <c r="CC261" s="18">
        <v>-6.6395345337960293E-2</v>
      </c>
      <c r="CD261" s="18">
        <v>3.2698518276543534E-2</v>
      </c>
      <c r="CE261" s="18">
        <v>-2.7203050092016737E-2</v>
      </c>
      <c r="CF261" s="18">
        <v>2.6005597863082538E-2</v>
      </c>
      <c r="CG261" s="18">
        <v>1.1462313209758716E-2</v>
      </c>
      <c r="CH261" s="18">
        <v>8.0000176879736651E-2</v>
      </c>
      <c r="CI261" s="18">
        <v>8.763333538489777E-3</v>
      </c>
      <c r="CJ261" s="18">
        <v>4.8139753476552985E-2</v>
      </c>
      <c r="CK261" s="18">
        <v>-1.6810382783959202E-2</v>
      </c>
      <c r="CL261" s="18">
        <v>-1.4384496473828738E-2</v>
      </c>
      <c r="CM261" s="18">
        <v>-3.2854438508125243E-2</v>
      </c>
      <c r="CN261" s="19">
        <v>9.1759244985107659E-3</v>
      </c>
      <c r="CP261" s="23">
        <f t="shared" si="7"/>
        <v>1.0000000000000087</v>
      </c>
    </row>
    <row r="262" spans="1:94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 t="str">
        <v>44.Delay in getting NOCs from different government authorities</v>
      </c>
      <c r="AW262" s="27">
        <v>-0.45556640805272969</v>
      </c>
      <c r="AX262" s="28">
        <v>5.620587506552837E-2</v>
      </c>
      <c r="AY262" s="28">
        <v>-0.42766485106695912</v>
      </c>
      <c r="AZ262" s="20">
        <v>-0.42788533174660726</v>
      </c>
      <c r="BA262" s="20">
        <v>6.9473085570932111E-2</v>
      </c>
      <c r="BB262" s="20">
        <v>-0.10377698174710737</v>
      </c>
      <c r="BC262" s="20">
        <v>-0.27020616863798497</v>
      </c>
      <c r="BD262" s="20">
        <v>-4.6521085927721265E-2</v>
      </c>
      <c r="BE262" s="20">
        <v>0.13205261690842854</v>
      </c>
      <c r="BF262" s="20">
        <v>0.1498815055126593</v>
      </c>
      <c r="BG262" s="20">
        <v>-0.13633688336435867</v>
      </c>
      <c r="BH262" s="20">
        <v>0.12367320588257448</v>
      </c>
      <c r="BI262" s="20">
        <v>-7.6877936921989867E-2</v>
      </c>
      <c r="BJ262" s="20">
        <v>-8.8362127301198107E-2</v>
      </c>
      <c r="BK262" s="20">
        <v>-2.7608065749452352E-2</v>
      </c>
      <c r="BL262" s="20">
        <v>7.0197135856506179E-2</v>
      </c>
      <c r="BM262" s="20">
        <v>0.28800254479520548</v>
      </c>
      <c r="BN262" s="20">
        <v>0.21652261518052865</v>
      </c>
      <c r="BO262" s="20">
        <v>0.1440809002147562</v>
      </c>
      <c r="BP262" s="20">
        <v>-9.2910810823515544E-2</v>
      </c>
      <c r="BQ262" s="20">
        <v>4.5547975548879863E-2</v>
      </c>
      <c r="BR262" s="20">
        <v>0.10727325003137872</v>
      </c>
      <c r="BS262" s="20">
        <v>-8.860318179283902E-2</v>
      </c>
      <c r="BT262" s="20">
        <v>9.2612393181621316E-2</v>
      </c>
      <c r="BU262" s="20">
        <v>-1.7015758498139837E-2</v>
      </c>
      <c r="BV262" s="20">
        <v>1.9530963409345764E-2</v>
      </c>
      <c r="BW262" s="20">
        <v>5.4979568370214886E-2</v>
      </c>
      <c r="BX262" s="20">
        <v>-7.1366896482584451E-3</v>
      </c>
      <c r="BY262" s="20">
        <v>3.0649668562495767E-2</v>
      </c>
      <c r="BZ262" s="20">
        <v>-4.7706741450696472E-3</v>
      </c>
      <c r="CA262" s="20">
        <v>-0.14501459041748696</v>
      </c>
      <c r="CB262" s="20">
        <v>-5.9383884638465216E-2</v>
      </c>
      <c r="CC262" s="20">
        <v>-2.0069798260351157E-2</v>
      </c>
      <c r="CD262" s="20">
        <v>-8.6029493198865228E-2</v>
      </c>
      <c r="CE262" s="20">
        <v>2.8408062581407219E-3</v>
      </c>
      <c r="CF262" s="20">
        <v>-6.515630385208647E-2</v>
      </c>
      <c r="CG262" s="20">
        <v>5.6413097469101142E-2</v>
      </c>
      <c r="CH262" s="20">
        <v>2.4889598078365553E-2</v>
      </c>
      <c r="CI262" s="20">
        <v>3.6698687492014694E-2</v>
      </c>
      <c r="CJ262" s="20">
        <v>-5.586719751689391E-2</v>
      </c>
      <c r="CK262" s="20">
        <v>-5.6572580234740787E-3</v>
      </c>
      <c r="CL262" s="20">
        <v>2.0074014016297353E-2</v>
      </c>
      <c r="CM262" s="20">
        <v>3.0420068621219839E-3</v>
      </c>
      <c r="CN262" s="21">
        <v>-9.4520218438103876E-3</v>
      </c>
      <c r="CP262" s="24">
        <f t="shared" si="7"/>
        <v>1.0000000000000058</v>
      </c>
    </row>
    <row r="263" spans="1:94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94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 t="s">
        <v>201</v>
      </c>
      <c r="AW264" s="3"/>
      <c r="AX264" s="3"/>
      <c r="AY264" s="3"/>
    </row>
    <row r="265" spans="1:94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94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6" t="s">
        <v>202</v>
      </c>
      <c r="AX266" s="36" t="s">
        <v>203</v>
      </c>
      <c r="AY266" s="36" t="s">
        <v>204</v>
      </c>
    </row>
    <row r="267" spans="1:94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4">
        <f t="array" ref="AW267:AW310">TRANSPOSE(AW170:CN170)</f>
        <v>13.383033759894325</v>
      </c>
      <c r="AX267" s="37">
        <f>AW267/AW$311</f>
        <v>0.30415985817941649</v>
      </c>
      <c r="AY267" s="38">
        <f>AX267</f>
        <v>0.30415985817941649</v>
      </c>
    </row>
    <row r="268" spans="1:94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25">
        <v>4.1086932775634635</v>
      </c>
      <c r="AX268" s="39">
        <f t="shared" ref="AX268:AX310" si="8">AW268/AW$311</f>
        <v>9.3379392671896891E-2</v>
      </c>
      <c r="AY268" s="40">
        <f>AY267+AX268</f>
        <v>0.39753925085131336</v>
      </c>
    </row>
    <row r="269" spans="1:94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25">
        <v>2.8772258894369891</v>
      </c>
      <c r="AX269" s="39">
        <f t="shared" si="8"/>
        <v>6.5391497487204298E-2</v>
      </c>
      <c r="AY269" s="40">
        <f t="shared" ref="AY269:AY310" si="9">AY268+AX269</f>
        <v>0.46293074833851766</v>
      </c>
    </row>
    <row r="270" spans="1:94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25">
        <v>2.5247540885382866</v>
      </c>
      <c r="AX270" s="39">
        <f t="shared" si="8"/>
        <v>5.7380774739506514E-2</v>
      </c>
      <c r="AY270" s="40">
        <f t="shared" si="9"/>
        <v>0.5203115230780242</v>
      </c>
    </row>
    <row r="271" spans="1:94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25">
        <v>1.929701001007005</v>
      </c>
      <c r="AX271" s="39">
        <f t="shared" si="8"/>
        <v>4.3856840931977385E-2</v>
      </c>
      <c r="AY271" s="40">
        <f t="shared" si="9"/>
        <v>0.56416836401000159</v>
      </c>
    </row>
    <row r="272" spans="1:94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25">
        <v>1.6282218229654424</v>
      </c>
      <c r="AX272" s="39">
        <f t="shared" si="8"/>
        <v>3.7005041431032781E-2</v>
      </c>
      <c r="AY272" s="40">
        <f t="shared" si="9"/>
        <v>0.60117340544103437</v>
      </c>
    </row>
    <row r="273" spans="1:5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25">
        <v>1.4758366267872698</v>
      </c>
      <c r="AX273" s="39">
        <f t="shared" si="8"/>
        <v>3.3541741517892493E-2</v>
      </c>
      <c r="AY273" s="40">
        <f t="shared" si="9"/>
        <v>0.63471514695892683</v>
      </c>
    </row>
    <row r="274" spans="1:5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25">
        <v>1.4076918031914389</v>
      </c>
      <c r="AX274" s="39">
        <f t="shared" si="8"/>
        <v>3.1992995527078155E-2</v>
      </c>
      <c r="AY274" s="40">
        <f t="shared" si="9"/>
        <v>0.66670814248600496</v>
      </c>
    </row>
    <row r="275" spans="1:5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25">
        <v>1.3206899960175276</v>
      </c>
      <c r="AX275" s="39">
        <f t="shared" si="8"/>
        <v>3.0015681727671082E-2</v>
      </c>
      <c r="AY275" s="40">
        <f t="shared" si="9"/>
        <v>0.69672382421367607</v>
      </c>
    </row>
    <row r="276" spans="1:5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25">
        <v>1.199030422067245</v>
      </c>
      <c r="AX276" s="39">
        <f t="shared" si="8"/>
        <v>2.7250691410619202E-2</v>
      </c>
      <c r="AY276" s="40">
        <f t="shared" si="9"/>
        <v>0.72397451562429527</v>
      </c>
    </row>
    <row r="277" spans="1:5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25">
        <v>1.1541647871990708</v>
      </c>
      <c r="AX277" s="39">
        <f t="shared" si="8"/>
        <v>2.6231017890887973E-2</v>
      </c>
      <c r="AY277" s="40">
        <f t="shared" si="9"/>
        <v>0.75020553351518326</v>
      </c>
    </row>
    <row r="278" spans="1:5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25">
        <v>0.98945075737507548</v>
      </c>
      <c r="AX278" s="39">
        <f t="shared" si="8"/>
        <v>2.2487517213069897E-2</v>
      </c>
      <c r="AY278" s="40">
        <f t="shared" si="9"/>
        <v>0.77269305072825312</v>
      </c>
    </row>
    <row r="279" spans="1:5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25">
        <v>0.95985613579939499</v>
      </c>
      <c r="AX279" s="39">
        <f t="shared" si="8"/>
        <v>2.1814912177258977E-2</v>
      </c>
      <c r="AY279" s="40">
        <f t="shared" si="9"/>
        <v>0.79450796290551207</v>
      </c>
    </row>
    <row r="280" spans="1:5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25">
        <v>0.85509605929781618</v>
      </c>
      <c r="AX280" s="39">
        <f t="shared" si="8"/>
        <v>1.943400134767764E-2</v>
      </c>
      <c r="AY280" s="40">
        <f t="shared" si="9"/>
        <v>0.81394196425318965</v>
      </c>
    </row>
    <row r="281" spans="1:5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25">
        <v>0.7714465089064817</v>
      </c>
      <c r="AX281" s="39">
        <f t="shared" si="8"/>
        <v>1.7532875202420039E-2</v>
      </c>
      <c r="AY281" s="40">
        <f t="shared" si="9"/>
        <v>0.83147483945560974</v>
      </c>
    </row>
    <row r="282" spans="1:5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25">
        <v>0.71583412088056519</v>
      </c>
      <c r="AX282" s="39">
        <f t="shared" si="8"/>
        <v>1.6268957292740117E-2</v>
      </c>
      <c r="AY282" s="40">
        <f t="shared" si="9"/>
        <v>0.84774379674834988</v>
      </c>
    </row>
    <row r="283" spans="1:5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25">
        <v>0.64566516310734545</v>
      </c>
      <c r="AX283" s="39">
        <f t="shared" si="8"/>
        <v>1.4674208252439669E-2</v>
      </c>
      <c r="AY283" s="40">
        <f t="shared" si="9"/>
        <v>0.86241800500078958</v>
      </c>
    </row>
    <row r="284" spans="1:5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25">
        <v>0.59976498894437968</v>
      </c>
      <c r="AX284" s="39">
        <f t="shared" si="8"/>
        <v>1.363102247600863E-2</v>
      </c>
      <c r="AY284" s="40">
        <f t="shared" si="9"/>
        <v>0.87604902747679825</v>
      </c>
    </row>
    <row r="285" spans="1:5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25">
        <v>0.53379389972488522</v>
      </c>
      <c r="AX285" s="39">
        <f t="shared" si="8"/>
        <v>1.2131679539201938E-2</v>
      </c>
      <c r="AY285" s="40">
        <f t="shared" si="9"/>
        <v>0.88818070701600016</v>
      </c>
    </row>
    <row r="286" spans="1:5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25">
        <v>0.49038469759668846</v>
      </c>
      <c r="AX286" s="39">
        <f t="shared" si="8"/>
        <v>1.1145106763561102E-2</v>
      </c>
      <c r="AY286" s="40">
        <f t="shared" si="9"/>
        <v>0.89932581377956122</v>
      </c>
    </row>
    <row r="287" spans="1:5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25">
        <v>0.46455296427136628</v>
      </c>
      <c r="AX287" s="39">
        <f t="shared" si="8"/>
        <v>1.0558021915258325E-2</v>
      </c>
      <c r="AY287" s="40">
        <f t="shared" si="9"/>
        <v>0.90988383569481956</v>
      </c>
    </row>
    <row r="288" spans="1:5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25">
        <v>0.41782759959289845</v>
      </c>
      <c r="AX288" s="39">
        <f t="shared" si="8"/>
        <v>9.4960818089295101E-3</v>
      </c>
      <c r="AY288" s="40">
        <f t="shared" si="9"/>
        <v>0.91937991750374903</v>
      </c>
    </row>
    <row r="289" spans="1:5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25">
        <v>0.34032519454704274</v>
      </c>
      <c r="AX289" s="39">
        <f t="shared" si="8"/>
        <v>7.7346635124327899E-3</v>
      </c>
      <c r="AY289" s="40">
        <f t="shared" si="9"/>
        <v>0.92711458101618183</v>
      </c>
    </row>
    <row r="290" spans="1:5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25">
        <v>0.30876408959903084</v>
      </c>
      <c r="AX290" s="39">
        <f t="shared" si="8"/>
        <v>7.0173656727052468E-3</v>
      </c>
      <c r="AY290" s="40">
        <f t="shared" si="9"/>
        <v>0.9341319466888871</v>
      </c>
    </row>
    <row r="291" spans="1:5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25">
        <v>0.29280630488301135</v>
      </c>
      <c r="AX291" s="39">
        <f t="shared" si="8"/>
        <v>6.654688747341167E-3</v>
      </c>
      <c r="AY291" s="40">
        <f t="shared" si="9"/>
        <v>0.94078663543622831</v>
      </c>
    </row>
    <row r="292" spans="1:5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25">
        <v>0.2772953063069386</v>
      </c>
      <c r="AX292" s="39">
        <f t="shared" si="8"/>
        <v>6.3021660524304225E-3</v>
      </c>
      <c r="AY292" s="40">
        <f t="shared" si="9"/>
        <v>0.9470888014886587</v>
      </c>
    </row>
    <row r="293" spans="1:5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25">
        <v>0.26513248409811718</v>
      </c>
      <c r="AX293" s="39">
        <f t="shared" si="8"/>
        <v>6.025738274957209E-3</v>
      </c>
      <c r="AY293" s="40">
        <f t="shared" si="9"/>
        <v>0.95311453976361593</v>
      </c>
    </row>
    <row r="294" spans="1:5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25">
        <v>0.2283653125796693</v>
      </c>
      <c r="AX294" s="39">
        <f t="shared" si="8"/>
        <v>5.1901207404470295E-3</v>
      </c>
      <c r="AY294" s="40">
        <f t="shared" si="9"/>
        <v>0.95830466050406293</v>
      </c>
    </row>
    <row r="295" spans="1:5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25">
        <v>0.22108498073615895</v>
      </c>
      <c r="AX295" s="39">
        <f t="shared" si="8"/>
        <v>5.0246586530945216E-3</v>
      </c>
      <c r="AY295" s="40">
        <f t="shared" si="9"/>
        <v>0.96332931915715747</v>
      </c>
    </row>
    <row r="296" spans="1:5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25">
        <v>0.18205167576836781</v>
      </c>
      <c r="AX296" s="39">
        <f t="shared" si="8"/>
        <v>4.1375380856447227E-3</v>
      </c>
      <c r="AY296" s="40">
        <f t="shared" si="9"/>
        <v>0.96746685724280224</v>
      </c>
    </row>
    <row r="297" spans="1:5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25">
        <v>0.18080652214398227</v>
      </c>
      <c r="AX297" s="39">
        <f t="shared" si="8"/>
        <v>4.1092391396359606E-3</v>
      </c>
      <c r="AY297" s="40">
        <f t="shared" si="9"/>
        <v>0.97157609638243825</v>
      </c>
    </row>
    <row r="298" spans="1:5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25">
        <v>0.17100730447262052</v>
      </c>
      <c r="AX298" s="39">
        <f t="shared" si="8"/>
        <v>3.886529647105012E-3</v>
      </c>
      <c r="AY298" s="40">
        <f t="shared" si="9"/>
        <v>0.97546262602954326</v>
      </c>
    </row>
    <row r="299" spans="1:5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25">
        <v>0.15330312361563084</v>
      </c>
      <c r="AX299" s="39">
        <f t="shared" si="8"/>
        <v>3.4841619003552465E-3</v>
      </c>
      <c r="AY299" s="40">
        <f t="shared" si="9"/>
        <v>0.97894678792989853</v>
      </c>
    </row>
    <row r="300" spans="1:5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25">
        <v>0.14291631146388548</v>
      </c>
      <c r="AX300" s="39">
        <f t="shared" si="8"/>
        <v>3.248097987815579E-3</v>
      </c>
      <c r="AY300" s="40">
        <f t="shared" si="9"/>
        <v>0.98219488591771409</v>
      </c>
    </row>
    <row r="301" spans="1:5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25">
        <v>0.12984604775648162</v>
      </c>
      <c r="AX301" s="39">
        <f t="shared" si="8"/>
        <v>2.9510465399200368E-3</v>
      </c>
      <c r="AY301" s="40">
        <f t="shared" si="9"/>
        <v>0.98514593245763415</v>
      </c>
    </row>
    <row r="302" spans="1:5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25">
        <v>0.10592198760199421</v>
      </c>
      <c r="AX302" s="39">
        <f t="shared" si="8"/>
        <v>2.407317900045323E-3</v>
      </c>
      <c r="AY302" s="40">
        <f t="shared" si="9"/>
        <v>0.98755325035767949</v>
      </c>
    </row>
    <row r="303" spans="1:5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25">
        <v>9.8106061641290682E-2</v>
      </c>
      <c r="AX303" s="39">
        <f t="shared" si="8"/>
        <v>2.2296832191202429E-3</v>
      </c>
      <c r="AY303" s="40">
        <f t="shared" si="9"/>
        <v>0.98978293357679969</v>
      </c>
    </row>
    <row r="304" spans="1:5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25">
        <v>8.7891705685530425E-2</v>
      </c>
      <c r="AX304" s="39">
        <f t="shared" si="8"/>
        <v>1.9975387655802369E-3</v>
      </c>
      <c r="AY304" s="40">
        <f t="shared" si="9"/>
        <v>0.99178047234237998</v>
      </c>
    </row>
    <row r="305" spans="1:62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25">
        <v>8.4075734661547871E-2</v>
      </c>
      <c r="AX305" s="39">
        <f t="shared" si="8"/>
        <v>1.9108121513988152E-3</v>
      </c>
      <c r="AY305" s="40">
        <f t="shared" si="9"/>
        <v>0.99369128449377875</v>
      </c>
    </row>
    <row r="306" spans="1:62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25">
        <v>7.9156387248782059E-2</v>
      </c>
      <c r="AX306" s="39">
        <f t="shared" si="8"/>
        <v>1.7990088011086832E-3</v>
      </c>
      <c r="AY306" s="40">
        <f t="shared" si="9"/>
        <v>0.99549029329488747</v>
      </c>
    </row>
    <row r="307" spans="1:62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25">
        <v>6.2986522535111514E-2</v>
      </c>
      <c r="AX307" s="39">
        <f t="shared" si="8"/>
        <v>1.4315118757979889E-3</v>
      </c>
      <c r="AY307" s="40">
        <f t="shared" si="9"/>
        <v>0.99692180517068552</v>
      </c>
    </row>
    <row r="308" spans="1:62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25">
        <v>6.0150984472127488E-2</v>
      </c>
      <c r="AX308" s="39">
        <f t="shared" si="8"/>
        <v>1.3670678289119883E-3</v>
      </c>
      <c r="AY308" s="40">
        <f t="shared" si="9"/>
        <v>0.99828887299959745</v>
      </c>
    </row>
    <row r="309" spans="1:62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25">
        <v>4.171467706296933E-2</v>
      </c>
      <c r="AX309" s="39">
        <f t="shared" si="8"/>
        <v>9.4806084234021204E-4</v>
      </c>
      <c r="AY309" s="40">
        <f t="shared" si="9"/>
        <v>0.99923693384193768</v>
      </c>
    </row>
    <row r="310" spans="1:62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27">
        <v>3.3574910954760562E-2</v>
      </c>
      <c r="AX310" s="41">
        <f t="shared" si="8"/>
        <v>7.6306615806274005E-4</v>
      </c>
      <c r="AY310" s="42">
        <f t="shared" si="9"/>
        <v>1.0000000000000004</v>
      </c>
    </row>
    <row r="311" spans="1:62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>
        <f>SUM(AW267:AW310)</f>
        <v>44</v>
      </c>
      <c r="AX311" s="3"/>
      <c r="AY311" s="3"/>
    </row>
    <row r="312" spans="1:62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62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 t="s">
        <v>205</v>
      </c>
      <c r="AW313" s="3"/>
      <c r="AX313" s="3"/>
      <c r="AY313" s="3"/>
    </row>
    <row r="314" spans="1:62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62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>
        <v>1</v>
      </c>
      <c r="AX315" s="3">
        <f>AW315+1</f>
        <v>2</v>
      </c>
      <c r="AY315" s="3">
        <f t="shared" ref="AY315:BG315" si="10">AX315+1</f>
        <v>3</v>
      </c>
      <c r="AZ315" s="3">
        <f t="shared" si="10"/>
        <v>4</v>
      </c>
      <c r="BA315" s="3">
        <f t="shared" si="10"/>
        <v>5</v>
      </c>
      <c r="BB315" s="3">
        <f t="shared" si="10"/>
        <v>6</v>
      </c>
      <c r="BC315" s="3">
        <f t="shared" si="10"/>
        <v>7</v>
      </c>
      <c r="BD315" s="3">
        <f t="shared" si="10"/>
        <v>8</v>
      </c>
      <c r="BE315" s="3">
        <f t="shared" si="10"/>
        <v>9</v>
      </c>
      <c r="BF315" s="3">
        <f t="shared" si="10"/>
        <v>10</v>
      </c>
      <c r="BG315" s="3">
        <f t="shared" si="10"/>
        <v>11</v>
      </c>
      <c r="BI315" t="s">
        <v>200</v>
      </c>
      <c r="BJ315" t="s">
        <v>206</v>
      </c>
    </row>
    <row r="316" spans="1:62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 t="str">
        <f t="array" ref="AV316:AV359">TRANSPOSE(B1:AS1)</f>
        <v>1.Delay in delivering material to construction site</v>
      </c>
      <c r="AW316" s="34">
        <f t="array" ref="AW316:BG359">AW219:BG262</f>
        <v>-0.53217159612506948</v>
      </c>
      <c r="AX316" s="35">
        <v>-0.44320103566050928</v>
      </c>
      <c r="AY316" s="35">
        <v>-0.24997576541566535</v>
      </c>
      <c r="AZ316" s="16">
        <v>-0.2573595092755479</v>
      </c>
      <c r="BA316" s="16">
        <v>-0.23346395110073509</v>
      </c>
      <c r="BB316" s="16">
        <v>-5.6089354937998839E-2</v>
      </c>
      <c r="BC316" s="16">
        <v>-7.2180205222874994E-2</v>
      </c>
      <c r="BD316" s="16">
        <v>-2.1537117605505491E-2</v>
      </c>
      <c r="BE316" s="16">
        <v>-3.0328675219172135E-2</v>
      </c>
      <c r="BF316" s="16">
        <v>-0.1391309486140225</v>
      </c>
      <c r="BG316" s="17">
        <v>-0.152891805408301</v>
      </c>
      <c r="BI316" s="22">
        <f>SUMSQ(AW316:BG316)</f>
        <v>0.71533398126804526</v>
      </c>
      <c r="BJ316" s="22">
        <f>1-BI316</f>
        <v>0.28466601873195474</v>
      </c>
    </row>
    <row r="317" spans="1:62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 t="str">
        <v>2.Monopoly of material by some suppliers</v>
      </c>
      <c r="AW317" s="25">
        <v>-0.44005696285922064</v>
      </c>
      <c r="AX317" s="26">
        <v>-0.42624981499123238</v>
      </c>
      <c r="AY317" s="26">
        <v>-2.4067745359227417E-2</v>
      </c>
      <c r="AZ317" s="18">
        <v>-0.4205237987187278</v>
      </c>
      <c r="BA317" s="18">
        <v>-0.35217414089020571</v>
      </c>
      <c r="BB317" s="18">
        <v>0.19858658185737099</v>
      </c>
      <c r="BC317" s="18">
        <v>-6.9548402272280582E-2</v>
      </c>
      <c r="BD317" s="18">
        <v>0.13521525004647911</v>
      </c>
      <c r="BE317" s="18">
        <v>-4.1390401556016004E-2</v>
      </c>
      <c r="BF317" s="18">
        <v>-4.4214259264707817E-2</v>
      </c>
      <c r="BG317" s="19">
        <v>-0.17926378258127998</v>
      </c>
      <c r="BI317" s="23">
        <f t="shared" ref="BI317:BI359" si="11">SUMSQ(AW317:BG317)</f>
        <v>0.7751455269143982</v>
      </c>
      <c r="BJ317" s="23">
        <f t="shared" ref="BJ317:BJ359" si="12">1-BI317</f>
        <v>0.2248544730856018</v>
      </c>
    </row>
    <row r="318" spans="1:62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 t="str">
        <v>3.Prices fluctuation</v>
      </c>
      <c r="AW318" s="25">
        <v>-0.36913145413116244</v>
      </c>
      <c r="AX318" s="26">
        <v>-0.36784226640767231</v>
      </c>
      <c r="AY318" s="26">
        <v>9.4644501962652186E-2</v>
      </c>
      <c r="AZ318" s="18">
        <v>0.18710457134424824</v>
      </c>
      <c r="BA318" s="18">
        <v>-0.14466061941692282</v>
      </c>
      <c r="BB318" s="18">
        <v>0.15996847841122525</v>
      </c>
      <c r="BC318" s="18">
        <v>-1.4042777802573864E-2</v>
      </c>
      <c r="BD318" s="18">
        <v>0.14880913226298187</v>
      </c>
      <c r="BE318" s="18">
        <v>-0.56725225033832605</v>
      </c>
      <c r="BF318" s="18">
        <v>4.4850968720355371E-2</v>
      </c>
      <c r="BG318" s="19">
        <v>0.1484045443874738</v>
      </c>
      <c r="BI318" s="23">
        <f t="shared" si="11"/>
        <v>0.73020026580706032</v>
      </c>
      <c r="BJ318" s="23">
        <f t="shared" si="12"/>
        <v>0.26979973419293968</v>
      </c>
    </row>
    <row r="319" spans="1:62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 t="str">
        <v>4.Types of material availability at local market</v>
      </c>
      <c r="AW319" s="25">
        <v>-0.61356277224307221</v>
      </c>
      <c r="AX319" s="26">
        <v>-0.42595760760647217</v>
      </c>
      <c r="AY319" s="26">
        <v>-8.2848374933357186E-2</v>
      </c>
      <c r="AZ319" s="18">
        <v>-0.18179106949792403</v>
      </c>
      <c r="BA319" s="18">
        <v>-0.2122398401595621</v>
      </c>
      <c r="BB319" s="18">
        <v>-1.526601075999218E-2</v>
      </c>
      <c r="BC319" s="18">
        <v>-3.8557351269925613E-2</v>
      </c>
      <c r="BD319" s="18">
        <v>5.3466978477183541E-2</v>
      </c>
      <c r="BE319" s="18">
        <v>-0.31278218271552372</v>
      </c>
      <c r="BF319" s="18">
        <v>-0.12815119026025623</v>
      </c>
      <c r="BG319" s="19">
        <v>0.10228936725885765</v>
      </c>
      <c r="BI319" s="23">
        <f t="shared" si="11"/>
        <v>0.77215372914226832</v>
      </c>
      <c r="BJ319" s="23">
        <f t="shared" si="12"/>
        <v>0.22784627085773168</v>
      </c>
    </row>
    <row r="320" spans="1:62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 t="str">
        <v>5.Lack of consultant’s knowledge of available materials</v>
      </c>
      <c r="AW320" s="25">
        <v>-0.71076879907662804</v>
      </c>
      <c r="AX320" s="26">
        <v>-0.10440795642479647</v>
      </c>
      <c r="AY320" s="26">
        <v>0.14066696641860801</v>
      </c>
      <c r="AZ320" s="18">
        <v>6.8119135237798098E-2</v>
      </c>
      <c r="BA320" s="18">
        <v>-0.24470539331871913</v>
      </c>
      <c r="BB320" s="18">
        <v>-1.6067057964129664E-2</v>
      </c>
      <c r="BC320" s="18">
        <v>-0.12559095363983094</v>
      </c>
      <c r="BD320" s="18">
        <v>0.16311750672677564</v>
      </c>
      <c r="BE320" s="18">
        <v>-0.12143561850825604</v>
      </c>
      <c r="BF320" s="18">
        <v>-2.6241957365910621E-2</v>
      </c>
      <c r="BG320" s="19">
        <v>4.9726061716421167E-2</v>
      </c>
      <c r="BI320" s="23">
        <f t="shared" si="11"/>
        <v>0.66094793862310952</v>
      </c>
      <c r="BJ320" s="23">
        <f t="shared" si="12"/>
        <v>0.33905206137689048</v>
      </c>
    </row>
    <row r="321" spans="1:62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 t="str">
        <v>6.Low productivity</v>
      </c>
      <c r="AW321" s="25">
        <v>-0.68042510045733295</v>
      </c>
      <c r="AX321" s="26">
        <v>-0.45598592118851178</v>
      </c>
      <c r="AY321" s="26">
        <v>-2.4016333113147419E-2</v>
      </c>
      <c r="AZ321" s="18">
        <v>0.13596013941432597</v>
      </c>
      <c r="BA321" s="18">
        <v>0.23073747342891149</v>
      </c>
      <c r="BB321" s="18">
        <v>0.10346639143985915</v>
      </c>
      <c r="BC321" s="18">
        <v>4.5212459569649276E-2</v>
      </c>
      <c r="BD321" s="18">
        <v>8.4382504023152491E-2</v>
      </c>
      <c r="BE321" s="18">
        <v>0.10579540852354007</v>
      </c>
      <c r="BF321" s="18">
        <v>-6.0814472529591025E-2</v>
      </c>
      <c r="BG321" s="19">
        <v>-1.345995013467805E-2</v>
      </c>
      <c r="BI321" s="23">
        <f t="shared" si="11"/>
        <v>0.77814530949911331</v>
      </c>
      <c r="BJ321" s="23">
        <f t="shared" si="12"/>
        <v>0.22185469050088669</v>
      </c>
    </row>
    <row r="322" spans="1:62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 t="str">
        <v>7.Poor work execution</v>
      </c>
      <c r="AW322" s="25">
        <v>-0.75892455011169258</v>
      </c>
      <c r="AX322" s="26">
        <v>-0.37634146905022436</v>
      </c>
      <c r="AY322" s="26">
        <v>-6.6724017400595859E-2</v>
      </c>
      <c r="AZ322" s="18">
        <v>5.4096488477735627E-2</v>
      </c>
      <c r="BA322" s="18">
        <v>0.1559082859950886</v>
      </c>
      <c r="BB322" s="18">
        <v>0.16078203514306746</v>
      </c>
      <c r="BC322" s="18">
        <v>-2.9872231217585886E-2</v>
      </c>
      <c r="BD322" s="18">
        <v>-8.2830108905267916E-3</v>
      </c>
      <c r="BE322" s="18">
        <v>-1.0638340999047138E-2</v>
      </c>
      <c r="BF322" s="18">
        <v>-0.13386335913760097</v>
      </c>
      <c r="BG322" s="19">
        <v>6.4148202731298079E-2</v>
      </c>
      <c r="BI322" s="23">
        <f t="shared" si="11"/>
        <v>0.79824467871928528</v>
      </c>
      <c r="BJ322" s="23">
        <f t="shared" si="12"/>
        <v>0.20175532128071472</v>
      </c>
    </row>
    <row r="323" spans="1:62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 t="str">
        <v>8.Shortage of laborers</v>
      </c>
      <c r="AW323" s="25">
        <v>-0.68055991683771044</v>
      </c>
      <c r="AX323" s="26">
        <v>-0.37303418982893394</v>
      </c>
      <c r="AY323" s="26">
        <v>-0.22943777650793584</v>
      </c>
      <c r="AZ323" s="18">
        <v>7.8652013826429987E-2</v>
      </c>
      <c r="BA323" s="18">
        <v>1.7308453551062749E-2</v>
      </c>
      <c r="BB323" s="18">
        <v>-0.11429650058639414</v>
      </c>
      <c r="BC323" s="18">
        <v>8.6212474681083423E-2</v>
      </c>
      <c r="BD323" s="18">
        <v>0.19391680606364312</v>
      </c>
      <c r="BE323" s="18">
        <v>0.17944812718859829</v>
      </c>
      <c r="BF323" s="18">
        <v>2.6905043331972387E-2</v>
      </c>
      <c r="BG323" s="19">
        <v>0.1094795083956713</v>
      </c>
      <c r="BI323" s="23">
        <f t="shared" si="11"/>
        <v>0.76445500529727339</v>
      </c>
      <c r="BJ323" s="23">
        <f t="shared" si="12"/>
        <v>0.23554499470272661</v>
      </c>
    </row>
    <row r="324" spans="1:62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 t="str">
        <v>9.Mistakes happens during construction phase</v>
      </c>
      <c r="AW324" s="25">
        <v>-0.70856777607009835</v>
      </c>
      <c r="AX324" s="26">
        <v>-0.36948672403402499</v>
      </c>
      <c r="AY324" s="26">
        <v>0.18216587304020249</v>
      </c>
      <c r="AZ324" s="18">
        <v>0.26588886722516819</v>
      </c>
      <c r="BA324" s="18">
        <v>0.15605741042407736</v>
      </c>
      <c r="BB324" s="18">
        <v>-4.0176746897093399E-2</v>
      </c>
      <c r="BC324" s="18">
        <v>-2.1546639740355811E-2</v>
      </c>
      <c r="BD324" s="18">
        <v>9.9835144674367174E-2</v>
      </c>
      <c r="BE324" s="18">
        <v>8.6035295990902094E-2</v>
      </c>
      <c r="BF324" s="18">
        <v>-3.5757257249837429E-2</v>
      </c>
      <c r="BG324" s="19">
        <v>-0.11121069338928405</v>
      </c>
      <c r="BI324" s="23">
        <f t="shared" si="11"/>
        <v>0.79991789959925619</v>
      </c>
      <c r="BJ324" s="23">
        <f t="shared" si="12"/>
        <v>0.20008210040074381</v>
      </c>
    </row>
    <row r="325" spans="1:62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 t="str">
        <v>10.Unavailability of equipment</v>
      </c>
      <c r="AW325" s="25">
        <v>-0.69577894126729967</v>
      </c>
      <c r="AX325" s="26">
        <v>-0.17290020994311167</v>
      </c>
      <c r="AY325" s="26">
        <v>-0.26211970209548391</v>
      </c>
      <c r="AZ325" s="18">
        <v>9.0449368306834386E-3</v>
      </c>
      <c r="BA325" s="18">
        <v>5.0482910887203518E-2</v>
      </c>
      <c r="BB325" s="18">
        <v>-0.12467587978033452</v>
      </c>
      <c r="BC325" s="18">
        <v>0.29149982941836711</v>
      </c>
      <c r="BD325" s="18">
        <v>0.14838441275228434</v>
      </c>
      <c r="BE325" s="18">
        <v>1.5588175533958595E-2</v>
      </c>
      <c r="BF325" s="18">
        <v>-6.6049623121860787E-2</v>
      </c>
      <c r="BG325" s="19">
        <v>-0.22912075790947173</v>
      </c>
      <c r="BI325" s="23">
        <f t="shared" si="11"/>
        <v>0.76497591624376415</v>
      </c>
      <c r="BJ325" s="23">
        <f t="shared" si="12"/>
        <v>0.23502408375623585</v>
      </c>
    </row>
    <row r="326" spans="1:62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 t="str">
        <v>11.Lack of engineering experience</v>
      </c>
      <c r="AW326" s="25">
        <v>-0.72405651990119901</v>
      </c>
      <c r="AX326" s="26">
        <v>-0.35821445369019955</v>
      </c>
      <c r="AY326" s="26">
        <v>7.724712856726712E-2</v>
      </c>
      <c r="AZ326" s="18">
        <v>-4.6737360438990058E-2</v>
      </c>
      <c r="BA326" s="18">
        <v>0.20342635725297684</v>
      </c>
      <c r="BB326" s="18">
        <v>0.21001468706278981</v>
      </c>
      <c r="BC326" s="18">
        <v>0.18022008814293822</v>
      </c>
      <c r="BD326" s="18">
        <v>4.007261151794031E-2</v>
      </c>
      <c r="BE326" s="18">
        <v>5.6500561165824338E-2</v>
      </c>
      <c r="BF326" s="18">
        <v>0.17088583956459485</v>
      </c>
      <c r="BG326" s="19">
        <v>0.13013982231597188</v>
      </c>
      <c r="BI326" s="23">
        <f t="shared" si="11"/>
        <v>0.82963114147629102</v>
      </c>
      <c r="BJ326" s="23">
        <f t="shared" si="12"/>
        <v>0.17036885852370898</v>
      </c>
    </row>
    <row r="327" spans="1:62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 t="str">
        <v>12.Construction cost underestimation</v>
      </c>
      <c r="AW327" s="25">
        <v>-0.72032249828291506</v>
      </c>
      <c r="AX327" s="26">
        <v>-0.27455062056924467</v>
      </c>
      <c r="AY327" s="26">
        <v>8.6271411759147737E-2</v>
      </c>
      <c r="AZ327" s="18">
        <v>0.3594072464376365</v>
      </c>
      <c r="BA327" s="18">
        <v>0.12465285791669939</v>
      </c>
      <c r="BB327" s="18">
        <v>-2.3076447914363224E-2</v>
      </c>
      <c r="BC327" s="18">
        <v>4.8352863929131788E-2</v>
      </c>
      <c r="BD327" s="18">
        <v>-3.1729145612366859E-2</v>
      </c>
      <c r="BE327" s="18">
        <v>0.12821907961010684</v>
      </c>
      <c r="BF327" s="18">
        <v>0.24389709340798207</v>
      </c>
      <c r="BG327" s="19">
        <v>3.9518137490590292E-2</v>
      </c>
      <c r="BI327" s="23">
        <f t="shared" si="11"/>
        <v>0.82776207337253305</v>
      </c>
      <c r="BJ327" s="23">
        <f t="shared" si="12"/>
        <v>0.17223792662746695</v>
      </c>
    </row>
    <row r="328" spans="1:62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 t="str">
        <v>13.Poor site management</v>
      </c>
      <c r="AW328" s="25">
        <v>-0.70708720540225434</v>
      </c>
      <c r="AX328" s="26">
        <v>-0.23640009854036326</v>
      </c>
      <c r="AY328" s="26">
        <v>4.6125582652537529E-2</v>
      </c>
      <c r="AZ328" s="18">
        <v>0.17035450265406998</v>
      </c>
      <c r="BA328" s="18">
        <v>0.21329243772613737</v>
      </c>
      <c r="BB328" s="18">
        <v>0.23321045640011157</v>
      </c>
      <c r="BC328" s="18">
        <v>7.1675696267580226E-3</v>
      </c>
      <c r="BD328" s="18">
        <v>-1.8065124598869136E-3</v>
      </c>
      <c r="BE328" s="18">
        <v>6.7963784507116431E-2</v>
      </c>
      <c r="BF328" s="18">
        <v>0.18128862168107338</v>
      </c>
      <c r="BG328" s="19">
        <v>0.23123327223104864</v>
      </c>
      <c r="BI328" s="23">
        <f t="shared" si="11"/>
        <v>0.77789443363237498</v>
      </c>
      <c r="BJ328" s="23">
        <f t="shared" si="12"/>
        <v>0.22210556636762502</v>
      </c>
    </row>
    <row r="329" spans="1:62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 t="str">
        <v>14.Delayed payment for completed work</v>
      </c>
      <c r="AW329" s="25">
        <v>-0.34151869833724718</v>
      </c>
      <c r="AX329" s="26">
        <v>0.39597877482097626</v>
      </c>
      <c r="AY329" s="26">
        <v>-0.53928915466571081</v>
      </c>
      <c r="AZ329" s="18">
        <v>-0.26314416219242198</v>
      </c>
      <c r="BA329" s="18">
        <v>-0.12377761286426153</v>
      </c>
      <c r="BB329" s="18">
        <v>0.24086886191799878</v>
      </c>
      <c r="BC329" s="18">
        <v>7.173025864239016E-2</v>
      </c>
      <c r="BD329" s="18">
        <v>0.14160692112355378</v>
      </c>
      <c r="BE329" s="18">
        <v>8.9353784477993581E-2</v>
      </c>
      <c r="BF329" s="18">
        <v>9.4224844177064435E-2</v>
      </c>
      <c r="BG329" s="19">
        <v>0.2058176546687687</v>
      </c>
      <c r="BI329" s="23">
        <f t="shared" si="11"/>
        <v>0.79127163709582549</v>
      </c>
      <c r="BJ329" s="23">
        <f t="shared" si="12"/>
        <v>0.20872836290417451</v>
      </c>
    </row>
    <row r="330" spans="1:62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 t="str">
        <v>15.Cash flow problem during construction</v>
      </c>
      <c r="AW330" s="25">
        <v>-0.44959928243634889</v>
      </c>
      <c r="AX330" s="26">
        <v>0.46566197115855174</v>
      </c>
      <c r="AY330" s="26">
        <v>-0.26063948713312918</v>
      </c>
      <c r="AZ330" s="18">
        <v>-0.33043568018765013</v>
      </c>
      <c r="BA330" s="18">
        <v>-4.4226333497316014E-2</v>
      </c>
      <c r="BB330" s="18">
        <v>0.35095479139551594</v>
      </c>
      <c r="BC330" s="18">
        <v>0.33406431664248504</v>
      </c>
      <c r="BD330" s="18">
        <v>8.2313578434506665E-2</v>
      </c>
      <c r="BE330" s="18">
        <v>-1.4617067577630623E-3</v>
      </c>
      <c r="BF330" s="18">
        <v>-9.56331191350034E-2</v>
      </c>
      <c r="BG330" s="19">
        <v>2.2661475795877066E-2</v>
      </c>
      <c r="BI330" s="23">
        <f t="shared" si="11"/>
        <v>0.84926236671861599</v>
      </c>
      <c r="BJ330" s="23">
        <f t="shared" si="12"/>
        <v>0.15073763328138401</v>
      </c>
    </row>
    <row r="331" spans="1:62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 t="str">
        <v>16.High rate of interest</v>
      </c>
      <c r="AW331" s="25">
        <v>-0.58329028788207238</v>
      </c>
      <c r="AX331" s="26">
        <v>0.34135979217899648</v>
      </c>
      <c r="AY331" s="26">
        <v>0.18863114496880448</v>
      </c>
      <c r="AZ331" s="18">
        <v>-8.8248593358608338E-2</v>
      </c>
      <c r="BA331" s="18">
        <v>-0.13747102656412249</v>
      </c>
      <c r="BB331" s="18">
        <v>3.1217266796991347E-3</v>
      </c>
      <c r="BC331" s="18">
        <v>0.35001623645223456</v>
      </c>
      <c r="BD331" s="18">
        <v>4.7433091351864978E-2</v>
      </c>
      <c r="BE331" s="18">
        <v>0.16963539298157956</v>
      </c>
      <c r="BF331" s="18">
        <v>0.2081655401292517</v>
      </c>
      <c r="BG331" s="19">
        <v>0.19602875478080903</v>
      </c>
      <c r="BI331" s="23">
        <f t="shared" si="11"/>
        <v>0.75432921434372369</v>
      </c>
      <c r="BJ331" s="23">
        <f t="shared" si="12"/>
        <v>0.24567078565627631</v>
      </c>
    </row>
    <row r="332" spans="1:62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 t="str">
        <v>17.Contractor’s financial difficulties</v>
      </c>
      <c r="AW332" s="25">
        <v>-0.34409801252149641</v>
      </c>
      <c r="AX332" s="26">
        <v>0.43444691350593945</v>
      </c>
      <c r="AY332" s="26">
        <v>-0.1528849001988411</v>
      </c>
      <c r="AZ332" s="18">
        <v>-0.37190690964150175</v>
      </c>
      <c r="BA332" s="18">
        <v>6.8493623401092385E-2</v>
      </c>
      <c r="BB332" s="18">
        <v>0.17760462148192921</v>
      </c>
      <c r="BC332" s="18">
        <v>0.43993896079350642</v>
      </c>
      <c r="BD332" s="18">
        <v>-6.8611159042667472E-2</v>
      </c>
      <c r="BE332" s="18">
        <v>-0.27408564488928222</v>
      </c>
      <c r="BF332" s="18">
        <v>-3.9140001245168456E-2</v>
      </c>
      <c r="BG332" s="19">
        <v>-2.78135444687829E-2</v>
      </c>
      <c r="BI332" s="23">
        <f t="shared" si="11"/>
        <v>0.78075313709934402</v>
      </c>
      <c r="BJ332" s="23">
        <f t="shared" si="12"/>
        <v>0.21924686290065598</v>
      </c>
    </row>
    <row r="333" spans="1:62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 t="str">
        <v>18.Increase in salaries of skilled laborers</v>
      </c>
      <c r="AW333" s="25">
        <v>-0.40214932374452311</v>
      </c>
      <c r="AX333" s="26">
        <v>3.3870871069750501E-2</v>
      </c>
      <c r="AY333" s="26">
        <v>-0.25442792605372733</v>
      </c>
      <c r="AZ333" s="18">
        <v>0.21191655774963872</v>
      </c>
      <c r="BA333" s="18">
        <v>-0.15743956400055062</v>
      </c>
      <c r="BB333" s="18">
        <v>-0.40454375595206549</v>
      </c>
      <c r="BC333" s="18">
        <v>0.13486996320154668</v>
      </c>
      <c r="BD333" s="18">
        <v>0.21664474609811485</v>
      </c>
      <c r="BE333" s="18">
        <v>-0.27756601243522677</v>
      </c>
      <c r="BF333" s="18">
        <v>0.27699160417764052</v>
      </c>
      <c r="BG333" s="19">
        <v>0.15550233102936251</v>
      </c>
      <c r="BI333" s="23">
        <f t="shared" si="11"/>
        <v>0.70402944627770947</v>
      </c>
      <c r="BJ333" s="23">
        <f t="shared" si="12"/>
        <v>0.29597055372229053</v>
      </c>
    </row>
    <row r="334" spans="1:62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 t="str">
        <v>19.Change design</v>
      </c>
      <c r="AW334" s="25">
        <v>-0.5815240895027507</v>
      </c>
      <c r="AX334" s="26">
        <v>0.12387936875920999</v>
      </c>
      <c r="AY334" s="26">
        <v>0.29706663640159053</v>
      </c>
      <c r="AZ334" s="18">
        <v>0.18091931350653162</v>
      </c>
      <c r="BA334" s="18">
        <v>-0.22320768854403542</v>
      </c>
      <c r="BB334" s="18">
        <v>0.3380017377372907</v>
      </c>
      <c r="BC334" s="18">
        <v>-0.23359938616134487</v>
      </c>
      <c r="BD334" s="18">
        <v>0.18839679240982007</v>
      </c>
      <c r="BE334" s="18">
        <v>0.22827896108465978</v>
      </c>
      <c r="BF334" s="18">
        <v>-6.4962875061714512E-2</v>
      </c>
      <c r="BG334" s="19">
        <v>6.0305940115409511E-2</v>
      </c>
      <c r="BI334" s="23">
        <f t="shared" si="11"/>
        <v>0.78859388630605742</v>
      </c>
      <c r="BJ334" s="23">
        <f t="shared" si="12"/>
        <v>0.21140611369394258</v>
      </c>
    </row>
    <row r="335" spans="1:62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 t="str">
        <v>20.Errors and omission in design</v>
      </c>
      <c r="AW335" s="25">
        <v>-0.53827914783113917</v>
      </c>
      <c r="AX335" s="26">
        <v>0.33579546250241271</v>
      </c>
      <c r="AY335" s="26">
        <v>0.45262562450388633</v>
      </c>
      <c r="AZ335" s="18">
        <v>-7.2898082620718826E-2</v>
      </c>
      <c r="BA335" s="18">
        <v>-0.13989770000043389</v>
      </c>
      <c r="BB335" s="18">
        <v>0.14597454491034687</v>
      </c>
      <c r="BC335" s="18">
        <v>-0.1658502623020027</v>
      </c>
      <c r="BD335" s="18">
        <v>0.23872604141533674</v>
      </c>
      <c r="BE335" s="18">
        <v>0.1770364051993864</v>
      </c>
      <c r="BF335" s="18">
        <v>-0.11519929824794589</v>
      </c>
      <c r="BG335" s="19">
        <v>-6.1997365386218417E-2</v>
      </c>
      <c r="BI335" s="23">
        <f t="shared" si="11"/>
        <v>0.78651992701458417</v>
      </c>
      <c r="BJ335" s="23">
        <f t="shared" si="12"/>
        <v>0.21348007298541583</v>
      </c>
    </row>
    <row r="336" spans="1:62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 t="str">
        <v>21.Incomplete design drawings and specifications at tendering stage</v>
      </c>
      <c r="AW336" s="25">
        <v>-0.50871239760795361</v>
      </c>
      <c r="AX336" s="26">
        <v>0.51975768065284778</v>
      </c>
      <c r="AY336" s="26">
        <v>0.20195952821614438</v>
      </c>
      <c r="AZ336" s="18">
        <v>0.1669019357467571</v>
      </c>
      <c r="BA336" s="18">
        <v>-0.18896445959816227</v>
      </c>
      <c r="BB336" s="18">
        <v>0.29036570184636012</v>
      </c>
      <c r="BC336" s="18">
        <v>-4.3450112720560513E-2</v>
      </c>
      <c r="BD336" s="18">
        <v>0.18198645863280197</v>
      </c>
      <c r="BE336" s="18">
        <v>4.1122171148229442E-2</v>
      </c>
      <c r="BF336" s="18">
        <v>4.6635427937753951E-2</v>
      </c>
      <c r="BG336" s="19">
        <v>-0.14762991802617495</v>
      </c>
      <c r="BI336" s="23">
        <f t="shared" si="11"/>
        <v>0.77826753728735232</v>
      </c>
      <c r="BJ336" s="23">
        <f t="shared" si="12"/>
        <v>0.22173246271264768</v>
      </c>
    </row>
    <row r="337" spans="1:62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 t="str">
        <v>22.Delay in preparation and approval of drawing</v>
      </c>
      <c r="AW337" s="25">
        <v>-0.43509948159366552</v>
      </c>
      <c r="AX337" s="26">
        <v>0.51953566782564009</v>
      </c>
      <c r="AY337" s="26">
        <v>-3.7808890574312436E-2</v>
      </c>
      <c r="AZ337" s="18">
        <v>0.21839119043472824</v>
      </c>
      <c r="BA337" s="18">
        <v>-7.0678504233334258E-2</v>
      </c>
      <c r="BB337" s="18">
        <v>-0.17473001104625613</v>
      </c>
      <c r="BC337" s="18">
        <v>-0.14524172667383073</v>
      </c>
      <c r="BD337" s="18">
        <v>0.11244162730892646</v>
      </c>
      <c r="BE337" s="18">
        <v>-3.1399951310215536E-2</v>
      </c>
      <c r="BF337" s="18">
        <v>-8.2016087124786238E-2</v>
      </c>
      <c r="BG337" s="19">
        <v>-0.15727323888723932</v>
      </c>
      <c r="BI337" s="23">
        <f t="shared" si="11"/>
        <v>0.61006486689165684</v>
      </c>
      <c r="BJ337" s="23">
        <f t="shared" si="12"/>
        <v>0.38993513310834316</v>
      </c>
    </row>
    <row r="338" spans="1:62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 t="str">
        <v>23.Inaccurate quantity take-off</v>
      </c>
      <c r="AW338" s="25">
        <v>-0.38929391293835486</v>
      </c>
      <c r="AX338" s="26">
        <v>0.43568867601895317</v>
      </c>
      <c r="AY338" s="26">
        <v>0.54909683911816776</v>
      </c>
      <c r="AZ338" s="18">
        <v>-4.787170110016014E-3</v>
      </c>
      <c r="BA338" s="18">
        <v>5.7887154391730138E-2</v>
      </c>
      <c r="BB338" s="18">
        <v>-6.7673736820987082E-2</v>
      </c>
      <c r="BC338" s="18">
        <v>-4.2672507868318485E-2</v>
      </c>
      <c r="BD338" s="18">
        <v>3.0225608516896197E-2</v>
      </c>
      <c r="BE338" s="18">
        <v>-0.24239389221178745</v>
      </c>
      <c r="BF338" s="18">
        <v>5.8756825066636771E-2</v>
      </c>
      <c r="BG338" s="19">
        <v>-0.18993239161406775</v>
      </c>
      <c r="BI338" s="23">
        <f t="shared" si="11"/>
        <v>0.75185129328383604</v>
      </c>
      <c r="BJ338" s="23">
        <f t="shared" si="12"/>
        <v>0.24814870671616396</v>
      </c>
    </row>
    <row r="339" spans="1:62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 t="str">
        <v>24.Long period from planning of project to construction</v>
      </c>
      <c r="AW339" s="25">
        <v>-0.1777296669691823</v>
      </c>
      <c r="AX339" s="26">
        <v>0.29693027956260171</v>
      </c>
      <c r="AY339" s="26">
        <v>0.23651967465278737</v>
      </c>
      <c r="AZ339" s="18">
        <v>-0.1075039650937285</v>
      </c>
      <c r="BA339" s="18">
        <v>0.21412707922557095</v>
      </c>
      <c r="BB339" s="18">
        <v>0.23204472852677885</v>
      </c>
      <c r="BC339" s="18">
        <v>-0.34671869470405292</v>
      </c>
      <c r="BD339" s="18">
        <v>-0.19842004350828546</v>
      </c>
      <c r="BE339" s="18">
        <v>-0.3267300985710675</v>
      </c>
      <c r="BF339" s="18">
        <v>0.18885955870206494</v>
      </c>
      <c r="BG339" s="19">
        <v>0.28827382284412434</v>
      </c>
      <c r="BI339" s="23">
        <f t="shared" si="11"/>
        <v>0.67205590063125165</v>
      </c>
      <c r="BJ339" s="23">
        <f t="shared" si="12"/>
        <v>0.32794409936874835</v>
      </c>
    </row>
    <row r="340" spans="1:62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 t="str">
        <v>25.Delays in issuing information to the contractor during construction stage</v>
      </c>
      <c r="AW340" s="25">
        <v>-0.62998066192640989</v>
      </c>
      <c r="AX340" s="26">
        <v>0.24758868493225947</v>
      </c>
      <c r="AY340" s="26">
        <v>0.16265453363457311</v>
      </c>
      <c r="AZ340" s="18">
        <v>-0.21700551246660107</v>
      </c>
      <c r="BA340" s="18">
        <v>0.21502906600749902</v>
      </c>
      <c r="BB340" s="18">
        <v>-1.1396156804424358E-3</v>
      </c>
      <c r="BC340" s="18">
        <v>-0.28304699558105251</v>
      </c>
      <c r="BD340" s="18">
        <v>0.16739532388975614</v>
      </c>
      <c r="BE340" s="18">
        <v>8.4098048455422209E-2</v>
      </c>
      <c r="BF340" s="18">
        <v>-0.14325132675073679</v>
      </c>
      <c r="BG340" s="19">
        <v>0.12476771341575429</v>
      </c>
      <c r="BI340" s="23">
        <f t="shared" si="11"/>
        <v>0.72925968186092183</v>
      </c>
      <c r="BJ340" s="23">
        <f t="shared" si="12"/>
        <v>0.27074031813907817</v>
      </c>
    </row>
    <row r="341" spans="1:62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 t="str">
        <v>26.No practical use of earned value management system</v>
      </c>
      <c r="AW341" s="25">
        <v>-0.60582737857038571</v>
      </c>
      <c r="AX341" s="26">
        <v>0.31082032875400667</v>
      </c>
      <c r="AY341" s="26">
        <v>0.11828043284357853</v>
      </c>
      <c r="AZ341" s="18">
        <v>0.22580609912060393</v>
      </c>
      <c r="BA341" s="18">
        <v>0.10471744954870563</v>
      </c>
      <c r="BB341" s="18">
        <v>-0.2735668991084188</v>
      </c>
      <c r="BC341" s="18">
        <v>8.6199059184322843E-2</v>
      </c>
      <c r="BD341" s="18">
        <v>1.0377819806377246E-4</v>
      </c>
      <c r="BE341" s="18">
        <v>-0.30698509454455908</v>
      </c>
      <c r="BF341" s="18">
        <v>-0.13547888172981418</v>
      </c>
      <c r="BG341" s="19">
        <v>3.0641665942702342E-2</v>
      </c>
      <c r="BI341" s="23">
        <f t="shared" si="11"/>
        <v>0.73538291304693781</v>
      </c>
      <c r="BJ341" s="23">
        <f t="shared" si="12"/>
        <v>0.26461708695306219</v>
      </c>
    </row>
    <row r="342" spans="1:62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 t="str">
        <v>27.Lack of cost planning/monitoring during pre and post contract stage</v>
      </c>
      <c r="AW342" s="25">
        <v>-0.74268135733023277</v>
      </c>
      <c r="AX342" s="26">
        <v>0.2019972115076428</v>
      </c>
      <c r="AY342" s="26">
        <v>7.0006301691819636E-2</v>
      </c>
      <c r="AZ342" s="18">
        <v>-4.3187956919903313E-2</v>
      </c>
      <c r="BA342" s="18">
        <v>0.26670256758265831</v>
      </c>
      <c r="BB342" s="18">
        <v>4.575396049991861E-2</v>
      </c>
      <c r="BC342" s="18">
        <v>-4.5918172544000616E-2</v>
      </c>
      <c r="BD342" s="18">
        <v>-3.5800120646710371E-2</v>
      </c>
      <c r="BE342" s="18">
        <v>-0.10754314081482845</v>
      </c>
      <c r="BF342" s="18">
        <v>-0.23608284249114314</v>
      </c>
      <c r="BG342" s="19">
        <v>-0.14516288556496396</v>
      </c>
      <c r="BI342" s="23">
        <f t="shared" si="11"/>
        <v>0.76413126454749458</v>
      </c>
      <c r="BJ342" s="23">
        <f t="shared" si="12"/>
        <v>0.23586873545250542</v>
      </c>
    </row>
    <row r="343" spans="1:62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 t="str">
        <v>28.Poor communication between client, consultant and contractor</v>
      </c>
      <c r="AW343" s="25">
        <v>-0.69065373856233603</v>
      </c>
      <c r="AX343" s="26">
        <v>0.11403783623268857</v>
      </c>
      <c r="AY343" s="26">
        <v>-0.22932680315583781</v>
      </c>
      <c r="AZ343" s="18">
        <v>-6.6526223500298709E-3</v>
      </c>
      <c r="BA343" s="18">
        <v>0.2633047216182951</v>
      </c>
      <c r="BB343" s="18">
        <v>-0.19631034663834135</v>
      </c>
      <c r="BC343" s="18">
        <v>0.12580788919039987</v>
      </c>
      <c r="BD343" s="18">
        <v>0.17549645412930637</v>
      </c>
      <c r="BE343" s="18">
        <v>-9.6270688397307846E-2</v>
      </c>
      <c r="BF343" s="18">
        <v>2.9659069450258717E-3</v>
      </c>
      <c r="BG343" s="19">
        <v>-0.20621741208977692</v>
      </c>
      <c r="BI343" s="23">
        <f t="shared" si="11"/>
        <v>0.74893847682833392</v>
      </c>
      <c r="BJ343" s="23">
        <f t="shared" si="12"/>
        <v>0.25106152317166608</v>
      </c>
    </row>
    <row r="344" spans="1:62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 t="str">
        <v>29.Insufficient coordination between local authority who is responsible about road projects and service authorities</v>
      </c>
      <c r="AW344" s="25">
        <v>-0.4796107595698198</v>
      </c>
      <c r="AX344" s="26">
        <v>0.10612194014999873</v>
      </c>
      <c r="AY344" s="26">
        <v>-0.3286754244076327</v>
      </c>
      <c r="AZ344" s="18">
        <v>3.4405971048148232E-4</v>
      </c>
      <c r="BA344" s="18">
        <v>0.55612613694056823</v>
      </c>
      <c r="BB344" s="18">
        <v>-7.5297693173234648E-2</v>
      </c>
      <c r="BC344" s="18">
        <v>-0.19161834281736612</v>
      </c>
      <c r="BD344" s="18">
        <v>0.19064671987638271</v>
      </c>
      <c r="BE344" s="18">
        <v>-2.276336728929762E-2</v>
      </c>
      <c r="BF344" s="18">
        <v>1.9638315810729334E-2</v>
      </c>
      <c r="BG344" s="19">
        <v>-0.18508360692048767</v>
      </c>
      <c r="BI344" s="23">
        <f t="shared" si="11"/>
        <v>0.772485559641236</v>
      </c>
      <c r="BJ344" s="23">
        <f t="shared" si="12"/>
        <v>0.227514440358764</v>
      </c>
    </row>
    <row r="345" spans="1:62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 t="str">
        <v>30.Delays in decisions making by the approval authorities</v>
      </c>
      <c r="AW345" s="25">
        <v>-0.34176600368600779</v>
      </c>
      <c r="AX345" s="26">
        <v>0.33697131471414632</v>
      </c>
      <c r="AY345" s="26">
        <v>-0.35392788984248197</v>
      </c>
      <c r="AZ345" s="18">
        <v>-0.1502845327349587</v>
      </c>
      <c r="BA345" s="18">
        <v>0.33523115125023101</v>
      </c>
      <c r="BB345" s="18">
        <v>2.2491902611406669E-2</v>
      </c>
      <c r="BC345" s="18">
        <v>-0.32428821292216231</v>
      </c>
      <c r="BD345" s="18">
        <v>-6.2247532394679402E-2</v>
      </c>
      <c r="BE345" s="18">
        <v>4.7785135969629272E-2</v>
      </c>
      <c r="BF345" s="18">
        <v>0.11537196481739927</v>
      </c>
      <c r="BG345" s="19">
        <v>0.24899568317398255</v>
      </c>
      <c r="BI345" s="23">
        <f t="shared" si="11"/>
        <v>0.67772043070925547</v>
      </c>
      <c r="BJ345" s="23">
        <f t="shared" si="12"/>
        <v>0.32227956929074453</v>
      </c>
    </row>
    <row r="346" spans="1:62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 t="str">
        <v>31.Change schedule</v>
      </c>
      <c r="AW346" s="25">
        <v>-0.44573521069870548</v>
      </c>
      <c r="AX346" s="26">
        <v>0.42083252907246599</v>
      </c>
      <c r="AY346" s="26">
        <v>-4.8069687688202314E-2</v>
      </c>
      <c r="AZ346" s="18">
        <v>7.2860910872130979E-2</v>
      </c>
      <c r="BA346" s="18">
        <v>-0.13105345573759999</v>
      </c>
      <c r="BB346" s="18">
        <v>-0.43522826208381193</v>
      </c>
      <c r="BC346" s="18">
        <v>8.5464077619599559E-3</v>
      </c>
      <c r="BD346" s="18">
        <v>-4.5145200032328185E-2</v>
      </c>
      <c r="BE346" s="18">
        <v>-4.8429748940067553E-2</v>
      </c>
      <c r="BF346" s="18">
        <v>-6.2532320394742477E-2</v>
      </c>
      <c r="BG346" s="19">
        <v>0.23365826252052424</v>
      </c>
      <c r="BI346" s="23">
        <f t="shared" si="11"/>
        <v>0.65296099665901908</v>
      </c>
      <c r="BJ346" s="23">
        <f t="shared" si="12"/>
        <v>0.34703900334098092</v>
      </c>
    </row>
    <row r="347" spans="1:62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 t="str">
        <v>32.Stoppages because of work being rejected by consultant</v>
      </c>
      <c r="AW347" s="25">
        <v>-0.59210980289671811</v>
      </c>
      <c r="AX347" s="26">
        <v>5.4092545045406941E-2</v>
      </c>
      <c r="AY347" s="26">
        <v>0.2943983069634834</v>
      </c>
      <c r="AZ347" s="18">
        <v>-0.1448214295024611</v>
      </c>
      <c r="BA347" s="18">
        <v>-0.33835410317033765</v>
      </c>
      <c r="BB347" s="18">
        <v>-0.22391698821972156</v>
      </c>
      <c r="BC347" s="18">
        <v>-5.0156503581554927E-2</v>
      </c>
      <c r="BD347" s="18">
        <v>7.6911255507525256E-2</v>
      </c>
      <c r="BE347" s="18">
        <v>5.6959362196198432E-2</v>
      </c>
      <c r="BF347" s="18">
        <v>-0.18542179459399358</v>
      </c>
      <c r="BG347" s="19">
        <v>-3.655661870276198E-2</v>
      </c>
      <c r="BI347" s="23">
        <f t="shared" si="11"/>
        <v>0.67317896174608005</v>
      </c>
      <c r="BJ347" s="23">
        <f t="shared" si="12"/>
        <v>0.32682103825391995</v>
      </c>
    </row>
    <row r="348" spans="1:62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 t="str">
        <v>33.Lowest bid price</v>
      </c>
      <c r="AW348" s="25">
        <v>-0.37597779602256504</v>
      </c>
      <c r="AX348" s="26">
        <v>-0.16018772262310013</v>
      </c>
      <c r="AY348" s="26">
        <v>-0.32745729894748371</v>
      </c>
      <c r="AZ348" s="18">
        <v>-1.8651619585180551E-2</v>
      </c>
      <c r="BA348" s="18">
        <v>-0.34361772522162909</v>
      </c>
      <c r="BB348" s="18">
        <v>-0.1086217622131022</v>
      </c>
      <c r="BC348" s="18">
        <v>-0.21797960359442065</v>
      </c>
      <c r="BD348" s="18">
        <v>-0.17069786162901823</v>
      </c>
      <c r="BE348" s="18">
        <v>2.6612546872946549E-2</v>
      </c>
      <c r="BF348" s="18">
        <v>-0.38549072948368296</v>
      </c>
      <c r="BG348" s="19">
        <v>0.34119866806168897</v>
      </c>
      <c r="BI348" s="23">
        <f t="shared" si="11"/>
        <v>0.74684813224495716</v>
      </c>
      <c r="BJ348" s="23">
        <f t="shared" si="12"/>
        <v>0.25315186775504284</v>
      </c>
    </row>
    <row r="349" spans="1:62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 t="str">
        <v>34.Insufficient time for preparation of contract documents</v>
      </c>
      <c r="AW349" s="25">
        <v>-0.67348410300742056</v>
      </c>
      <c r="AX349" s="26">
        <v>0.1425548198178159</v>
      </c>
      <c r="AY349" s="26">
        <v>7.3787305435914594E-2</v>
      </c>
      <c r="AZ349" s="18">
        <v>-1.8361019858993684E-2</v>
      </c>
      <c r="BA349" s="18">
        <v>-4.5560761595247606E-2</v>
      </c>
      <c r="BB349" s="18">
        <v>-0.15076030758886211</v>
      </c>
      <c r="BC349" s="18">
        <v>0.21160558204804678</v>
      </c>
      <c r="BD349" s="18">
        <v>-0.30762640690377707</v>
      </c>
      <c r="BE349" s="18">
        <v>0.2580197697323115</v>
      </c>
      <c r="BF349" s="18">
        <v>-0.17130196722186086</v>
      </c>
      <c r="BG349" s="19">
        <v>0.24099745576669679</v>
      </c>
      <c r="BI349" s="23">
        <f t="shared" si="11"/>
        <v>0.79789812830341889</v>
      </c>
      <c r="BJ349" s="23">
        <f t="shared" si="12"/>
        <v>0.20210187169658111</v>
      </c>
    </row>
    <row r="350" spans="1:62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 t="str">
        <v>35.Discrepancies in contract documents</v>
      </c>
      <c r="AW350" s="25">
        <v>-0.64962425444973748</v>
      </c>
      <c r="AX350" s="26">
        <v>6.8995562020122109E-2</v>
      </c>
      <c r="AY350" s="26">
        <v>0.16867159851414121</v>
      </c>
      <c r="AZ350" s="18">
        <v>-2.8077596443979339E-2</v>
      </c>
      <c r="BA350" s="18">
        <v>0.20109779347835113</v>
      </c>
      <c r="BB350" s="18">
        <v>-0.16324761044020736</v>
      </c>
      <c r="BC350" s="18">
        <v>0.10090900136573897</v>
      </c>
      <c r="BD350" s="18">
        <v>-0.39440045530798207</v>
      </c>
      <c r="BE350" s="18">
        <v>0.17495700382435758</v>
      </c>
      <c r="BF350" s="18">
        <v>-0.24177146904995195</v>
      </c>
      <c r="BG350" s="19">
        <v>8.5049976236648686E-2</v>
      </c>
      <c r="BI350" s="23">
        <f t="shared" si="11"/>
        <v>0.78513186456693262</v>
      </c>
      <c r="BJ350" s="23">
        <f t="shared" si="12"/>
        <v>0.21486813543306738</v>
      </c>
    </row>
    <row r="351" spans="1:62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 t="str">
        <v>36.Underestimation of time for completion of project</v>
      </c>
      <c r="AW351" s="25">
        <v>-0.4803238390682707</v>
      </c>
      <c r="AX351" s="26">
        <v>-0.3229167669400515</v>
      </c>
      <c r="AY351" s="26">
        <v>0.24771830394923447</v>
      </c>
      <c r="AZ351" s="18">
        <v>-0.18033624825807301</v>
      </c>
      <c r="BA351" s="18">
        <v>0.18857406075888816</v>
      </c>
      <c r="BB351" s="18">
        <v>-8.3640044727086547E-3</v>
      </c>
      <c r="BC351" s="18">
        <v>-0.1432561083128373</v>
      </c>
      <c r="BD351" s="18">
        <v>-0.43227221279778311</v>
      </c>
      <c r="BE351" s="18">
        <v>-0.10838659470748835</v>
      </c>
      <c r="BF351" s="18">
        <v>-4.0370904634354943E-2</v>
      </c>
      <c r="BG351" s="19">
        <v>-0.17770829879747763</v>
      </c>
      <c r="BI351" s="23">
        <f t="shared" si="11"/>
        <v>0.7168411640983029</v>
      </c>
      <c r="BJ351" s="23">
        <f t="shared" si="12"/>
        <v>0.2831588359016971</v>
      </c>
    </row>
    <row r="352" spans="1:62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 t="str">
        <v>37.Extension of time with cost claims</v>
      </c>
      <c r="AW352" s="25">
        <v>-0.37483338921771586</v>
      </c>
      <c r="AX352" s="26">
        <v>9.6502295268417068E-2</v>
      </c>
      <c r="AY352" s="26">
        <v>-0.28173641026244933</v>
      </c>
      <c r="AZ352" s="18">
        <v>-0.34004607438861173</v>
      </c>
      <c r="BA352" s="18">
        <v>-0.15199735882218929</v>
      </c>
      <c r="BB352" s="18">
        <v>0.11212217470024731</v>
      </c>
      <c r="BC352" s="18">
        <v>-0.15929196278750798</v>
      </c>
      <c r="BD352" s="18">
        <v>-0.30875897013535142</v>
      </c>
      <c r="BE352" s="18">
        <v>-0.15098389243273716</v>
      </c>
      <c r="BF352" s="18">
        <v>7.3910204610150382E-2</v>
      </c>
      <c r="BG352" s="19">
        <v>-0.24055459457519818</v>
      </c>
      <c r="BI352" s="23">
        <f t="shared" si="11"/>
        <v>0.5873254775262553</v>
      </c>
      <c r="BJ352" s="23">
        <f t="shared" si="12"/>
        <v>0.4126745224737447</v>
      </c>
    </row>
    <row r="353" spans="1:62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 t="str">
        <v>38.Scope and specification changes</v>
      </c>
      <c r="AW353" s="25">
        <v>-0.38260687638861396</v>
      </c>
      <c r="AX353" s="26">
        <v>0.25154922008763642</v>
      </c>
      <c r="AY353" s="26">
        <v>-0.29088452021224032</v>
      </c>
      <c r="AZ353" s="18">
        <v>0.53349474397920016</v>
      </c>
      <c r="BA353" s="18">
        <v>-0.21510711176658212</v>
      </c>
      <c r="BB353" s="18">
        <v>2.6414601672331447E-2</v>
      </c>
      <c r="BC353" s="18">
        <v>-0.1225002346237019</v>
      </c>
      <c r="BD353" s="18">
        <v>-0.27680277507425322</v>
      </c>
      <c r="BE353" s="18">
        <v>-8.0633092483400573E-2</v>
      </c>
      <c r="BF353" s="18">
        <v>7.1895726729280296E-2</v>
      </c>
      <c r="BG353" s="19">
        <v>-8.5754419568262449E-2</v>
      </c>
      <c r="BI353" s="23">
        <f t="shared" si="11"/>
        <v>0.73651487402568394</v>
      </c>
      <c r="BJ353" s="23">
        <f t="shared" si="12"/>
        <v>0.26348512597431606</v>
      </c>
    </row>
    <row r="354" spans="1:62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 t="str">
        <v>39.Changes in client requirements</v>
      </c>
      <c r="AW354" s="25">
        <v>-0.45150600787871215</v>
      </c>
      <c r="AX354" s="26">
        <v>0.10475899541791961</v>
      </c>
      <c r="AY354" s="26">
        <v>-0.41698307384610417</v>
      </c>
      <c r="AZ354" s="18">
        <v>0.49733852666688494</v>
      </c>
      <c r="BA354" s="18">
        <v>-0.16227385642925468</v>
      </c>
      <c r="BB354" s="18">
        <v>0.24441280892403081</v>
      </c>
      <c r="BC354" s="18">
        <v>-0.12119203615205081</v>
      </c>
      <c r="BD354" s="18">
        <v>-0.20047927910866725</v>
      </c>
      <c r="BE354" s="18">
        <v>-7.1998178532000204E-2</v>
      </c>
      <c r="BF354" s="18">
        <v>7.7779248448983124E-2</v>
      </c>
      <c r="BG354" s="19">
        <v>-4.9151233893406594E-2</v>
      </c>
      <c r="BI354" s="23">
        <f t="shared" si="11"/>
        <v>0.79065168587250367</v>
      </c>
      <c r="BJ354" s="23">
        <f t="shared" si="12"/>
        <v>0.20934831412749633</v>
      </c>
    </row>
    <row r="355" spans="1:62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 t="str">
        <v>40.Frequency of variation orders and additional works</v>
      </c>
      <c r="AW355" s="25">
        <v>-0.36442436359161923</v>
      </c>
      <c r="AX355" s="26">
        <v>0.23636939034571661</v>
      </c>
      <c r="AY355" s="26">
        <v>-0.32345133021903677</v>
      </c>
      <c r="AZ355" s="18">
        <v>0.4825632260893572</v>
      </c>
      <c r="BA355" s="18">
        <v>-0.24080215585623135</v>
      </c>
      <c r="BB355" s="18">
        <v>8.9091451494275914E-2</v>
      </c>
      <c r="BC355" s="18">
        <v>-2.3932683472769306E-2</v>
      </c>
      <c r="BD355" s="18">
        <v>-0.17078308573253259</v>
      </c>
      <c r="BE355" s="18">
        <v>0.21715741120410112</v>
      </c>
      <c r="BF355" s="18">
        <v>7.5018244794057845E-2</v>
      </c>
      <c r="BG355" s="19">
        <v>-0.27990545830723201</v>
      </c>
      <c r="BI355" s="23">
        <f t="shared" si="11"/>
        <v>0.75295838025372352</v>
      </c>
      <c r="BJ355" s="23">
        <f t="shared" si="12"/>
        <v>0.24704161974627648</v>
      </c>
    </row>
    <row r="356" spans="1:62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 t="str">
        <v>41.Rework due to error in execution</v>
      </c>
      <c r="AW356" s="25">
        <v>-0.51671070647719242</v>
      </c>
      <c r="AX356" s="26">
        <v>-5.6144496277620519E-2</v>
      </c>
      <c r="AY356" s="26">
        <v>0.29163697446291642</v>
      </c>
      <c r="AZ356" s="18">
        <v>7.0659331421083785E-2</v>
      </c>
      <c r="BA356" s="18">
        <v>-5.2730269697201383E-2</v>
      </c>
      <c r="BB356" s="18">
        <v>0.22621275644053196</v>
      </c>
      <c r="BC356" s="18">
        <v>0.35276980707769279</v>
      </c>
      <c r="BD356" s="18">
        <v>-0.39653062926957999</v>
      </c>
      <c r="BE356" s="18">
        <v>-8.2012575573005467E-2</v>
      </c>
      <c r="BF356" s="18">
        <v>3.0661305472608293E-2</v>
      </c>
      <c r="BG356" s="19">
        <v>-9.4942197641470036E-2</v>
      </c>
      <c r="BI356" s="23">
        <f t="shared" si="11"/>
        <v>0.71250299299290454</v>
      </c>
      <c r="BJ356" s="23">
        <f t="shared" si="12"/>
        <v>0.28749700700709546</v>
      </c>
    </row>
    <row r="357" spans="1:62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 t="str">
        <v>42.Weather conditions</v>
      </c>
      <c r="AW357" s="25">
        <v>-0.61759475041054301</v>
      </c>
      <c r="AX357" s="26">
        <v>5.2870001198972442E-2</v>
      </c>
      <c r="AY357" s="26">
        <v>0.25344432176217557</v>
      </c>
      <c r="AZ357" s="18">
        <v>-0.3434390151246986</v>
      </c>
      <c r="BA357" s="18">
        <v>-0.10171807575971839</v>
      </c>
      <c r="BB357" s="18">
        <v>-0.3506976734556328</v>
      </c>
      <c r="BC357" s="18">
        <v>-3.8681207415763634E-2</v>
      </c>
      <c r="BD357" s="18">
        <v>-5.9315904661966012E-2</v>
      </c>
      <c r="BE357" s="18">
        <v>0.11629155649663198</v>
      </c>
      <c r="BF357" s="18">
        <v>0.33470095317850684</v>
      </c>
      <c r="BG357" s="19">
        <v>-0.1092724682215208</v>
      </c>
      <c r="BI357" s="23">
        <f t="shared" si="11"/>
        <v>0.84224185804344831</v>
      </c>
      <c r="BJ357" s="23">
        <f t="shared" si="12"/>
        <v>0.15775814195655169</v>
      </c>
    </row>
    <row r="358" spans="1:62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 t="str">
        <v>43.Accidents during construction</v>
      </c>
      <c r="AW358" s="25">
        <v>-0.49280330620830459</v>
      </c>
      <c r="AX358" s="26">
        <v>-0.20466698891598301</v>
      </c>
      <c r="AY358" s="26">
        <v>0.17562471478358643</v>
      </c>
      <c r="AZ358" s="18">
        <v>-0.29371202134475793</v>
      </c>
      <c r="BA358" s="18">
        <v>-0.27281469225199573</v>
      </c>
      <c r="BB358" s="18">
        <v>-0.1421477357594729</v>
      </c>
      <c r="BC358" s="18">
        <v>-0.10968664499276301</v>
      </c>
      <c r="BD358" s="18">
        <v>-0.14142885759787671</v>
      </c>
      <c r="BE358" s="18">
        <v>9.0712958908352487E-2</v>
      </c>
      <c r="BF358" s="18">
        <v>0.51142602671013604</v>
      </c>
      <c r="BG358" s="19">
        <v>3.4230774742157583E-3</v>
      </c>
      <c r="BI358" s="23">
        <f t="shared" si="11"/>
        <v>0.79831872299813533</v>
      </c>
      <c r="BJ358" s="23">
        <f t="shared" si="12"/>
        <v>0.20168127700186467</v>
      </c>
    </row>
    <row r="359" spans="1:62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 t="str">
        <v>44.Delay in getting NOCs from different government authorities</v>
      </c>
      <c r="AW359" s="27">
        <v>-0.45556640805272969</v>
      </c>
      <c r="AX359" s="28">
        <v>5.620587506552837E-2</v>
      </c>
      <c r="AY359" s="28">
        <v>-0.42766485106695912</v>
      </c>
      <c r="AZ359" s="20">
        <v>-0.42788533174660726</v>
      </c>
      <c r="BA359" s="20">
        <v>6.9473085570932111E-2</v>
      </c>
      <c r="BB359" s="20">
        <v>-0.10377698174710737</v>
      </c>
      <c r="BC359" s="20">
        <v>-0.27020616863798497</v>
      </c>
      <c r="BD359" s="20">
        <v>-4.6521085927721265E-2</v>
      </c>
      <c r="BE359" s="20">
        <v>0.13205261690842854</v>
      </c>
      <c r="BF359" s="20">
        <v>0.1498815055126593</v>
      </c>
      <c r="BG359" s="21">
        <v>-0.13633688336435867</v>
      </c>
      <c r="BI359" s="24">
        <f t="shared" si="11"/>
        <v>0.72594479615778773</v>
      </c>
      <c r="BJ359" s="24">
        <f t="shared" si="12"/>
        <v>0.27405520384221227</v>
      </c>
    </row>
    <row r="360" spans="1:62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>
        <f>SUMSQ(AW316:AW359)</f>
        <v>13.383033759894326</v>
      </c>
      <c r="AX360" s="3">
        <f t="shared" ref="AX360:BG360" si="13">SUMSQ(AX316:AX359)</f>
        <v>4.1086932775634617</v>
      </c>
      <c r="AY360" s="3">
        <f t="shared" si="13"/>
        <v>2.87722588943699</v>
      </c>
      <c r="AZ360" s="3">
        <f t="shared" si="13"/>
        <v>2.524754088538288</v>
      </c>
      <c r="BA360" s="3">
        <f t="shared" si="13"/>
        <v>1.9297010010070035</v>
      </c>
      <c r="BB360" s="3">
        <f t="shared" si="13"/>
        <v>1.6282218229654433</v>
      </c>
      <c r="BC360" s="3">
        <f t="shared" si="13"/>
        <v>1.4758366267872709</v>
      </c>
      <c r="BD360" s="3">
        <f t="shared" si="13"/>
        <v>1.4076918031914394</v>
      </c>
      <c r="BE360" s="3">
        <f t="shared" si="13"/>
        <v>1.320689996017528</v>
      </c>
      <c r="BF360" s="3">
        <f t="shared" si="13"/>
        <v>1.1990304220672441</v>
      </c>
      <c r="BG360" s="3">
        <f t="shared" si="13"/>
        <v>1.1541647871990706</v>
      </c>
      <c r="BI360">
        <f>SUM(BI316:BI359)</f>
        <v>33.009043474668054</v>
      </c>
      <c r="BJ360">
        <f>SUM(BJ316:BJ359)</f>
        <v>10.990956525331939</v>
      </c>
    </row>
    <row r="361" spans="1:62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62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 t="s">
        <v>207</v>
      </c>
      <c r="AW362" s="3"/>
      <c r="AX362" s="3"/>
      <c r="AY362" s="3"/>
    </row>
    <row r="363" spans="1:62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62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>
        <v>1</v>
      </c>
      <c r="AX364" s="3">
        <f>AW364+1</f>
        <v>2</v>
      </c>
      <c r="AY364" s="3">
        <f t="shared" ref="AY364:BG364" si="14">AX364+1</f>
        <v>3</v>
      </c>
      <c r="AZ364" s="3">
        <f t="shared" si="14"/>
        <v>4</v>
      </c>
      <c r="BA364" s="3">
        <f t="shared" si="14"/>
        <v>5</v>
      </c>
      <c r="BB364" s="3">
        <f t="shared" si="14"/>
        <v>6</v>
      </c>
      <c r="BC364" s="3">
        <f t="shared" si="14"/>
        <v>7</v>
      </c>
      <c r="BD364" s="3">
        <f t="shared" si="14"/>
        <v>8</v>
      </c>
      <c r="BE364" s="3">
        <f t="shared" si="14"/>
        <v>9</v>
      </c>
      <c r="BF364" s="3">
        <f t="shared" si="14"/>
        <v>10</v>
      </c>
      <c r="BG364" s="3">
        <f t="shared" si="14"/>
        <v>11</v>
      </c>
      <c r="BI364" t="s">
        <v>200</v>
      </c>
      <c r="BJ364" t="s">
        <v>206</v>
      </c>
    </row>
    <row r="365" spans="1:62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 t="str">
        <f t="array" ref="AV365:AV408">TRANSPOSE(B1:AS1)</f>
        <v>1.Delay in delivering material to construction site</v>
      </c>
      <c r="AW365" s="34">
        <f t="array" ref="AW365:BG408">[1]!VARIMAX(AW316:BG359,100)</f>
        <v>-0.33052681040099596</v>
      </c>
      <c r="AX365" s="35">
        <v>-3.0077944595070214E-2</v>
      </c>
      <c r="AY365" s="35">
        <v>-0.15584357618322234</v>
      </c>
      <c r="AZ365" s="16">
        <v>6.104066833886667E-2</v>
      </c>
      <c r="BA365" s="16">
        <v>-0.15316152786012954</v>
      </c>
      <c r="BB365" s="16">
        <v>-1.2100230809227499E-2</v>
      </c>
      <c r="BC365" s="16">
        <v>3.7854755264901972E-2</v>
      </c>
      <c r="BD365" s="16">
        <v>-0.10309990770310705</v>
      </c>
      <c r="BE365" s="16">
        <v>-0.68883309521387659</v>
      </c>
      <c r="BF365" s="16">
        <v>0.15437328510887052</v>
      </c>
      <c r="BG365" s="17">
        <v>-0.20779450380223724</v>
      </c>
      <c r="BI365" s="22">
        <f>SUMSQ(AW365:BG365)</f>
        <v>0.71533398126804426</v>
      </c>
      <c r="BJ365" s="22">
        <f>1-BI365</f>
        <v>0.28466601873195574</v>
      </c>
    </row>
    <row r="366" spans="1:62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 t="str">
        <v>2.Monopoly of material by some suppliers</v>
      </c>
      <c r="AW366" s="25">
        <v>-0.26573370774293958</v>
      </c>
      <c r="AX366" s="26">
        <v>0.15539500574356555</v>
      </c>
      <c r="AY366" s="26">
        <v>9.3926471294348644E-3</v>
      </c>
      <c r="AZ366" s="18">
        <v>-9.4886354850631099E-2</v>
      </c>
      <c r="BA366" s="18">
        <v>2.7627423595195742E-2</v>
      </c>
      <c r="BB366" s="18">
        <v>0.18093347031073728</v>
      </c>
      <c r="BC366" s="18">
        <v>0.12412142225693748</v>
      </c>
      <c r="BD366" s="18">
        <v>2.3041397455591604E-2</v>
      </c>
      <c r="BE366" s="18">
        <v>-0.74925232784662044</v>
      </c>
      <c r="BF366" s="18">
        <v>0.2174593221812611</v>
      </c>
      <c r="BG366" s="19">
        <v>-0.11483482597412752</v>
      </c>
      <c r="BI366" s="23">
        <f t="shared" ref="BI366:BI408" si="15">SUMSQ(AW366:BG366)</f>
        <v>0.77514552691439842</v>
      </c>
      <c r="BJ366" s="23">
        <f t="shared" ref="BJ366:BJ408" si="16">1-BI366</f>
        <v>0.22485447308560158</v>
      </c>
    </row>
    <row r="367" spans="1:62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 t="str">
        <v>3.Prices fluctuation</v>
      </c>
      <c r="AW367" s="25">
        <v>-0.42476644497621957</v>
      </c>
      <c r="AX367" s="26">
        <v>2.7922614235135288E-2</v>
      </c>
      <c r="AY367" s="26">
        <v>0.27837187268368152</v>
      </c>
      <c r="AZ367" s="18">
        <v>5.600832681866403E-2</v>
      </c>
      <c r="BA367" s="18">
        <v>0.15314530932363832</v>
      </c>
      <c r="BB367" s="18">
        <v>-0.30475798667145126</v>
      </c>
      <c r="BC367" s="18">
        <v>-5.4739482968844205E-2</v>
      </c>
      <c r="BD367" s="18">
        <v>6.5235542330189258E-2</v>
      </c>
      <c r="BE367" s="18">
        <v>-0.46165200146600704</v>
      </c>
      <c r="BF367" s="18">
        <v>-0.13034609629256425</v>
      </c>
      <c r="BG367" s="19">
        <v>0.33863040325138294</v>
      </c>
      <c r="BI367" s="23">
        <f t="shared" si="15"/>
        <v>0.73020026580706032</v>
      </c>
      <c r="BJ367" s="23">
        <f t="shared" si="16"/>
        <v>0.26979973419293968</v>
      </c>
    </row>
    <row r="368" spans="1:62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 t="str">
        <v>4.Types of material availability at local market</v>
      </c>
      <c r="AW368" s="25">
        <v>-0.43798048230990744</v>
      </c>
      <c r="AX368" s="26">
        <v>3.9324341463964706E-2</v>
      </c>
      <c r="AY368" s="26">
        <v>9.0747310396226237E-3</v>
      </c>
      <c r="AZ368" s="18">
        <v>-3.8166476808779479E-2</v>
      </c>
      <c r="BA368" s="18">
        <v>-0.15457692020927166</v>
      </c>
      <c r="BB368" s="18">
        <v>-0.22632660697395779</v>
      </c>
      <c r="BC368" s="18">
        <v>7.0255389951619646E-2</v>
      </c>
      <c r="BD368" s="18">
        <v>-6.9552633492994037E-2</v>
      </c>
      <c r="BE368" s="18">
        <v>-0.69425597389205074</v>
      </c>
      <c r="BF368" s="18">
        <v>6.009454394808654E-2</v>
      </c>
      <c r="BG368" s="19">
        <v>8.2143376512762212E-2</v>
      </c>
      <c r="BI368" s="23">
        <f t="shared" si="15"/>
        <v>0.77215372914226887</v>
      </c>
      <c r="BJ368" s="23">
        <f t="shared" si="16"/>
        <v>0.22784627085773113</v>
      </c>
    </row>
    <row r="369" spans="1:62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 t="str">
        <v>5.Lack of consultant’s knowledge of available materials</v>
      </c>
      <c r="AW369" s="25">
        <v>-0.42421916042495622</v>
      </c>
      <c r="AX369" s="26">
        <v>0.43895492715440942</v>
      </c>
      <c r="AY369" s="26">
        <v>1.6165623791803248E-2</v>
      </c>
      <c r="AZ369" s="18">
        <v>0.13453874210913516</v>
      </c>
      <c r="BA369" s="18">
        <v>-0.10757437956926054</v>
      </c>
      <c r="BB369" s="18">
        <v>-0.27362506790586705</v>
      </c>
      <c r="BC369" s="18">
        <v>7.4787642296347595E-4</v>
      </c>
      <c r="BD369" s="18">
        <v>-1.3744729878768911E-2</v>
      </c>
      <c r="BE369" s="18">
        <v>-0.39882525824112147</v>
      </c>
      <c r="BF369" s="18">
        <v>0.138306187053267</v>
      </c>
      <c r="BG369" s="19">
        <v>7.1554343853730759E-2</v>
      </c>
      <c r="BI369" s="23">
        <f t="shared" si="15"/>
        <v>0.66094793862310863</v>
      </c>
      <c r="BJ369" s="23">
        <f t="shared" si="16"/>
        <v>0.33905206137689137</v>
      </c>
    </row>
    <row r="370" spans="1:62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 t="str">
        <v>6.Low productivity</v>
      </c>
      <c r="AW370" s="25">
        <v>-0.81930085111535278</v>
      </c>
      <c r="AX370" s="26">
        <v>8.915083226385967E-2</v>
      </c>
      <c r="AY370" s="26">
        <v>-0.13986328403493559</v>
      </c>
      <c r="AZ370" s="18">
        <v>5.2851167022132363E-2</v>
      </c>
      <c r="BA370" s="18">
        <v>-4.0829721903191077E-2</v>
      </c>
      <c r="BB370" s="18">
        <v>-3.5093069981062268E-3</v>
      </c>
      <c r="BC370" s="18">
        <v>-2.7547071744770182E-2</v>
      </c>
      <c r="BD370" s="18">
        <v>-0.13278970142001234</v>
      </c>
      <c r="BE370" s="18">
        <v>-0.21642040392874551</v>
      </c>
      <c r="BF370" s="18">
        <v>-2.1637142671136873E-2</v>
      </c>
      <c r="BG370" s="19">
        <v>-9.5975441233242212E-2</v>
      </c>
      <c r="BI370" s="23">
        <f t="shared" si="15"/>
        <v>0.7781453094991132</v>
      </c>
      <c r="BJ370" s="23">
        <f t="shared" si="16"/>
        <v>0.2218546905008868</v>
      </c>
    </row>
    <row r="371" spans="1:62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 t="str">
        <v>7.Poor work execution</v>
      </c>
      <c r="AW371" s="25">
        <v>-0.7513408750768853</v>
      </c>
      <c r="AX371" s="26">
        <v>0.1237164088331075</v>
      </c>
      <c r="AY371" s="26">
        <v>-0.16217628310132262</v>
      </c>
      <c r="AZ371" s="18">
        <v>0.10011355791953448</v>
      </c>
      <c r="BA371" s="18">
        <v>-0.14512611171362635</v>
      </c>
      <c r="BB371" s="18">
        <v>-2.2267151830566399E-2</v>
      </c>
      <c r="BC371" s="18">
        <v>6.5296642103236449E-2</v>
      </c>
      <c r="BD371" s="18">
        <v>-0.18120140901696896</v>
      </c>
      <c r="BE371" s="18">
        <v>-0.34464339371465835</v>
      </c>
      <c r="BF371" s="18">
        <v>-4.6799102682289796E-2</v>
      </c>
      <c r="BG371" s="19">
        <v>4.977655842942226E-2</v>
      </c>
      <c r="BI371" s="23">
        <f t="shared" si="15"/>
        <v>0.79824467871928517</v>
      </c>
      <c r="BJ371" s="23">
        <f t="shared" si="16"/>
        <v>0.20175532128071483</v>
      </c>
    </row>
    <row r="372" spans="1:62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 t="str">
        <v>8.Shortage of laborers</v>
      </c>
      <c r="AW372" s="25">
        <v>-0.7064464617930245</v>
      </c>
      <c r="AX372" s="26">
        <v>3.2753960876957693E-2</v>
      </c>
      <c r="AY372" s="26">
        <v>-0.17793731194884826</v>
      </c>
      <c r="AZ372" s="18">
        <v>8.6446028100305133E-2</v>
      </c>
      <c r="BA372" s="18">
        <v>-0.20734101086265977</v>
      </c>
      <c r="BB372" s="18">
        <v>-0.18775445906059901</v>
      </c>
      <c r="BC372" s="18">
        <v>4.7072990374528091E-2</v>
      </c>
      <c r="BD372" s="18">
        <v>0.10350331070686705</v>
      </c>
      <c r="BE372" s="18">
        <v>-0.24733590720206011</v>
      </c>
      <c r="BF372" s="18">
        <v>0.14271502750688778</v>
      </c>
      <c r="BG372" s="19">
        <v>-0.22905788287206524</v>
      </c>
      <c r="BI372" s="23">
        <f t="shared" si="15"/>
        <v>0.76445500529727395</v>
      </c>
      <c r="BJ372" s="23">
        <f t="shared" si="16"/>
        <v>0.23554499470272605</v>
      </c>
    </row>
    <row r="373" spans="1:62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 t="str">
        <v>9.Mistakes happens during construction phase</v>
      </c>
      <c r="AW373" s="25">
        <v>-0.75399600386747023</v>
      </c>
      <c r="AX373" s="26">
        <v>0.27615526600236318</v>
      </c>
      <c r="AY373" s="26">
        <v>-6.898371036167758E-2</v>
      </c>
      <c r="AZ373" s="18">
        <v>9.8945266472983892E-2</v>
      </c>
      <c r="BA373" s="18">
        <v>1.9355726977296303E-2</v>
      </c>
      <c r="BB373" s="18">
        <v>-0.1352835013198139</v>
      </c>
      <c r="BC373" s="18">
        <v>-0.19567546666717614</v>
      </c>
      <c r="BD373" s="18">
        <v>-0.20570078295625396</v>
      </c>
      <c r="BE373" s="18">
        <v>-0.1594843615524916</v>
      </c>
      <c r="BF373" s="18">
        <v>4.5317624665226083E-2</v>
      </c>
      <c r="BG373" s="19">
        <v>-0.11760254169076774</v>
      </c>
      <c r="BI373" s="23">
        <f t="shared" si="15"/>
        <v>0.79991789959925752</v>
      </c>
      <c r="BJ373" s="23">
        <f t="shared" si="16"/>
        <v>0.20008210040074248</v>
      </c>
    </row>
    <row r="374" spans="1:62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 t="str">
        <v>10.Unavailability of equipment</v>
      </c>
      <c r="AW374" s="25">
        <v>-0.5387929914434022</v>
      </c>
      <c r="AX374" s="26">
        <v>6.197738853546212E-2</v>
      </c>
      <c r="AY374" s="26">
        <v>-0.21287356709005903</v>
      </c>
      <c r="AZ374" s="18">
        <v>0.14291438294796971</v>
      </c>
      <c r="BA374" s="18">
        <v>2.9614332025750922E-2</v>
      </c>
      <c r="BB374" s="18">
        <v>-0.28836334153577953</v>
      </c>
      <c r="BC374" s="18">
        <v>0.26459262648001197</v>
      </c>
      <c r="BD374" s="18">
        <v>-0.14323462906310305</v>
      </c>
      <c r="BE374" s="18">
        <v>-0.28365221900916116</v>
      </c>
      <c r="BF374" s="18">
        <v>5.019855075549097E-2</v>
      </c>
      <c r="BG374" s="19">
        <v>-0.38413908588725243</v>
      </c>
      <c r="BI374" s="23">
        <f t="shared" si="15"/>
        <v>0.76497591624376515</v>
      </c>
      <c r="BJ374" s="23">
        <f t="shared" si="16"/>
        <v>0.23502408375623485</v>
      </c>
    </row>
    <row r="375" spans="1:62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 t="str">
        <v>11.Lack of engineering experience</v>
      </c>
      <c r="AW375" s="25">
        <v>-0.82792845051794584</v>
      </c>
      <c r="AX375" s="26">
        <v>9.5937465657268781E-2</v>
      </c>
      <c r="AY375" s="26">
        <v>-4.2763568485569843E-2</v>
      </c>
      <c r="AZ375" s="18">
        <v>-4.4983900366309983E-2</v>
      </c>
      <c r="BA375" s="18">
        <v>3.6431648582945391E-3</v>
      </c>
      <c r="BB375" s="18">
        <v>4.8177104341503053E-3</v>
      </c>
      <c r="BC375" s="18">
        <v>0.21151536979973043</v>
      </c>
      <c r="BD375" s="18">
        <v>-0.11133255881038796</v>
      </c>
      <c r="BE375" s="18">
        <v>-0.1636120555827415</v>
      </c>
      <c r="BF375" s="18">
        <v>0.19799404083748764</v>
      </c>
      <c r="BG375" s="19">
        <v>8.9267198145534243E-2</v>
      </c>
      <c r="BI375" s="23">
        <f t="shared" si="15"/>
        <v>0.82963114147629069</v>
      </c>
      <c r="BJ375" s="23">
        <f t="shared" si="16"/>
        <v>0.17036885852370931</v>
      </c>
    </row>
    <row r="376" spans="1:62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 t="str">
        <v>12.Construction cost underestimation</v>
      </c>
      <c r="AW376" s="25">
        <v>-0.78565363085361339</v>
      </c>
      <c r="AX376" s="26">
        <v>0.1504560150220795</v>
      </c>
      <c r="AY376" s="26">
        <v>-2.4775171676879929E-2</v>
      </c>
      <c r="AZ376" s="18">
        <v>0.27416814749270141</v>
      </c>
      <c r="BA376" s="18">
        <v>-1.8305123603721198E-2</v>
      </c>
      <c r="BB376" s="18">
        <v>-0.17468562592059933</v>
      </c>
      <c r="BC376" s="18">
        <v>-9.5645330961146441E-2</v>
      </c>
      <c r="BD376" s="18">
        <v>-0.11788223797013851</v>
      </c>
      <c r="BE376" s="18">
        <v>1.2538881374808974E-2</v>
      </c>
      <c r="BF376" s="18">
        <v>0.24083730819779631</v>
      </c>
      <c r="BG376" s="19">
        <v>6.1009530827351045E-3</v>
      </c>
      <c r="BI376" s="23">
        <f t="shared" si="15"/>
        <v>0.82776207337253283</v>
      </c>
      <c r="BJ376" s="23">
        <f t="shared" si="16"/>
        <v>0.17223792662746717</v>
      </c>
    </row>
    <row r="377" spans="1:62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 t="str">
        <v>13.Poor site management</v>
      </c>
      <c r="AW377" s="25">
        <v>-0.80022701197032575</v>
      </c>
      <c r="AX377" s="26">
        <v>0.15088831680295478</v>
      </c>
      <c r="AY377" s="26">
        <v>-8.0707568174573599E-2</v>
      </c>
      <c r="AZ377" s="18">
        <v>0.14203609783636972</v>
      </c>
      <c r="BA377" s="18">
        <v>-7.999179643488083E-2</v>
      </c>
      <c r="BB377" s="18">
        <v>-1.7975356122017692E-2</v>
      </c>
      <c r="BC377" s="18">
        <v>9.9507838466482479E-2</v>
      </c>
      <c r="BD377" s="18">
        <v>-4.1170458311110228E-2</v>
      </c>
      <c r="BE377" s="18">
        <v>-3.8617924650466894E-2</v>
      </c>
      <c r="BF377" s="18">
        <v>0.12421395723331435</v>
      </c>
      <c r="BG377" s="19">
        <v>0.22986266637771757</v>
      </c>
      <c r="BI377" s="23">
        <f t="shared" si="15"/>
        <v>0.77789443363237487</v>
      </c>
      <c r="BJ377" s="23">
        <f t="shared" si="16"/>
        <v>0.22210556636762513</v>
      </c>
    </row>
    <row r="378" spans="1:62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 t="str">
        <v>14.Delayed payment for completed work</v>
      </c>
      <c r="AW378" s="25">
        <v>-1.6470843542506844E-2</v>
      </c>
      <c r="AX378" s="26">
        <v>7.4448758785699051E-2</v>
      </c>
      <c r="AY378" s="26">
        <v>-0.33666107097508069</v>
      </c>
      <c r="AZ378" s="18">
        <v>0.22118539560500294</v>
      </c>
      <c r="BA378" s="18">
        <v>-0.20768583486850589</v>
      </c>
      <c r="BB378" s="18">
        <v>-1.8827665396064359E-2</v>
      </c>
      <c r="BC378" s="18">
        <v>0.67038844510010909</v>
      </c>
      <c r="BD378" s="18">
        <v>0.33066918182503618</v>
      </c>
      <c r="BE378" s="18">
        <v>-0.10596753108016596</v>
      </c>
      <c r="BF378" s="18">
        <v>8.5794977126902192E-2</v>
      </c>
      <c r="BG378" s="19">
        <v>4.8513059270218414E-2</v>
      </c>
      <c r="BI378" s="23">
        <f t="shared" si="15"/>
        <v>0.79127163709582549</v>
      </c>
      <c r="BJ378" s="23">
        <f t="shared" si="16"/>
        <v>0.20872836290417451</v>
      </c>
    </row>
    <row r="379" spans="1:62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 t="str">
        <v>15.Cash flow problem during construction</v>
      </c>
      <c r="AW379" s="25">
        <v>-6.1945488249895632E-2</v>
      </c>
      <c r="AX379" s="26">
        <v>0.25527404151373423</v>
      </c>
      <c r="AY379" s="26">
        <v>-0.17520736838135584</v>
      </c>
      <c r="AZ379" s="18">
        <v>9.7397771100283428E-2</v>
      </c>
      <c r="BA379" s="18">
        <v>-6.3175086172112982E-2</v>
      </c>
      <c r="BB379" s="18">
        <v>-6.8853126992315331E-3</v>
      </c>
      <c r="BC379" s="18">
        <v>0.85120273282471681</v>
      </c>
      <c r="BD379" s="18">
        <v>-1.4565085158942597E-2</v>
      </c>
      <c r="BE379" s="18">
        <v>-9.9726439637478584E-2</v>
      </c>
      <c r="BF379" s="18">
        <v>-3.044982980409144E-2</v>
      </c>
      <c r="BG379" s="19">
        <v>-2.0175509095959259E-2</v>
      </c>
      <c r="BI379" s="23">
        <f t="shared" si="15"/>
        <v>0.84926236671861766</v>
      </c>
      <c r="BJ379" s="23">
        <f t="shared" si="16"/>
        <v>0.15073763328138234</v>
      </c>
    </row>
    <row r="380" spans="1:62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 t="str">
        <v>16.High rate of interest</v>
      </c>
      <c r="AW380" s="25">
        <v>-0.28297153954100329</v>
      </c>
      <c r="AX380" s="26">
        <v>0.40842614004681299</v>
      </c>
      <c r="AY380" s="26">
        <v>9.6324915389740626E-2</v>
      </c>
      <c r="AZ380" s="18">
        <v>3.9915551367896013E-2</v>
      </c>
      <c r="BA380" s="18">
        <v>-0.14956096702187927</v>
      </c>
      <c r="BB380" s="18">
        <v>-0.23215286424220397</v>
      </c>
      <c r="BC380" s="18">
        <v>0.49308394256440524</v>
      </c>
      <c r="BD380" s="18">
        <v>-4.275563897662242E-2</v>
      </c>
      <c r="BE380" s="18">
        <v>0.14990084942861073</v>
      </c>
      <c r="BF380" s="18">
        <v>0.39091367804883315</v>
      </c>
      <c r="BG380" s="19">
        <v>-8.1022871779659212E-3</v>
      </c>
      <c r="BI380" s="23">
        <f t="shared" si="15"/>
        <v>0.75432921434372413</v>
      </c>
      <c r="BJ380" s="23">
        <f t="shared" si="16"/>
        <v>0.24567078565627587</v>
      </c>
    </row>
    <row r="381" spans="1:62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 t="str">
        <v>17.Contractor’s financial difficulties</v>
      </c>
      <c r="AW381" s="25">
        <v>3.2111354984459856E-2</v>
      </c>
      <c r="AX381" s="26">
        <v>7.2912188891493868E-2</v>
      </c>
      <c r="AY381" s="26">
        <v>-0.10187546410361613</v>
      </c>
      <c r="AZ381" s="18">
        <v>-2.3091147871473466E-2</v>
      </c>
      <c r="BA381" s="18">
        <v>7.908777448781662E-2</v>
      </c>
      <c r="BB381" s="18">
        <v>-0.19489713621199514</v>
      </c>
      <c r="BC381" s="18">
        <v>0.80472764652890971</v>
      </c>
      <c r="BD381" s="18">
        <v>-0.24312093854931202</v>
      </c>
      <c r="BE381" s="18">
        <v>-8.1277844740772084E-2</v>
      </c>
      <c r="BF381" s="18">
        <v>-7.6592407869705845E-3</v>
      </c>
      <c r="BG381" s="19">
        <v>7.6779565991479282E-2</v>
      </c>
      <c r="BI381" s="23">
        <f t="shared" si="15"/>
        <v>0.78075313709934302</v>
      </c>
      <c r="BJ381" s="23">
        <f t="shared" si="16"/>
        <v>0.21924686290065698</v>
      </c>
    </row>
    <row r="382" spans="1:62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 t="str">
        <v>18.Increase in salaries of skilled laborers</v>
      </c>
      <c r="AW382" s="25">
        <v>-0.22646508110469415</v>
      </c>
      <c r="AX382" s="26">
        <v>-5.9489748074630838E-2</v>
      </c>
      <c r="AY382" s="26">
        <v>-4.6635320947671956E-2</v>
      </c>
      <c r="AZ382" s="18">
        <v>0.20189811880486358</v>
      </c>
      <c r="BA382" s="18">
        <v>-1.9459677195939631E-2</v>
      </c>
      <c r="BB382" s="18">
        <v>-0.70632676873063216</v>
      </c>
      <c r="BC382" s="18">
        <v>7.4230761382093988E-2</v>
      </c>
      <c r="BD382" s="18">
        <v>0.22247158923515556</v>
      </c>
      <c r="BE382" s="18">
        <v>-0.11056269824270316</v>
      </c>
      <c r="BF382" s="18">
        <v>0.19803412833662179</v>
      </c>
      <c r="BG382" s="19">
        <v>-2.3337870772101279E-2</v>
      </c>
      <c r="BI382" s="23">
        <f t="shared" si="15"/>
        <v>0.70402944627770914</v>
      </c>
      <c r="BJ382" s="23">
        <f t="shared" si="16"/>
        <v>0.29597055372229086</v>
      </c>
    </row>
    <row r="383" spans="1:62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 t="str">
        <v>19.Change design</v>
      </c>
      <c r="AW383" s="25">
        <v>-0.36569645784445975</v>
      </c>
      <c r="AX383" s="26">
        <v>0.72770094103847749</v>
      </c>
      <c r="AY383" s="26">
        <v>5.3884452237733894E-2</v>
      </c>
      <c r="AZ383" s="18">
        <v>0.23336282666764846</v>
      </c>
      <c r="BA383" s="18">
        <v>-0.13388919454547149</v>
      </c>
      <c r="BB383" s="18">
        <v>0.12914286601702796</v>
      </c>
      <c r="BC383" s="18">
        <v>2.4213811318199139E-2</v>
      </c>
      <c r="BD383" s="18">
        <v>8.9534410156090483E-2</v>
      </c>
      <c r="BE383" s="18">
        <v>-0.10330516525669066</v>
      </c>
      <c r="BF383" s="18">
        <v>5.2400092456438445E-2</v>
      </c>
      <c r="BG383" s="19">
        <v>0.10641871074522936</v>
      </c>
      <c r="BI383" s="23">
        <f t="shared" si="15"/>
        <v>0.78859388630605776</v>
      </c>
      <c r="BJ383" s="23">
        <f t="shared" si="16"/>
        <v>0.21140611369394224</v>
      </c>
    </row>
    <row r="384" spans="1:62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 t="str">
        <v>20.Errors and omission in design</v>
      </c>
      <c r="AW384" s="25">
        <v>-0.1452063538072785</v>
      </c>
      <c r="AX384" s="26">
        <v>0.85083204837827053</v>
      </c>
      <c r="AY384" s="26">
        <v>-4.8720487606639877E-2</v>
      </c>
      <c r="AZ384" s="18">
        <v>-1.773329556464778E-2</v>
      </c>
      <c r="BA384" s="18">
        <v>-4.9425066907132144E-2</v>
      </c>
      <c r="BB384" s="18">
        <v>5.2310070837474285E-3</v>
      </c>
      <c r="BC384" s="18">
        <v>0.11459682471495819</v>
      </c>
      <c r="BD384" s="18">
        <v>-7.2780221250430377E-2</v>
      </c>
      <c r="BE384" s="18">
        <v>-5.1527628642292718E-2</v>
      </c>
      <c r="BF384" s="18">
        <v>0.1184303262439568</v>
      </c>
      <c r="BG384" s="19">
        <v>3.5373427811827902E-2</v>
      </c>
      <c r="BI384" s="23">
        <f t="shared" si="15"/>
        <v>0.78651992701458395</v>
      </c>
      <c r="BJ384" s="23">
        <f t="shared" si="16"/>
        <v>0.21348007298541605</v>
      </c>
    </row>
    <row r="385" spans="1:62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 t="str">
        <v>21.Incomplete design drawings and specifications at tendering stage</v>
      </c>
      <c r="AW385" s="25">
        <v>-9.3806105656546152E-2</v>
      </c>
      <c r="AX385" s="26">
        <v>0.72540327578777375</v>
      </c>
      <c r="AY385" s="26">
        <v>-1.1034604511264047E-2</v>
      </c>
      <c r="AZ385" s="18">
        <v>0.35301817883538639</v>
      </c>
      <c r="BA385" s="18">
        <v>0.11991895880852323</v>
      </c>
      <c r="BB385" s="18">
        <v>-7.8281675664187339E-2</v>
      </c>
      <c r="BC385" s="18">
        <v>0.2968469652315075</v>
      </c>
      <c r="BD385" s="18">
        <v>1.1834146827156885E-2</v>
      </c>
      <c r="BE385" s="18">
        <v>3.9775141038923163E-2</v>
      </c>
      <c r="BF385" s="18">
        <v>4.6775559342682252E-2</v>
      </c>
      <c r="BG385" s="19">
        <v>7.7315471925197762E-2</v>
      </c>
      <c r="BI385" s="23">
        <f t="shared" si="15"/>
        <v>0.77826753728735187</v>
      </c>
      <c r="BJ385" s="23">
        <f t="shared" si="16"/>
        <v>0.22173246271264813</v>
      </c>
    </row>
    <row r="386" spans="1:62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 t="str">
        <v>22.Delay in preparation and approval of drawing</v>
      </c>
      <c r="AW386" s="25">
        <v>5.1930412076940581E-2</v>
      </c>
      <c r="AX386" s="26">
        <v>0.49022921450142193</v>
      </c>
      <c r="AY386" s="26">
        <v>-0.26913913058988298</v>
      </c>
      <c r="AZ386" s="18">
        <v>0.35769164643855594</v>
      </c>
      <c r="BA386" s="18">
        <v>-3.8934450139107568E-2</v>
      </c>
      <c r="BB386" s="18">
        <v>-0.38233616025574624</v>
      </c>
      <c r="BC386" s="18">
        <v>8.8690496081739179E-2</v>
      </c>
      <c r="BD386" s="18">
        <v>-7.1732709787570792E-2</v>
      </c>
      <c r="BE386" s="18">
        <v>5.1789504329297575E-2</v>
      </c>
      <c r="BF386" s="18">
        <v>-2.1195248612579487E-2</v>
      </c>
      <c r="BG386" s="19">
        <v>-5.3145300620410472E-2</v>
      </c>
      <c r="BI386" s="23">
        <f t="shared" si="15"/>
        <v>0.61006486689165729</v>
      </c>
      <c r="BJ386" s="23">
        <f t="shared" si="16"/>
        <v>0.38993513310834271</v>
      </c>
    </row>
    <row r="387" spans="1:62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 t="str">
        <v>23.Inaccurate quantity take-off</v>
      </c>
      <c r="AW387" s="25">
        <v>2.0912646021090598E-2</v>
      </c>
      <c r="AX387" s="26">
        <v>0.61780000446805761</v>
      </c>
      <c r="AY387" s="26">
        <v>-7.5008798346044728E-4</v>
      </c>
      <c r="AZ387" s="18">
        <v>-3.2020107907323188E-2</v>
      </c>
      <c r="BA387" s="18">
        <v>0.25056973673587712</v>
      </c>
      <c r="BB387" s="18">
        <v>-0.31116271231312392</v>
      </c>
      <c r="BC387" s="18">
        <v>7.0487320288881758E-2</v>
      </c>
      <c r="BD387" s="18">
        <v>-0.36402244815224544</v>
      </c>
      <c r="BE387" s="18">
        <v>7.8830662762714304E-2</v>
      </c>
      <c r="BF387" s="18">
        <v>0.13256559212148872</v>
      </c>
      <c r="BG387" s="19">
        <v>0.21871240904160655</v>
      </c>
      <c r="BI387" s="23">
        <f t="shared" si="15"/>
        <v>0.75185129328383593</v>
      </c>
      <c r="BJ387" s="23">
        <f t="shared" si="16"/>
        <v>0.24814870671616407</v>
      </c>
    </row>
    <row r="388" spans="1:62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 t="str">
        <v>24.Long period from planning of project to construction</v>
      </c>
      <c r="AW388" s="25">
        <v>1.1414583021118252E-2</v>
      </c>
      <c r="AX388" s="26">
        <v>0.20212982938455062</v>
      </c>
      <c r="AY388" s="26">
        <v>-0.14539994075592383</v>
      </c>
      <c r="AZ388" s="18">
        <v>-9.8756054597229272E-3</v>
      </c>
      <c r="BA388" s="18">
        <v>1.5499822932131995E-2</v>
      </c>
      <c r="BB388" s="18">
        <v>-2.1423991047742168E-2</v>
      </c>
      <c r="BC388" s="18">
        <v>7.9341989847860797E-2</v>
      </c>
      <c r="BD388" s="18">
        <v>-0.13465686622508391</v>
      </c>
      <c r="BE388" s="18">
        <v>6.025354840574116E-2</v>
      </c>
      <c r="BF388" s="18">
        <v>6.3213250368937463E-2</v>
      </c>
      <c r="BG388" s="19">
        <v>0.75965598111780086</v>
      </c>
      <c r="BI388" s="23">
        <f t="shared" si="15"/>
        <v>0.67205590063125276</v>
      </c>
      <c r="BJ388" s="23">
        <f t="shared" si="16"/>
        <v>0.32794409936874724</v>
      </c>
    </row>
    <row r="389" spans="1:62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 t="str">
        <v>25.Delays in issuing information to the contractor during construction stage</v>
      </c>
      <c r="AW389" s="25">
        <v>-0.27604159096616421</v>
      </c>
      <c r="AX389" s="26">
        <v>0.56258355420314587</v>
      </c>
      <c r="AY389" s="26">
        <v>-0.4415151925589228</v>
      </c>
      <c r="AZ389" s="18">
        <v>-0.1354118605469172</v>
      </c>
      <c r="BA389" s="18">
        <v>-0.20036963131199714</v>
      </c>
      <c r="BB389" s="18">
        <v>-0.10119241928442821</v>
      </c>
      <c r="BC389" s="18">
        <v>0.13078193843037206</v>
      </c>
      <c r="BD389" s="18">
        <v>-0.11742737139589494</v>
      </c>
      <c r="BE389" s="18">
        <v>-7.5690138990331918E-2</v>
      </c>
      <c r="BF389" s="18">
        <v>5.0993947876028872E-2</v>
      </c>
      <c r="BG389" s="19">
        <v>0.18351580726240396</v>
      </c>
      <c r="BI389" s="23">
        <f t="shared" si="15"/>
        <v>0.72925968186092249</v>
      </c>
      <c r="BJ389" s="23">
        <f t="shared" si="16"/>
        <v>0.27074031813907751</v>
      </c>
    </row>
    <row r="390" spans="1:62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 t="str">
        <v>26.No practical use of earned value management system</v>
      </c>
      <c r="AW390" s="25">
        <v>-0.22770644235765708</v>
      </c>
      <c r="AX390" s="26">
        <v>0.3423318410800929</v>
      </c>
      <c r="AY390" s="26">
        <v>-0.10478278544141123</v>
      </c>
      <c r="AZ390" s="18">
        <v>0.15760285995974771</v>
      </c>
      <c r="BA390" s="18">
        <v>-6.9974469729885733E-2</v>
      </c>
      <c r="BB390" s="18">
        <v>-0.62581068809704843</v>
      </c>
      <c r="BC390" s="18">
        <v>0.12492794776217833</v>
      </c>
      <c r="BD390" s="18">
        <v>-0.32022478527233422</v>
      </c>
      <c r="BE390" s="18">
        <v>1.3742255224396977E-2</v>
      </c>
      <c r="BF390" s="18">
        <v>-7.7354175667694258E-2</v>
      </c>
      <c r="BG390" s="19">
        <v>9.8308896286021852E-2</v>
      </c>
      <c r="BI390" s="23">
        <f t="shared" si="15"/>
        <v>0.73538291304693848</v>
      </c>
      <c r="BJ390" s="23">
        <f t="shared" si="16"/>
        <v>0.26461708695306152</v>
      </c>
    </row>
    <row r="391" spans="1:62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 t="str">
        <v>27.Lack of cost planning/monitoring during pre and post contract stage</v>
      </c>
      <c r="AW391" s="25">
        <v>-0.36701907116850646</v>
      </c>
      <c r="AX391" s="26">
        <v>0.42641338687637309</v>
      </c>
      <c r="AY391" s="26">
        <v>-0.35521273047209934</v>
      </c>
      <c r="AZ391" s="18">
        <v>9.8131808625032457E-2</v>
      </c>
      <c r="BA391" s="18">
        <v>-2.7736540206862351E-2</v>
      </c>
      <c r="BB391" s="18">
        <v>-0.19117085777707413</v>
      </c>
      <c r="BC391" s="18">
        <v>0.23598092503981213</v>
      </c>
      <c r="BD391" s="18">
        <v>-0.42753150685342189</v>
      </c>
      <c r="BE391" s="18">
        <v>-0.1426700082026465</v>
      </c>
      <c r="BF391" s="18">
        <v>-0.10200380690764474</v>
      </c>
      <c r="BG391" s="19">
        <v>7.244754626755924E-2</v>
      </c>
      <c r="BI391" s="23">
        <f t="shared" si="15"/>
        <v>0.76413126454749447</v>
      </c>
      <c r="BJ391" s="23">
        <f t="shared" si="16"/>
        <v>0.23586873545250553</v>
      </c>
    </row>
    <row r="392" spans="1:62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 t="str">
        <v>28.Poor communication between client, consultant and contractor</v>
      </c>
      <c r="AW392" s="25">
        <v>-0.41131814018455104</v>
      </c>
      <c r="AX392" s="26">
        <v>0.16422327873315465</v>
      </c>
      <c r="AY392" s="26">
        <v>-0.45222651534856401</v>
      </c>
      <c r="AZ392" s="18">
        <v>0.11924042291860047</v>
      </c>
      <c r="BA392" s="18">
        <v>0.10388137251081858</v>
      </c>
      <c r="BB392" s="18">
        <v>-0.4212761851240876</v>
      </c>
      <c r="BC392" s="18">
        <v>0.26452176717631487</v>
      </c>
      <c r="BD392" s="18">
        <v>-0.17389397316774066</v>
      </c>
      <c r="BE392" s="18">
        <v>-0.11640921289385214</v>
      </c>
      <c r="BF392" s="18">
        <v>2.4916640588056305E-2</v>
      </c>
      <c r="BG392" s="19">
        <v>-0.17723344130591226</v>
      </c>
      <c r="BI392" s="23">
        <f t="shared" si="15"/>
        <v>0.74893847682833337</v>
      </c>
      <c r="BJ392" s="23">
        <f t="shared" si="16"/>
        <v>0.25106152317166663</v>
      </c>
    </row>
    <row r="393" spans="1:62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 t="str">
        <v>29.Insufficient coordination between local authority who is responsible about road projects and service authorities</v>
      </c>
      <c r="AW393" s="25">
        <v>-0.36154987176317838</v>
      </c>
      <c r="AX393" s="26">
        <v>7.1341438251144626E-2</v>
      </c>
      <c r="AY393" s="26">
        <v>-0.73779678377306934</v>
      </c>
      <c r="AZ393" s="18">
        <v>8.922654066274438E-2</v>
      </c>
      <c r="BA393" s="18">
        <v>0.15134447443389321</v>
      </c>
      <c r="BB393" s="18">
        <v>-0.18414996011085458</v>
      </c>
      <c r="BC393" s="18">
        <v>8.3912279182941432E-2</v>
      </c>
      <c r="BD393" s="18">
        <v>-7.375290772612679E-2</v>
      </c>
      <c r="BE393" s="18">
        <v>1.4149948949898251E-2</v>
      </c>
      <c r="BF393" s="18">
        <v>-0.12172827560681564</v>
      </c>
      <c r="BG393" s="19">
        <v>-7.5541689992125339E-3</v>
      </c>
      <c r="BI393" s="23">
        <f t="shared" si="15"/>
        <v>0.77248555964123566</v>
      </c>
      <c r="BJ393" s="23">
        <f t="shared" si="16"/>
        <v>0.22751444035876434</v>
      </c>
    </row>
    <row r="394" spans="1:62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 t="str">
        <v>30.Delays in decisions making by the approval authorities</v>
      </c>
      <c r="AW394" s="25">
        <v>-9.8454341726112019E-2</v>
      </c>
      <c r="AX394" s="26">
        <v>3.862984161286475E-2</v>
      </c>
      <c r="AY394" s="26">
        <v>-0.64268339450853662</v>
      </c>
      <c r="AZ394" s="18">
        <v>0.13387117935267595</v>
      </c>
      <c r="BA394" s="18">
        <v>-0.22604546877002979</v>
      </c>
      <c r="BB394" s="18">
        <v>-5.7044511131220645E-2</v>
      </c>
      <c r="BC394" s="18">
        <v>0.22305970589302887</v>
      </c>
      <c r="BD394" s="18">
        <v>5.8192217562858639E-2</v>
      </c>
      <c r="BE394" s="18">
        <v>9.885032815891695E-2</v>
      </c>
      <c r="BF394" s="18">
        <v>6.5568166155579921E-2</v>
      </c>
      <c r="BG394" s="19">
        <v>0.33765115405318202</v>
      </c>
      <c r="BI394" s="23">
        <f t="shared" si="15"/>
        <v>0.67772043070925581</v>
      </c>
      <c r="BJ394" s="23">
        <f t="shared" si="16"/>
        <v>0.32227956929074419</v>
      </c>
    </row>
    <row r="395" spans="1:62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 t="str">
        <v>31.Change schedule</v>
      </c>
      <c r="AW395" s="25">
        <v>2.4826803951024563E-2</v>
      </c>
      <c r="AX395" s="26">
        <v>0.26359612404822186</v>
      </c>
      <c r="AY395" s="26">
        <v>-0.14863278791852602</v>
      </c>
      <c r="AZ395" s="18">
        <v>0.15943415328553937</v>
      </c>
      <c r="BA395" s="18">
        <v>-0.38767506974645649</v>
      </c>
      <c r="BB395" s="18">
        <v>-0.57026154601367163</v>
      </c>
      <c r="BC395" s="18">
        <v>0.14449873768315247</v>
      </c>
      <c r="BD395" s="18">
        <v>-9.4587678855466734E-2</v>
      </c>
      <c r="BE395" s="18">
        <v>6.5193181628855165E-2</v>
      </c>
      <c r="BF395" s="18">
        <v>0.15930857995502451</v>
      </c>
      <c r="BG395" s="19">
        <v>2.0111579916769561E-2</v>
      </c>
      <c r="BI395" s="23">
        <f t="shared" si="15"/>
        <v>0.65296099665901863</v>
      </c>
      <c r="BJ395" s="23">
        <f t="shared" si="16"/>
        <v>0.34703900334098137</v>
      </c>
    </row>
    <row r="396" spans="1:62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 t="str">
        <v>32.Stoppages because of work being rejected by consultant</v>
      </c>
      <c r="AW396" s="25">
        <v>-0.14105343590946168</v>
      </c>
      <c r="AX396" s="26">
        <v>0.54989572908104123</v>
      </c>
      <c r="AY396" s="26">
        <v>3.8923724053890579E-2</v>
      </c>
      <c r="AZ396" s="18">
        <v>-4.0509996010486389E-2</v>
      </c>
      <c r="BA396" s="18">
        <v>-0.24569097549382937</v>
      </c>
      <c r="BB396" s="18">
        <v>-0.24448234812937764</v>
      </c>
      <c r="BC396" s="18">
        <v>2.2029635456011019E-2</v>
      </c>
      <c r="BD396" s="18">
        <v>-0.18944201058614632</v>
      </c>
      <c r="BE396" s="18">
        <v>-0.33007882783898218</v>
      </c>
      <c r="BF396" s="18">
        <v>0.24857371685945201</v>
      </c>
      <c r="BG396" s="19">
        <v>-0.14314776118250327</v>
      </c>
      <c r="BI396" s="23">
        <f t="shared" si="15"/>
        <v>0.67317896174607994</v>
      </c>
      <c r="BJ396" s="23">
        <f t="shared" si="16"/>
        <v>0.32682103825392006</v>
      </c>
    </row>
    <row r="397" spans="1:62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 t="str">
        <v>33.Lowest bid price</v>
      </c>
      <c r="AW397" s="25">
        <v>-0.11960182300889886</v>
      </c>
      <c r="AX397" s="26">
        <v>-7.1708914103016923E-3</v>
      </c>
      <c r="AY397" s="26">
        <v>-6.9335150705335538E-2</v>
      </c>
      <c r="AZ397" s="18">
        <v>0.20719624897984865</v>
      </c>
      <c r="BA397" s="18">
        <v>-0.68286586038262143</v>
      </c>
      <c r="BB397" s="18">
        <v>-9.702006949434927E-2</v>
      </c>
      <c r="BC397" s="18">
        <v>-8.7028579086164161E-3</v>
      </c>
      <c r="BD397" s="18">
        <v>2.4490546966518166E-2</v>
      </c>
      <c r="BE397" s="18">
        <v>-0.45144481185005592</v>
      </c>
      <c r="BF397" s="18">
        <v>-6.6216566868244744E-2</v>
      </c>
      <c r="BG397" s="19">
        <v>1.3160931509769406E-2</v>
      </c>
      <c r="BI397" s="23">
        <f t="shared" si="15"/>
        <v>0.74684813224495827</v>
      </c>
      <c r="BJ397" s="23">
        <f t="shared" si="16"/>
        <v>0.25315186775504173</v>
      </c>
    </row>
    <row r="398" spans="1:62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 t="str">
        <v>34.Insufficient time for preparation of contract documents</v>
      </c>
      <c r="AW398" s="25">
        <v>-0.35852184403679949</v>
      </c>
      <c r="AX398" s="26">
        <v>0.2517423113911863</v>
      </c>
      <c r="AY398" s="26">
        <v>-1.7600749966269841E-2</v>
      </c>
      <c r="AZ398" s="18">
        <v>0.12311352213902452</v>
      </c>
      <c r="BA398" s="18">
        <v>-0.534362175993366</v>
      </c>
      <c r="BB398" s="18">
        <v>-0.16975308203128153</v>
      </c>
      <c r="BC398" s="18">
        <v>0.28221123709672385</v>
      </c>
      <c r="BD398" s="18">
        <v>-0.37164498171952304</v>
      </c>
      <c r="BE398" s="18">
        <v>4.7911851097680293E-2</v>
      </c>
      <c r="BF398" s="18">
        <v>0.22516206573231942</v>
      </c>
      <c r="BG398" s="19">
        <v>-7.3509036733856059E-2</v>
      </c>
      <c r="BI398" s="23">
        <f t="shared" si="15"/>
        <v>0.79789812830341833</v>
      </c>
      <c r="BJ398" s="23">
        <f t="shared" si="16"/>
        <v>0.20210187169658167</v>
      </c>
    </row>
    <row r="399" spans="1:62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 t="str">
        <v>35.Discrepancies in contract documents</v>
      </c>
      <c r="AW399" s="25">
        <v>-0.38227320746487709</v>
      </c>
      <c r="AX399" s="26">
        <v>0.2247402678546068</v>
      </c>
      <c r="AY399" s="26">
        <v>-0.14662324760628034</v>
      </c>
      <c r="AZ399" s="18">
        <v>4.8084455539518331E-2</v>
      </c>
      <c r="BA399" s="18">
        <v>-0.39916394074570027</v>
      </c>
      <c r="BB399" s="18">
        <v>-0.11571968877943457</v>
      </c>
      <c r="BC399" s="18">
        <v>0.13173047836812907</v>
      </c>
      <c r="BD399" s="18">
        <v>-0.59685924384111044</v>
      </c>
      <c r="BE399" s="18">
        <v>5.4512083990310788E-2</v>
      </c>
      <c r="BF399" s="18">
        <v>0.12320191289388485</v>
      </c>
      <c r="BG399" s="19">
        <v>-1.4605729312148423E-2</v>
      </c>
      <c r="BI399" s="23">
        <f t="shared" si="15"/>
        <v>0.78513186456693318</v>
      </c>
      <c r="BJ399" s="23">
        <f t="shared" si="16"/>
        <v>0.21486813543306682</v>
      </c>
    </row>
    <row r="400" spans="1:62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 t="str">
        <v>36.Underestimation of time for completion of project</v>
      </c>
      <c r="AW400" s="25">
        <v>-0.35121942715749105</v>
      </c>
      <c r="AX400" s="26">
        <v>3.6337978547105729E-2</v>
      </c>
      <c r="AY400" s="26">
        <v>-0.11594100071475126</v>
      </c>
      <c r="AZ400" s="18">
        <v>-3.3551765057420101E-2</v>
      </c>
      <c r="BA400" s="18">
        <v>-1.1710662578023276E-3</v>
      </c>
      <c r="BB400" s="18">
        <v>9.1613889821717559E-2</v>
      </c>
      <c r="BC400" s="18">
        <v>-0.13108329579157935</v>
      </c>
      <c r="BD400" s="18">
        <v>-0.6224113985257973</v>
      </c>
      <c r="BE400" s="18">
        <v>-0.30613544263282483</v>
      </c>
      <c r="BF400" s="18">
        <v>0.20221570135441314</v>
      </c>
      <c r="BG400" s="19">
        <v>0.17324617759203509</v>
      </c>
      <c r="BI400" s="23">
        <f t="shared" si="15"/>
        <v>0.71684116409830356</v>
      </c>
      <c r="BJ400" s="23">
        <f t="shared" si="16"/>
        <v>0.28315883590169644</v>
      </c>
    </row>
    <row r="401" spans="1:92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 t="str">
        <v>37.Extension of time with cost claims</v>
      </c>
      <c r="AW401" s="25">
        <v>7.6520133853969205E-2</v>
      </c>
      <c r="AX401" s="26">
        <v>-3.7242504240591811E-3</v>
      </c>
      <c r="AY401" s="26">
        <v>-0.29725780955812287</v>
      </c>
      <c r="AZ401" s="18">
        <v>0.27922074210287262</v>
      </c>
      <c r="BA401" s="18">
        <v>5.9166061176011142E-3</v>
      </c>
      <c r="BB401" s="18">
        <v>6.4759996085151039E-2</v>
      </c>
      <c r="BC401" s="18">
        <v>0.28588327322534185</v>
      </c>
      <c r="BD401" s="18">
        <v>-0.24395063230453218</v>
      </c>
      <c r="BE401" s="18">
        <v>-0.44516725233305876</v>
      </c>
      <c r="BF401" s="18">
        <v>0.24235092716809065</v>
      </c>
      <c r="BG401" s="19">
        <v>0.11292463750005274</v>
      </c>
      <c r="BI401" s="23">
        <f t="shared" si="15"/>
        <v>0.58732547752625541</v>
      </c>
      <c r="BJ401" s="23">
        <f t="shared" si="16"/>
        <v>0.41267452247374459</v>
      </c>
    </row>
    <row r="402" spans="1:92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 t="str">
        <v>38.Scope and specification changes</v>
      </c>
      <c r="AW402" s="25">
        <v>-8.8412046380369563E-2</v>
      </c>
      <c r="AX402" s="26">
        <v>8.9992693719049416E-2</v>
      </c>
      <c r="AY402" s="26">
        <v>-4.1173224618381597E-2</v>
      </c>
      <c r="AZ402" s="18">
        <v>0.80146943190426967</v>
      </c>
      <c r="BA402" s="18">
        <v>-0.10357902090791236</v>
      </c>
      <c r="BB402" s="18">
        <v>-0.23092525185334889</v>
      </c>
      <c r="BC402" s="18">
        <v>1.496496861320175E-2</v>
      </c>
      <c r="BD402" s="18">
        <v>-7.71747882473168E-2</v>
      </c>
      <c r="BE402" s="18">
        <v>-7.2925450984169873E-3</v>
      </c>
      <c r="BF402" s="18">
        <v>-6.7340825627224222E-3</v>
      </c>
      <c r="BG402" s="19">
        <v>7.8851135888581989E-2</v>
      </c>
      <c r="BI402" s="23">
        <f t="shared" si="15"/>
        <v>0.73651487402568383</v>
      </c>
      <c r="BJ402" s="23">
        <f t="shared" si="16"/>
        <v>0.26348512597431617</v>
      </c>
    </row>
    <row r="403" spans="1:92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 t="str">
        <v>39.Changes in client requirements</v>
      </c>
      <c r="AW403" s="25">
        <v>-0.27151414910207639</v>
      </c>
      <c r="AX403" s="26">
        <v>2.7228802291352355E-2</v>
      </c>
      <c r="AY403" s="26">
        <v>-8.4217490076845147E-2</v>
      </c>
      <c r="AZ403" s="18">
        <v>0.80638719601716002</v>
      </c>
      <c r="BA403" s="18">
        <v>-7.1251126635846332E-2</v>
      </c>
      <c r="BB403" s="18">
        <v>-8.6093537861660685E-2</v>
      </c>
      <c r="BC403" s="18">
        <v>0.10596786091061007</v>
      </c>
      <c r="BD403" s="18">
        <v>3.3485372129069282E-2</v>
      </c>
      <c r="BE403" s="18">
        <v>-0.11557673910931635</v>
      </c>
      <c r="BF403" s="18">
        <v>-8.4842333408683301E-2</v>
      </c>
      <c r="BG403" s="19">
        <v>0.11593949861033234</v>
      </c>
      <c r="BI403" s="23">
        <f t="shared" si="15"/>
        <v>0.7906516858725029</v>
      </c>
      <c r="BJ403" s="23">
        <f t="shared" si="16"/>
        <v>0.2093483141274971</v>
      </c>
    </row>
    <row r="404" spans="1:92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 t="str">
        <v>40.Frequency of variation orders and additional works</v>
      </c>
      <c r="AW404" s="25">
        <v>-0.1146783071050911</v>
      </c>
      <c r="AX404" s="26">
        <v>0.16059279541595084</v>
      </c>
      <c r="AY404" s="26">
        <v>-7.9338505273577747E-2</v>
      </c>
      <c r="AZ404" s="18">
        <v>0.80264816110849324</v>
      </c>
      <c r="BA404" s="18">
        <v>-3.8673767054079038E-2</v>
      </c>
      <c r="BB404" s="18">
        <v>-3.1373719174645286E-2</v>
      </c>
      <c r="BC404" s="18">
        <v>7.4708606702385896E-2</v>
      </c>
      <c r="BD404" s="18">
        <v>-1.8595907147671627E-2</v>
      </c>
      <c r="BE404" s="18">
        <v>4.6892530506928633E-2</v>
      </c>
      <c r="BF404" s="18">
        <v>5.6713134456172688E-2</v>
      </c>
      <c r="BG404" s="19">
        <v>-0.22283650512334652</v>
      </c>
      <c r="BI404" s="23">
        <f t="shared" si="15"/>
        <v>0.75295838025372397</v>
      </c>
      <c r="BJ404" s="23">
        <f t="shared" si="16"/>
        <v>0.24704161974627603</v>
      </c>
    </row>
    <row r="405" spans="1:92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 t="str">
        <v>41.Rework due to error in execution</v>
      </c>
      <c r="AW405" s="25">
        <v>-0.39179028466768051</v>
      </c>
      <c r="AX405" s="26">
        <v>0.15147416898414626</v>
      </c>
      <c r="AY405" s="26">
        <v>0.32259487405723941</v>
      </c>
      <c r="AZ405" s="18">
        <v>0.19678724196716249</v>
      </c>
      <c r="BA405" s="18">
        <v>3.9497576030688153E-2</v>
      </c>
      <c r="BB405" s="18">
        <v>7.9609966194920268E-3</v>
      </c>
      <c r="BC405" s="18">
        <v>0.27907876421227212</v>
      </c>
      <c r="BD405" s="18">
        <v>-0.52308310502638944</v>
      </c>
      <c r="BE405" s="18">
        <v>-7.3462001728847884E-2</v>
      </c>
      <c r="BF405" s="18">
        <v>0.1670125251343432</v>
      </c>
      <c r="BG405" s="19">
        <v>8.2777375936335926E-2</v>
      </c>
      <c r="BI405" s="23">
        <f t="shared" si="15"/>
        <v>0.7125029929929062</v>
      </c>
      <c r="BJ405" s="23">
        <f t="shared" si="16"/>
        <v>0.2874970070070938</v>
      </c>
    </row>
    <row r="406" spans="1:92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 t="str">
        <v>42.Weather conditions</v>
      </c>
      <c r="AW406" s="25">
        <v>-0.19792365460838246</v>
      </c>
      <c r="AX406" s="26">
        <v>0.32742299419685383</v>
      </c>
      <c r="AY406" s="26">
        <v>-0.19774234948332825</v>
      </c>
      <c r="AZ406" s="18">
        <v>-9.4478183665288692E-2</v>
      </c>
      <c r="BA406" s="18">
        <v>-2.5327559254040618E-2</v>
      </c>
      <c r="BB406" s="18">
        <v>-0.24158759764708462</v>
      </c>
      <c r="BC406" s="18">
        <v>6.4674184103325455E-2</v>
      </c>
      <c r="BD406" s="18">
        <v>-0.24235571500389602</v>
      </c>
      <c r="BE406" s="18">
        <v>-0.16199049634477139</v>
      </c>
      <c r="BF406" s="18">
        <v>0.70554172337329879</v>
      </c>
      <c r="BG406" s="19">
        <v>-4.3347021667822269E-2</v>
      </c>
      <c r="BI406" s="23">
        <f t="shared" si="15"/>
        <v>0.84224185804344764</v>
      </c>
      <c r="BJ406" s="23">
        <f t="shared" si="16"/>
        <v>0.15775814195655236</v>
      </c>
    </row>
    <row r="407" spans="1:92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 t="str">
        <v>43.Accidents during construction</v>
      </c>
      <c r="AW407" s="25">
        <v>-0.25690859414948719</v>
      </c>
      <c r="AX407" s="26">
        <v>0.12238312990183924</v>
      </c>
      <c r="AY407" s="26">
        <v>-8.8169229659701004E-3</v>
      </c>
      <c r="AZ407" s="18">
        <v>1.3616949797154013E-2</v>
      </c>
      <c r="BA407" s="18">
        <v>-1.66621011004611E-2</v>
      </c>
      <c r="BB407" s="18">
        <v>-4.2920296878510324E-2</v>
      </c>
      <c r="BC407" s="18">
        <v>-1.5275884763623992E-2</v>
      </c>
      <c r="BD407" s="18">
        <v>-5.5641841270806937E-2</v>
      </c>
      <c r="BE407" s="18">
        <v>-0.29371790800761255</v>
      </c>
      <c r="BF407" s="18">
        <v>0.78360483753637011</v>
      </c>
      <c r="BG407" s="19">
        <v>0.10639554391995185</v>
      </c>
      <c r="BI407" s="23">
        <f t="shared" si="15"/>
        <v>0.79831872299813278</v>
      </c>
      <c r="BJ407" s="23">
        <f t="shared" si="16"/>
        <v>0.20168127700186722</v>
      </c>
    </row>
    <row r="408" spans="1:92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 t="str">
        <v>44.Delay in getting NOCs from different government authorities</v>
      </c>
      <c r="AW408" s="27">
        <v>-8.4306199307909113E-2</v>
      </c>
      <c r="AX408" s="28">
        <v>-3.4988061636388856E-3</v>
      </c>
      <c r="AY408" s="28">
        <v>-0.66059131597083076</v>
      </c>
      <c r="AZ408" s="20">
        <v>0.10397172215364205</v>
      </c>
      <c r="BA408" s="20">
        <v>-0.10565759839730783</v>
      </c>
      <c r="BB408" s="20">
        <v>2.2860705774366889E-2</v>
      </c>
      <c r="BC408" s="20">
        <v>0.20433863809184274</v>
      </c>
      <c r="BD408" s="20">
        <v>-1.9332101508998716E-2</v>
      </c>
      <c r="BE408" s="20">
        <v>-0.31422022966671725</v>
      </c>
      <c r="BF408" s="20">
        <v>0.34271345357171601</v>
      </c>
      <c r="BG408" s="21">
        <v>-4.04103996933192E-2</v>
      </c>
      <c r="BI408" s="24">
        <f t="shared" si="15"/>
        <v>0.72594479615778695</v>
      </c>
      <c r="BJ408" s="24">
        <f t="shared" si="16"/>
        <v>0.27405520384221305</v>
      </c>
    </row>
    <row r="409" spans="1:92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>
        <f>SUMSQ(AW365:AW408)</f>
        <v>6.9436965839415219</v>
      </c>
      <c r="AX409" s="3">
        <f t="shared" ref="AX409:BG409" si="17">SUMSQ(AX365:AX408)</f>
        <v>4.3839812581912412</v>
      </c>
      <c r="AY409" s="3">
        <f t="shared" si="17"/>
        <v>2.7443349382452396</v>
      </c>
      <c r="AZ409" s="3">
        <f t="shared" si="17"/>
        <v>2.8480126106819292</v>
      </c>
      <c r="BA409" s="3">
        <f t="shared" si="17"/>
        <v>1.6157001316323567</v>
      </c>
      <c r="BB409" s="3">
        <f t="shared" si="17"/>
        <v>2.5021627296168938</v>
      </c>
      <c r="BC409" s="3">
        <f t="shared" si="17"/>
        <v>2.9688643332265401</v>
      </c>
      <c r="BD409" s="3">
        <f t="shared" si="17"/>
        <v>2.2297952237745076</v>
      </c>
      <c r="BE409" s="3">
        <f t="shared" si="17"/>
        <v>3.2372718192361951</v>
      </c>
      <c r="BF409" s="3">
        <f t="shared" si="17"/>
        <v>2.0558509879181366</v>
      </c>
      <c r="BG409" s="3">
        <f t="shared" si="17"/>
        <v>1.4793728582035008</v>
      </c>
      <c r="BI409">
        <f>SUM(BI365:BI408)</f>
        <v>33.009043474668061</v>
      </c>
      <c r="BJ409">
        <f>SUM(BJ365:BJ408)</f>
        <v>10.99095652533194</v>
      </c>
    </row>
    <row r="410" spans="1:92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92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 t="s">
        <v>208</v>
      </c>
      <c r="AW411" s="3"/>
      <c r="AX411" s="3"/>
      <c r="AY411" s="3"/>
    </row>
    <row r="412" spans="1:92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92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 t="str">
        <f t="array" ref="AW413:CN413">B1:AS1</f>
        <v>1.Delay in delivering material to construction site</v>
      </c>
      <c r="AX413" s="3" t="str">
        <v>2.Monopoly of material by some suppliers</v>
      </c>
      <c r="AY413" s="3" t="str">
        <v>3.Prices fluctuation</v>
      </c>
      <c r="AZ413" t="str">
        <v>4.Types of material availability at local market</v>
      </c>
      <c r="BA413" t="str">
        <v>5.Lack of consultant’s knowledge of available materials</v>
      </c>
      <c r="BB413" t="str">
        <v>6.Low productivity</v>
      </c>
      <c r="BC413" t="str">
        <v>7.Poor work execution</v>
      </c>
      <c r="BD413" t="str">
        <v>8.Shortage of laborers</v>
      </c>
      <c r="BE413" t="str">
        <v>9.Mistakes happens during construction phase</v>
      </c>
      <c r="BF413" t="str">
        <v>10.Unavailability of equipment</v>
      </c>
      <c r="BG413" t="str">
        <v>11.Lack of engineering experience</v>
      </c>
      <c r="BH413" t="str">
        <v>12.Construction cost underestimation</v>
      </c>
      <c r="BI413" t="str">
        <v>13.Poor site management</v>
      </c>
      <c r="BJ413" t="str">
        <v>14.Delayed payment for completed work</v>
      </c>
      <c r="BK413" t="str">
        <v>15.Cash flow problem during construction</v>
      </c>
      <c r="BL413" t="str">
        <v>16.High rate of interest</v>
      </c>
      <c r="BM413" t="str">
        <v>17.Contractor’s financial difficulties</v>
      </c>
      <c r="BN413" t="str">
        <v>18.Increase in salaries of skilled laborers</v>
      </c>
      <c r="BO413" t="str">
        <v>19.Change design</v>
      </c>
      <c r="BP413" t="str">
        <v>20.Errors and omission in design</v>
      </c>
      <c r="BQ413" t="str">
        <v>21.Incomplete design drawings and specifications at tendering stage</v>
      </c>
      <c r="BR413" t="str">
        <v>22.Delay in preparation and approval of drawing</v>
      </c>
      <c r="BS413" t="str">
        <v>23.Inaccurate quantity take-off</v>
      </c>
      <c r="BT413" t="str">
        <v>24.Long period from planning of project to construction</v>
      </c>
      <c r="BU413" t="str">
        <v>25.Delays in issuing information to the contractor during construction stage</v>
      </c>
      <c r="BV413" t="str">
        <v>26.No practical use of earned value management system</v>
      </c>
      <c r="BW413" t="str">
        <v>27.Lack of cost planning/monitoring during pre and post contract stage</v>
      </c>
      <c r="BX413" t="str">
        <v>28.Poor communication between client, consultant and contractor</v>
      </c>
      <c r="BY413" t="str">
        <v>29.Insufficient coordination between local authority who is responsible about road projects and service authorities</v>
      </c>
      <c r="BZ413" t="str">
        <v>30.Delays in decisions making by the approval authorities</v>
      </c>
      <c r="CA413" t="str">
        <v>31.Change schedule</v>
      </c>
      <c r="CB413" t="str">
        <v>32.Stoppages because of work being rejected by consultant</v>
      </c>
      <c r="CC413" t="str">
        <v>33.Lowest bid price</v>
      </c>
      <c r="CD413" t="str">
        <v>34.Insufficient time for preparation of contract documents</v>
      </c>
      <c r="CE413" t="str">
        <v>35.Discrepancies in contract documents</v>
      </c>
      <c r="CF413" t="str">
        <v>36.Underestimation of time for completion of project</v>
      </c>
      <c r="CG413" t="str">
        <v>37.Extension of time with cost claims</v>
      </c>
      <c r="CH413" t="str">
        <v>38.Scope and specification changes</v>
      </c>
      <c r="CI413" t="str">
        <v>39.Changes in client requirements</v>
      </c>
      <c r="CJ413" t="str">
        <v>40.Frequency of variation orders and additional works</v>
      </c>
      <c r="CK413" t="str">
        <v>41.Rework due to error in execution</v>
      </c>
      <c r="CL413" t="str">
        <v>42.Weather conditions</v>
      </c>
      <c r="CM413" t="str">
        <v>43.Accidents during construction</v>
      </c>
      <c r="CN413" t="str">
        <v>44.Delay in getting NOCs from different government authorities</v>
      </c>
    </row>
    <row r="414" spans="1:92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 t="str">
        <f t="array" ref="AV414:AV457">TRANSPOSE(B1:AS1)</f>
        <v>1.Delay in delivering material to construction site</v>
      </c>
      <c r="AW414" s="34">
        <f t="array" ref="AW414:CN457">MMULT(AW316:BG359,TRANSPOSE(AW316:BG359))</f>
        <v>0.71533398126804526</v>
      </c>
      <c r="AX414" s="35">
        <v>0.64534642289146116</v>
      </c>
      <c r="AY414" s="35">
        <v>0.29854059060763311</v>
      </c>
      <c r="AZ414" s="16">
        <v>0.64651630419150519</v>
      </c>
      <c r="BA414" s="16">
        <v>0.4351447621656005</v>
      </c>
      <c r="BB414" s="16">
        <v>0.47776662161683936</v>
      </c>
      <c r="BC414" s="16">
        <v>0.53948705887575488</v>
      </c>
      <c r="BD414" s="16">
        <v>0.53066224258682726</v>
      </c>
      <c r="BE414" s="16">
        <v>0.41146405724359308</v>
      </c>
      <c r="BF414" s="16">
        <v>0.52481733861191293</v>
      </c>
      <c r="BG414" s="16">
        <v>0.41827163533863193</v>
      </c>
      <c r="BH414" s="16">
        <v>0.31647493912413405</v>
      </c>
      <c r="BI414" s="16">
        <v>0.29969891535981785</v>
      </c>
      <c r="BJ414" s="16">
        <v>0.16865293446332516</v>
      </c>
      <c r="BK414" s="16">
        <v>0.15771632247261355</v>
      </c>
      <c r="BL414" s="16">
        <v>7.6233251421836346E-2</v>
      </c>
      <c r="BM414" s="16">
        <v>8.6284150816009819E-2</v>
      </c>
      <c r="BN414" s="16">
        <v>0.19921420525796182</v>
      </c>
      <c r="BO414" s="16">
        <v>0.17259741391356262</v>
      </c>
      <c r="BP414" s="16">
        <v>9.4688038353750739E-2</v>
      </c>
      <c r="BQ414" s="16">
        <v>-1.1191110552050045E-2</v>
      </c>
      <c r="BR414" s="16">
        <v>2.5307466226021175E-2</v>
      </c>
      <c r="BS414" s="16">
        <v>-0.10102933888796284</v>
      </c>
      <c r="BT414" s="16">
        <v>-0.16262234035940343</v>
      </c>
      <c r="BU414" s="16">
        <v>0.20570670549075856</v>
      </c>
      <c r="BV414" s="16">
        <v>0.10511488027953339</v>
      </c>
      <c r="BW414" s="16">
        <v>0.2968794582211316</v>
      </c>
      <c r="BX414" s="16">
        <v>0.3467571725318217</v>
      </c>
      <c r="BY414" s="16">
        <v>0.2006431297684643</v>
      </c>
      <c r="BZ414" s="16">
        <v>4.9334079232585662E-2</v>
      </c>
      <c r="CA414" s="16">
        <v>7.3766918153847783E-2</v>
      </c>
      <c r="CB414" s="16">
        <v>0.37798519761712113</v>
      </c>
      <c r="CC414" s="16">
        <v>0.46412174502981157</v>
      </c>
      <c r="CD414" s="16">
        <v>0.27111497806439533</v>
      </c>
      <c r="CE414" s="16">
        <v>0.25894111590632796</v>
      </c>
      <c r="CF414" s="16">
        <v>0.39538767117709278</v>
      </c>
      <c r="CG414" s="16">
        <v>0.39306645058228462</v>
      </c>
      <c r="CH414" s="16">
        <v>9.6635298801456215E-2</v>
      </c>
      <c r="CI414" s="16">
        <v>0.20620872187768144</v>
      </c>
      <c r="CJ414" s="16">
        <v>0.12823887223403357</v>
      </c>
      <c r="CK414" s="16">
        <v>0.20421193302582535</v>
      </c>
      <c r="CL414" s="16">
        <v>0.34436675910758086</v>
      </c>
      <c r="CM414" s="16">
        <v>0.39285099532609119</v>
      </c>
      <c r="CN414" s="17">
        <v>0.44064865295067229</v>
      </c>
    </row>
    <row r="415" spans="1:92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 t="str">
        <v>2.Monopoly of material by some suppliers</v>
      </c>
      <c r="AW415" s="25">
        <v>0.64534642289146116</v>
      </c>
      <c r="AX415" s="26">
        <v>0.7751455269143982</v>
      </c>
      <c r="AY415" s="26">
        <v>0.33697518530159642</v>
      </c>
      <c r="AZ415" s="18">
        <v>0.61190878893974798</v>
      </c>
      <c r="BA415" s="18">
        <v>0.43630266685242136</v>
      </c>
      <c r="BB415" s="18">
        <v>0.38546870897535301</v>
      </c>
      <c r="BC415" s="18">
        <v>0.44608195962111069</v>
      </c>
      <c r="BD415" s="18">
        <v>0.39412639182346665</v>
      </c>
      <c r="BE415" s="18">
        <v>0.32312272884131144</v>
      </c>
      <c r="BF415" s="18">
        <v>0.38298701280869624</v>
      </c>
      <c r="BG415" s="18">
        <v>0.41883544253214311</v>
      </c>
      <c r="BH415" s="18">
        <v>0.20148416899839369</v>
      </c>
      <c r="BI415" s="18">
        <v>0.25734916882398678</v>
      </c>
      <c r="BJ415" s="18">
        <v>0.16596282518064251</v>
      </c>
      <c r="BK415" s="18">
        <v>0.21798319925820145</v>
      </c>
      <c r="BL415" s="18">
        <v>0.12348537436550033</v>
      </c>
      <c r="BM415" s="18">
        <v>0.11565001820195986</v>
      </c>
      <c r="BN415" s="18">
        <v>4.5927226754785819E-2</v>
      </c>
      <c r="BO415" s="18">
        <v>0.28993379128662999</v>
      </c>
      <c r="BP415" s="18">
        <v>0.2444531198798689</v>
      </c>
      <c r="BQ415" s="18">
        <v>0.10180991322244724</v>
      </c>
      <c r="BR415" s="18">
        <v>-7.2295552650793765E-2</v>
      </c>
      <c r="BS415" s="18">
        <v>-1.0890921496213971E-2</v>
      </c>
      <c r="BT415" s="18">
        <v>-8.7388405444895345E-2</v>
      </c>
      <c r="BU415" s="18">
        <v>0.20588644512056758</v>
      </c>
      <c r="BV415" s="18">
        <v>-4.767520719878271E-2</v>
      </c>
      <c r="BW415" s="18">
        <v>0.21162261633202956</v>
      </c>
      <c r="BX415" s="18">
        <v>0.18772254989547466</v>
      </c>
      <c r="BY415" s="18">
        <v>3.5138804250923882E-2</v>
      </c>
      <c r="BZ415" s="18">
        <v>-7.2692063188883049E-2</v>
      </c>
      <c r="CA415" s="18">
        <v>-9.6806402829425084E-2</v>
      </c>
      <c r="CB415" s="18">
        <v>0.39229498820366587</v>
      </c>
      <c r="CC415" s="18">
        <v>0.29575599398378233</v>
      </c>
      <c r="CD415" s="18">
        <v>0.12503882350646631</v>
      </c>
      <c r="CE415" s="18">
        <v>8.8824665013460605E-2</v>
      </c>
      <c r="CF415" s="18">
        <v>0.34045607244642473</v>
      </c>
      <c r="CG415" s="18">
        <v>0.36482138882375426</v>
      </c>
      <c r="CH415" s="18">
        <v>-8.857652201045374E-2</v>
      </c>
      <c r="CI415" s="18">
        <v>5.028675074419571E-2</v>
      </c>
      <c r="CJ415" s="18">
        <v>-1.6589042885151291E-2</v>
      </c>
      <c r="CK415" s="18">
        <v>0.2189808052829692</v>
      </c>
      <c r="CL415" s="18">
        <v>0.34839059982771525</v>
      </c>
      <c r="CM415" s="18">
        <v>0.45276103332578826</v>
      </c>
      <c r="CN415" s="19">
        <v>0.34652068149026638</v>
      </c>
    </row>
    <row r="416" spans="1:92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 t="str">
        <v>3.Prices fluctuation</v>
      </c>
      <c r="AW416" s="25">
        <v>0.29854059060763311</v>
      </c>
      <c r="AX416" s="26">
        <v>0.33697518530159642</v>
      </c>
      <c r="AY416" s="26">
        <v>0.73020026580706032</v>
      </c>
      <c r="AZ416" s="18">
        <v>0.56493283892499013</v>
      </c>
      <c r="BA416" s="18">
        <v>0.4607847918950369</v>
      </c>
      <c r="BB416" s="18">
        <v>0.37241987589949432</v>
      </c>
      <c r="BC416" s="18">
        <v>0.43428763664265913</v>
      </c>
      <c r="BD416" s="18">
        <v>0.30395480077405612</v>
      </c>
      <c r="BE416" s="18">
        <v>0.38370245439148143</v>
      </c>
      <c r="BF416" s="18">
        <v>0.24225106730964197</v>
      </c>
      <c r="BG416" s="18">
        <v>0.40013268778774763</v>
      </c>
      <c r="BH416" s="18">
        <v>0.3592435389336826</v>
      </c>
      <c r="BI416" s="18">
        <v>0.39418197191944776</v>
      </c>
      <c r="BJ416" s="18">
        <v>-5.9282167434176206E-2</v>
      </c>
      <c r="BK416" s="18">
        <v>-2.1822720316432401E-2</v>
      </c>
      <c r="BL416" s="18">
        <v>5.5816642482740465E-2</v>
      </c>
      <c r="BM416" s="18">
        <v>3.4861718721257373E-2</v>
      </c>
      <c r="BN416" s="18">
        <v>0.33291354206697271</v>
      </c>
      <c r="BO416" s="18">
        <v>0.22527612641143507</v>
      </c>
      <c r="BP416" s="18">
        <v>7.1025799997121622E-2</v>
      </c>
      <c r="BQ416" s="18">
        <v>0.10526790976453368</v>
      </c>
      <c r="BR416" s="18">
        <v>-1.3765175376765464E-3</v>
      </c>
      <c r="BS416" s="18">
        <v>0.13235359569880606</v>
      </c>
      <c r="BT416" s="18">
        <v>0.17672923540477142</v>
      </c>
      <c r="BU416" s="18">
        <v>7.8246234892410324E-2</v>
      </c>
      <c r="BV416" s="18">
        <v>0.27524441935764044</v>
      </c>
      <c r="BW416" s="18">
        <v>0.1913169638686476</v>
      </c>
      <c r="BX416" s="18">
        <v>0.16903950415243696</v>
      </c>
      <c r="BY416" s="18">
        <v>3.1852473776590201E-2</v>
      </c>
      <c r="BZ416" s="18">
        <v>-9.399739727136365E-2</v>
      </c>
      <c r="CA416" s="18">
        <v>2.0658607860340114E-2</v>
      </c>
      <c r="CB416" s="18">
        <v>0.1786597040794673</v>
      </c>
      <c r="CC416" s="18">
        <v>0.19146851579548546</v>
      </c>
      <c r="CD416" s="18">
        <v>1.5159175868441194E-2</v>
      </c>
      <c r="CE416" s="18">
        <v>1.234818339654482E-2</v>
      </c>
      <c r="CF416" s="18">
        <v>0.22815610141979401</v>
      </c>
      <c r="CG416" s="18">
        <v>6.2052488782926629E-2</v>
      </c>
      <c r="CH416" s="18">
        <v>0.1531005273179662</v>
      </c>
      <c r="CI416" s="18">
        <v>0.25319648339813167</v>
      </c>
      <c r="CJ416" s="18">
        <v>-3.009848121741638E-2</v>
      </c>
      <c r="CK416" s="18">
        <v>0.2658698240893429</v>
      </c>
      <c r="CL416" s="18">
        <v>5.1412883059545195E-2</v>
      </c>
      <c r="CM416" s="18">
        <v>0.18807102977339724</v>
      </c>
      <c r="CN416" s="19">
        <v>-9.1243643374037092E-2</v>
      </c>
    </row>
    <row r="417" spans="1:92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 t="str">
        <v>4.Types of material availability at local market</v>
      </c>
      <c r="AW417" s="25">
        <v>0.64651630419150519</v>
      </c>
      <c r="AX417" s="26">
        <v>0.61190878893974798</v>
      </c>
      <c r="AY417" s="26">
        <v>0.56493283892499013</v>
      </c>
      <c r="AZ417" s="18">
        <v>0.77215372914226832</v>
      </c>
      <c r="BA417" s="18">
        <v>0.56871480955439002</v>
      </c>
      <c r="BB417" s="18">
        <v>0.51453047782362127</v>
      </c>
      <c r="BC417" s="18">
        <v>0.61385546856546747</v>
      </c>
      <c r="BD417" s="18">
        <v>0.53791112215482539</v>
      </c>
      <c r="BE417" s="18">
        <v>0.46866488157163932</v>
      </c>
      <c r="BF417" s="18">
        <v>0.48865915863950493</v>
      </c>
      <c r="BG417" s="18">
        <v>0.52148774867285119</v>
      </c>
      <c r="BH417" s="18">
        <v>0.38944262210661335</v>
      </c>
      <c r="BI417" s="18">
        <v>0.42970864368276107</v>
      </c>
      <c r="BJ417" s="18">
        <v>0.14181813604640042</v>
      </c>
      <c r="BK417" s="18">
        <v>0.16974899194571355</v>
      </c>
      <c r="BL417" s="18">
        <v>0.17138107254820337</v>
      </c>
      <c r="BM417" s="18">
        <v>0.1563655949509789</v>
      </c>
      <c r="BN417" s="18">
        <v>0.32807166441490015</v>
      </c>
      <c r="BO417" s="18">
        <v>0.2509189106745271</v>
      </c>
      <c r="BP417" s="18">
        <v>0.16265588341765616</v>
      </c>
      <c r="BQ417" s="18">
        <v>5.6797959795426005E-2</v>
      </c>
      <c r="BR417" s="18">
        <v>4.2616210471531898E-2</v>
      </c>
      <c r="BS417" s="18">
        <v>4.9517058202842613E-2</v>
      </c>
      <c r="BT417" s="18">
        <v>4.3767648774883774E-2</v>
      </c>
      <c r="BU417" s="18">
        <v>0.28610359262935259</v>
      </c>
      <c r="BV417" s="18">
        <v>0.28361653463551867</v>
      </c>
      <c r="BW417" s="18">
        <v>0.36328688402011022</v>
      </c>
      <c r="BX417" s="18">
        <v>0.3556762718332277</v>
      </c>
      <c r="BY417" s="18">
        <v>0.16260572723085451</v>
      </c>
      <c r="BZ417" s="18">
        <v>5.6223094700802896E-2</v>
      </c>
      <c r="CA417" s="18">
        <v>0.16374471611611249</v>
      </c>
      <c r="CB417" s="18">
        <v>0.42567567324416111</v>
      </c>
      <c r="CC417" s="18">
        <v>0.47928293138011302</v>
      </c>
      <c r="CD417" s="18">
        <v>0.30299172788752449</v>
      </c>
      <c r="CE417" s="18">
        <v>0.28011873040787533</v>
      </c>
      <c r="CF417" s="18">
        <v>0.40793148946185426</v>
      </c>
      <c r="CG417" s="18">
        <v>0.30736558712311635</v>
      </c>
      <c r="CH417" s="18">
        <v>9.7128597864487826E-2</v>
      </c>
      <c r="CI417" s="18">
        <v>0.20872724113162286</v>
      </c>
      <c r="CJ417" s="18">
        <v>-2.643118444523123E-3</v>
      </c>
      <c r="CK417" s="18">
        <v>0.28888888992703143</v>
      </c>
      <c r="CL417" s="18">
        <v>0.33266818489689914</v>
      </c>
      <c r="CM417" s="18">
        <v>0.39156574539282119</v>
      </c>
      <c r="CN417" s="19">
        <v>0.28910772178673516</v>
      </c>
    </row>
    <row r="418" spans="1:92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 t="str">
        <v>5.Lack of consultant’s knowledge of available materials</v>
      </c>
      <c r="AW418" s="25">
        <v>0.4351447621656005</v>
      </c>
      <c r="AX418" s="26">
        <v>0.43630266685242136</v>
      </c>
      <c r="AY418" s="26">
        <v>0.4607847918950369</v>
      </c>
      <c r="AZ418" s="18">
        <v>0.56871480955439002</v>
      </c>
      <c r="BA418" s="18">
        <v>0.66094793862310952</v>
      </c>
      <c r="BB418" s="18">
        <v>0.47515680477494904</v>
      </c>
      <c r="BC418" s="18">
        <v>0.54267230844108261</v>
      </c>
      <c r="BD418" s="18">
        <v>0.49710308843898038</v>
      </c>
      <c r="BE418" s="18">
        <v>0.55235093776839528</v>
      </c>
      <c r="BF418" s="18">
        <v>0.44202579664950897</v>
      </c>
      <c r="BG418" s="18">
        <v>0.48559410100839234</v>
      </c>
      <c r="BH418" s="18">
        <v>0.51587973845394031</v>
      </c>
      <c r="BI418" s="18">
        <v>0.48670237818156448</v>
      </c>
      <c r="BJ418" s="18">
        <v>0.14503219499757811</v>
      </c>
      <c r="BK418" s="18">
        <v>0.19223887886009472</v>
      </c>
      <c r="BL418" s="18">
        <v>0.3805199393889695</v>
      </c>
      <c r="BM418" s="18">
        <v>9.9244018912671067E-2</v>
      </c>
      <c r="BN418" s="18">
        <v>0.35854113056390319</v>
      </c>
      <c r="BO418" s="18">
        <v>0.54074726624699654</v>
      </c>
      <c r="BP418" s="18">
        <v>0.47633569901987083</v>
      </c>
      <c r="BQ418" s="18">
        <v>0.41024717507121078</v>
      </c>
      <c r="BR418" s="18">
        <v>0.3193994453791813</v>
      </c>
      <c r="BS418" s="18">
        <v>0.32378268555138207</v>
      </c>
      <c r="BT418" s="18">
        <v>0.12537821676607408</v>
      </c>
      <c r="BU418" s="18">
        <v>0.44002195362741647</v>
      </c>
      <c r="BV418" s="18">
        <v>0.44049039063195594</v>
      </c>
      <c r="BW418" s="18">
        <v>0.45965532572632273</v>
      </c>
      <c r="BX418" s="18">
        <v>0.39918352943542257</v>
      </c>
      <c r="BY418" s="18">
        <v>0.19693360308949792</v>
      </c>
      <c r="BZ418" s="18">
        <v>9.9441835850718197E-2</v>
      </c>
      <c r="CA418" s="18">
        <v>0.32084379451518508</v>
      </c>
      <c r="CB418" s="18">
        <v>0.54812314291050812</v>
      </c>
      <c r="CC418" s="18">
        <v>0.34583878792264405</v>
      </c>
      <c r="CD418" s="18">
        <v>0.39489893159618211</v>
      </c>
      <c r="CE418" s="18">
        <v>0.34207692856338706</v>
      </c>
      <c r="CF418" s="18">
        <v>0.30453018286036104</v>
      </c>
      <c r="CG418" s="18">
        <v>0.20301779720688157</v>
      </c>
      <c r="CH418" s="18">
        <v>0.26719247113606148</v>
      </c>
      <c r="CI418" s="18">
        <v>0.30776043933802461</v>
      </c>
      <c r="CJ418" s="18">
        <v>0.21209979444061774</v>
      </c>
      <c r="CK418" s="18">
        <v>0.32367727891213638</v>
      </c>
      <c r="CL418" s="18">
        <v>0.44307285956556125</v>
      </c>
      <c r="CM418" s="18">
        <v>0.41181812524622113</v>
      </c>
      <c r="CN418" s="19">
        <v>0.21289397951297995</v>
      </c>
    </row>
    <row r="419" spans="1:92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 t="str">
        <v>6.Low productivity</v>
      </c>
      <c r="AW419" s="25">
        <v>0.47776662161683936</v>
      </c>
      <c r="AX419" s="26">
        <v>0.38546870897535301</v>
      </c>
      <c r="AY419" s="26">
        <v>0.37241987589949432</v>
      </c>
      <c r="AZ419" s="18">
        <v>0.51453047782362127</v>
      </c>
      <c r="BA419" s="18">
        <v>0.47515680477494904</v>
      </c>
      <c r="BB419" s="18">
        <v>0.77814530949911331</v>
      </c>
      <c r="BC419" s="18">
        <v>0.75366695011015516</v>
      </c>
      <c r="BD419" s="18">
        <v>0.67767609054740674</v>
      </c>
      <c r="BE419" s="18">
        <v>0.73445847650868346</v>
      </c>
      <c r="BF419" s="18">
        <v>0.59298931531917032</v>
      </c>
      <c r="BG419" s="18">
        <v>0.72182802563480775</v>
      </c>
      <c r="BH419" s="18">
        <v>0.68619368276555226</v>
      </c>
      <c r="BI419" s="18">
        <v>0.67753717813169989</v>
      </c>
      <c r="BJ419" s="18">
        <v>4.149841609055762E-2</v>
      </c>
      <c r="BK419" s="18">
        <v>0.10843011978183867</v>
      </c>
      <c r="BL419" s="18">
        <v>0.21578109929634665</v>
      </c>
      <c r="BM419" s="18">
        <v>1.117740873375926E-2</v>
      </c>
      <c r="BN419" s="18">
        <v>0.19100206171475731</v>
      </c>
      <c r="BO419" s="18">
        <v>0.37275476899888133</v>
      </c>
      <c r="BP419" s="18">
        <v>0.21439852394268877</v>
      </c>
      <c r="BQ419" s="18">
        <v>0.13031559787189287</v>
      </c>
      <c r="BR419" s="18">
        <v>6.2069377513432229E-2</v>
      </c>
      <c r="BS419" s="18">
        <v>3.2694306863160522E-2</v>
      </c>
      <c r="BT419" s="18">
        <v>-4.3696193029319173E-2</v>
      </c>
      <c r="BU419" s="18">
        <v>0.34910214670871881</v>
      </c>
      <c r="BV419" s="18">
        <v>0.27346274378851176</v>
      </c>
      <c r="BW419" s="18">
        <v>0.47178688196505147</v>
      </c>
      <c r="BX419" s="18">
        <v>0.4758915556704576</v>
      </c>
      <c r="BY419" s="18">
        <v>0.41273017824734387</v>
      </c>
      <c r="BZ419" s="18">
        <v>0.12141010391744317</v>
      </c>
      <c r="CA419" s="18">
        <v>3.9297048859575648E-2</v>
      </c>
      <c r="CB419" s="18">
        <v>0.27223845326778284</v>
      </c>
      <c r="CC419" s="18">
        <v>0.24107941173202665</v>
      </c>
      <c r="CD419" s="18">
        <v>0.380952884561024</v>
      </c>
      <c r="CE419" s="18">
        <v>0.43555142183536055</v>
      </c>
      <c r="CF419" s="18">
        <v>0.43667488140787403</v>
      </c>
      <c r="CG419" s="18">
        <v>9.7619116272774614E-2</v>
      </c>
      <c r="CH419" s="18">
        <v>0.13760766115704651</v>
      </c>
      <c r="CI419" s="18">
        <v>0.29084392415802601</v>
      </c>
      <c r="CJ419" s="18">
        <v>0.17390215400531356</v>
      </c>
      <c r="CK419" s="18">
        <v>0.36425145985445034</v>
      </c>
      <c r="CL419" s="18">
        <v>0.27024773538254504</v>
      </c>
      <c r="CM419" s="18">
        <v>0.26838944140688142</v>
      </c>
      <c r="CN419" s="19">
        <v>0.23228637014161846</v>
      </c>
    </row>
    <row r="420" spans="1:92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 t="str">
        <v>7.Poor work execution</v>
      </c>
      <c r="AW420" s="25">
        <v>0.53948705887575488</v>
      </c>
      <c r="AX420" s="26">
        <v>0.44608195962111069</v>
      </c>
      <c r="AY420" s="26">
        <v>0.43428763664265913</v>
      </c>
      <c r="AZ420" s="18">
        <v>0.61385546856546747</v>
      </c>
      <c r="BA420" s="18">
        <v>0.54267230844108261</v>
      </c>
      <c r="BB420" s="18">
        <v>0.75366695011015516</v>
      </c>
      <c r="BC420" s="18">
        <v>0.79824467871928528</v>
      </c>
      <c r="BD420" s="18">
        <v>0.65809808887909393</v>
      </c>
      <c r="BE420" s="18">
        <v>0.69345647485991657</v>
      </c>
      <c r="BF420" s="18">
        <v>0.58295856755096342</v>
      </c>
      <c r="BG420" s="18">
        <v>0.72127141294371866</v>
      </c>
      <c r="BH420" s="18">
        <v>0.64674614169102129</v>
      </c>
      <c r="BI420" s="18">
        <v>0.6921241311103159</v>
      </c>
      <c r="BJ420" s="18">
        <v>0.14766481273035173</v>
      </c>
      <c r="BK420" s="18">
        <v>0.21862146318392228</v>
      </c>
      <c r="BL420" s="18">
        <v>0.24797021221318413</v>
      </c>
      <c r="BM420" s="18">
        <v>0.120758020828182</v>
      </c>
      <c r="BN420" s="18">
        <v>0.20133054809794168</v>
      </c>
      <c r="BO420" s="18">
        <v>0.41977606276563201</v>
      </c>
      <c r="BP420" s="18">
        <v>0.26219136470434079</v>
      </c>
      <c r="BQ420" s="18">
        <v>0.18688579480784148</v>
      </c>
      <c r="BR420" s="18">
        <v>0.11454054415106266</v>
      </c>
      <c r="BS420" s="18">
        <v>7.6278266426757876E-2</v>
      </c>
      <c r="BT420" s="18">
        <v>8.0919424934850173E-2</v>
      </c>
      <c r="BU420" s="18">
        <v>0.42903305694274602</v>
      </c>
      <c r="BV420" s="18">
        <v>0.34025879855370916</v>
      </c>
      <c r="BW420" s="18">
        <v>0.55465252000551113</v>
      </c>
      <c r="BX420" s="18">
        <v>0.4878537002835977</v>
      </c>
      <c r="BY420" s="18">
        <v>0.4104830780852291</v>
      </c>
      <c r="BZ420" s="18">
        <v>0.21414856594803189</v>
      </c>
      <c r="CA420" s="18">
        <v>0.1206357729042436</v>
      </c>
      <c r="CB420" s="18">
        <v>0.3355090116912568</v>
      </c>
      <c r="CC420" s="18">
        <v>0.37655974469008269</v>
      </c>
      <c r="CD420" s="18">
        <v>0.4520874782181532</v>
      </c>
      <c r="CE420" s="18">
        <v>0.4955934251818751</v>
      </c>
      <c r="CF420" s="18">
        <v>0.49084514817863106</v>
      </c>
      <c r="CG420" s="18">
        <v>0.22648238127407216</v>
      </c>
      <c r="CH420" s="18">
        <v>0.20636525956675927</v>
      </c>
      <c r="CI420" s="18">
        <v>0.3644402784063574</v>
      </c>
      <c r="CJ420" s="18">
        <v>0.18390489416733968</v>
      </c>
      <c r="CK420" s="18">
        <v>0.40921116252997708</v>
      </c>
      <c r="CL420" s="18">
        <v>0.28967223230158357</v>
      </c>
      <c r="CM420" s="18">
        <v>0.29327053849959134</v>
      </c>
      <c r="CN420" s="19">
        <v>0.3023650753039715</v>
      </c>
    </row>
    <row r="421" spans="1:92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 t="str">
        <v>8.Shortage of laborers</v>
      </c>
      <c r="AW421" s="25">
        <v>0.53066224258682726</v>
      </c>
      <c r="AX421" s="26">
        <v>0.39412639182346665</v>
      </c>
      <c r="AY421" s="26">
        <v>0.30395480077405612</v>
      </c>
      <c r="AZ421" s="18">
        <v>0.53791112215482539</v>
      </c>
      <c r="BA421" s="18">
        <v>0.49710308843898038</v>
      </c>
      <c r="BB421" s="18">
        <v>0.67767609054740674</v>
      </c>
      <c r="BC421" s="18">
        <v>0.65809808887909393</v>
      </c>
      <c r="BD421" s="18">
        <v>0.76445500529727339</v>
      </c>
      <c r="BE421" s="18">
        <v>0.62626779691537238</v>
      </c>
      <c r="BF421" s="18">
        <v>0.64383363620104994</v>
      </c>
      <c r="BG421" s="18">
        <v>0.63679996559680097</v>
      </c>
      <c r="BH421" s="18">
        <v>0.63782164342729408</v>
      </c>
      <c r="BI421" s="18">
        <v>0.59190940352433863</v>
      </c>
      <c r="BJ421" s="18">
        <v>0.23282024807945753</v>
      </c>
      <c r="BK421" s="18">
        <v>0.16961228401267966</v>
      </c>
      <c r="BL421" s="18">
        <v>0.31354529057508129</v>
      </c>
      <c r="BM421" s="18">
        <v>3.0169175949494167E-2</v>
      </c>
      <c r="BN421" s="18">
        <v>0.40791427856719664</v>
      </c>
      <c r="BO421" s="18">
        <v>0.31533910096498613</v>
      </c>
      <c r="BP421" s="18">
        <v>0.16625583149908391</v>
      </c>
      <c r="BQ421" s="18">
        <v>0.10666930879712556</v>
      </c>
      <c r="BR421" s="18">
        <v>0.13112925483384541</v>
      </c>
      <c r="BS421" s="18">
        <v>-7.5739838239336832E-2</v>
      </c>
      <c r="BT421" s="18">
        <v>-0.165705313397807</v>
      </c>
      <c r="BU421" s="18">
        <v>0.31880074866686914</v>
      </c>
      <c r="BV421" s="18">
        <v>0.27213078972237503</v>
      </c>
      <c r="BW421" s="18">
        <v>0.35757151807479026</v>
      </c>
      <c r="BX421" s="18">
        <v>0.51168475543135572</v>
      </c>
      <c r="BY421" s="18">
        <v>0.37711668776796631</v>
      </c>
      <c r="BZ421" s="18">
        <v>0.17841668950302639</v>
      </c>
      <c r="CA421" s="18">
        <v>0.21779111381898619</v>
      </c>
      <c r="CB421" s="18">
        <v>0.33540831889799805</v>
      </c>
      <c r="CC421" s="18">
        <v>0.37562704210068243</v>
      </c>
      <c r="CD421" s="18">
        <v>0.42990319737883326</v>
      </c>
      <c r="CE421" s="18">
        <v>0.36402265393030842</v>
      </c>
      <c r="CF421" s="18">
        <v>0.24438162234503691</v>
      </c>
      <c r="CG421" s="18">
        <v>0.11650005434572792</v>
      </c>
      <c r="CH421" s="18">
        <v>0.18234730007138664</v>
      </c>
      <c r="CI421" s="18">
        <v>0.30670940789869328</v>
      </c>
      <c r="CJ421" s="18">
        <v>0.2328164615454191</v>
      </c>
      <c r="CK421" s="18">
        <v>0.2137062864448746</v>
      </c>
      <c r="CL421" s="18">
        <v>0.35682217251749671</v>
      </c>
      <c r="CM421" s="18">
        <v>0.35339014117833734</v>
      </c>
      <c r="CN421" s="19">
        <v>0.34709247608826177</v>
      </c>
    </row>
    <row r="422" spans="1:92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 t="str">
        <v>9.Mistakes happens during construction phase</v>
      </c>
      <c r="AW422" s="25">
        <v>0.41146405724359308</v>
      </c>
      <c r="AX422" s="26">
        <v>0.32312272884131144</v>
      </c>
      <c r="AY422" s="26">
        <v>0.38370245439148143</v>
      </c>
      <c r="AZ422" s="18">
        <v>0.46866488157163932</v>
      </c>
      <c r="BA422" s="18">
        <v>0.55235093776839528</v>
      </c>
      <c r="BB422" s="18">
        <v>0.73445847650868346</v>
      </c>
      <c r="BC422" s="18">
        <v>0.69345647485991657</v>
      </c>
      <c r="BD422" s="18">
        <v>0.62626779691537238</v>
      </c>
      <c r="BE422" s="18">
        <v>0.79991789959925619</v>
      </c>
      <c r="BF422" s="18">
        <v>0.56215055897538757</v>
      </c>
      <c r="BG422" s="18">
        <v>0.65474714479602647</v>
      </c>
      <c r="BH422" s="18">
        <v>0.73720426182271492</v>
      </c>
      <c r="BI422" s="18">
        <v>0.63929450479729233</v>
      </c>
      <c r="BJ422" s="18">
        <v>-0.10749964501297546</v>
      </c>
      <c r="BK422" s="18">
        <v>-8.0317641112113876E-3</v>
      </c>
      <c r="BL422" s="18">
        <v>0.25903636072627911</v>
      </c>
      <c r="BM422" s="18">
        <v>-7.5305908230082624E-2</v>
      </c>
      <c r="BN422" s="18">
        <v>0.24176133334821528</v>
      </c>
      <c r="BO422" s="18">
        <v>0.45918243871031894</v>
      </c>
      <c r="BP422" s="18">
        <v>0.3463607167974464</v>
      </c>
      <c r="BQ422" s="18">
        <v>0.24581917346167692</v>
      </c>
      <c r="BR422" s="18">
        <v>0.19558314533949264</v>
      </c>
      <c r="BS422" s="18">
        <v>0.22747054732780914</v>
      </c>
      <c r="BT422" s="18">
        <v>-2.4444483946630201E-2</v>
      </c>
      <c r="BU422" s="18">
        <v>0.38172950410805651</v>
      </c>
      <c r="BV422" s="18">
        <v>0.39652290104254262</v>
      </c>
      <c r="BW422" s="18">
        <v>0.50540512486561862</v>
      </c>
      <c r="BX422" s="18">
        <v>0.48202773377257657</v>
      </c>
      <c r="BY422" s="18">
        <v>0.37174152361538609</v>
      </c>
      <c r="BZ422" s="18">
        <v>3.7704707271970679E-2</v>
      </c>
      <c r="CA422" s="18">
        <v>0.13538481080315543</v>
      </c>
      <c r="CB422" s="18">
        <v>0.39523528649101958</v>
      </c>
      <c r="CC422" s="18">
        <v>0.17750601291468249</v>
      </c>
      <c r="CD422" s="18">
        <v>0.39829480763460046</v>
      </c>
      <c r="CE422" s="18">
        <v>0.46870193555878892</v>
      </c>
      <c r="CF422" s="18">
        <v>0.45840856326695917</v>
      </c>
      <c r="CG422" s="18">
        <v>4.3702984213012955E-2</v>
      </c>
      <c r="CH422" s="18">
        <v>0.20742312104013733</v>
      </c>
      <c r="CI422" s="18">
        <v>0.28143548118541845</v>
      </c>
      <c r="CJ422" s="18">
        <v>0.22970678959492211</v>
      </c>
      <c r="CK422" s="18">
        <v>0.39668314436076524</v>
      </c>
      <c r="CL422" s="18">
        <v>0.37624239836080825</v>
      </c>
      <c r="CM422" s="18">
        <v>0.31922107963951069</v>
      </c>
      <c r="CN422" s="19">
        <v>0.14770922558414096</v>
      </c>
    </row>
    <row r="423" spans="1:92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 t="str">
        <v>10.Unavailability of equipment</v>
      </c>
      <c r="AW423" s="25">
        <v>0.52481733861191293</v>
      </c>
      <c r="AX423" s="26">
        <v>0.38298701280869624</v>
      </c>
      <c r="AY423" s="26">
        <v>0.24225106730964197</v>
      </c>
      <c r="AZ423" s="18">
        <v>0.48865915863950493</v>
      </c>
      <c r="BA423" s="18">
        <v>0.44202579664950897</v>
      </c>
      <c r="BB423" s="18">
        <v>0.59298931531917032</v>
      </c>
      <c r="BC423" s="18">
        <v>0.58295856755096342</v>
      </c>
      <c r="BD423" s="18">
        <v>0.64383363620104994</v>
      </c>
      <c r="BE423" s="18">
        <v>0.56215055897538757</v>
      </c>
      <c r="BF423" s="18">
        <v>0.76497591624376415</v>
      </c>
      <c r="BG423" s="18">
        <v>0.54739002759145872</v>
      </c>
      <c r="BH423" s="18">
        <v>0.52468408557260737</v>
      </c>
      <c r="BI423" s="18">
        <v>0.44191867056920736</v>
      </c>
      <c r="BJ423" s="18">
        <v>0.26178957181361617</v>
      </c>
      <c r="BK423" s="18">
        <v>0.36234563852605389</v>
      </c>
      <c r="BL423" s="18">
        <v>0.34229743370629007</v>
      </c>
      <c r="BM423" s="18">
        <v>0.30507185638987466</v>
      </c>
      <c r="BN423" s="18">
        <v>0.39825745921346756</v>
      </c>
      <c r="BO423" s="18">
        <v>0.20744684351883386</v>
      </c>
      <c r="BP423" s="18">
        <v>0.18355211770987798</v>
      </c>
      <c r="BQ423" s="18">
        <v>0.21264023133460064</v>
      </c>
      <c r="BR423" s="18">
        <v>0.2583164551570879</v>
      </c>
      <c r="BS423" s="18">
        <v>9.0823127454841446E-2</v>
      </c>
      <c r="BT423" s="18">
        <v>-0.22289583138678909</v>
      </c>
      <c r="BU423" s="18">
        <v>0.28643522320987624</v>
      </c>
      <c r="BV423" s="18">
        <v>0.40049819746714471</v>
      </c>
      <c r="BW423" s="18">
        <v>0.49931482404619532</v>
      </c>
      <c r="BX423" s="18">
        <v>0.6669096407759374</v>
      </c>
      <c r="BY423" s="18">
        <v>0.45215949036604891</v>
      </c>
      <c r="BZ423" s="18">
        <v>0.11737058903819234</v>
      </c>
      <c r="CA423" s="18">
        <v>0.24390846044032671</v>
      </c>
      <c r="CB423" s="18">
        <v>0.35328600125968007</v>
      </c>
      <c r="CC423" s="18">
        <v>0.2299846632292698</v>
      </c>
      <c r="CD423" s="18">
        <v>0.41709224666172834</v>
      </c>
      <c r="CE423" s="18">
        <v>0.39620599764307346</v>
      </c>
      <c r="CF423" s="18">
        <v>0.26982317242113357</v>
      </c>
      <c r="CG423" s="18">
        <v>0.24886882836502688</v>
      </c>
      <c r="CH423" s="18">
        <v>0.22649688202246659</v>
      </c>
      <c r="CI423" s="18">
        <v>0.31109545557870327</v>
      </c>
      <c r="CJ423" s="18">
        <v>0.30881864276609378</v>
      </c>
      <c r="CK423" s="18">
        <v>0.32499689208867222</v>
      </c>
      <c r="CL423" s="18">
        <v>0.37428294044545268</v>
      </c>
      <c r="CM423" s="18">
        <v>0.24741851643312776</v>
      </c>
      <c r="CN423" s="19">
        <v>0.36965877950891962</v>
      </c>
    </row>
    <row r="424" spans="1:92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 t="str">
        <v>11.Lack of engineering experience</v>
      </c>
      <c r="AW424" s="25">
        <v>0.41827163533863193</v>
      </c>
      <c r="AX424" s="26">
        <v>0.41883544253214311</v>
      </c>
      <c r="AY424" s="26">
        <v>0.40013268778774763</v>
      </c>
      <c r="AZ424" s="18">
        <v>0.52148774867285119</v>
      </c>
      <c r="BA424" s="18">
        <v>0.48559410100839234</v>
      </c>
      <c r="BB424" s="18">
        <v>0.72182802563480775</v>
      </c>
      <c r="BC424" s="18">
        <v>0.72127141294371866</v>
      </c>
      <c r="BD424" s="18">
        <v>0.63679996559680097</v>
      </c>
      <c r="BE424" s="18">
        <v>0.65474714479602647</v>
      </c>
      <c r="BF424" s="18">
        <v>0.54739002759145872</v>
      </c>
      <c r="BG424" s="18">
        <v>0.82963114147629102</v>
      </c>
      <c r="BH424" s="18">
        <v>0.69178853909454985</v>
      </c>
      <c r="BI424" s="18">
        <v>0.75075276264116464</v>
      </c>
      <c r="BJ424" s="18">
        <v>0.16801711061058952</v>
      </c>
      <c r="BK424" s="18">
        <v>0.26877518944256251</v>
      </c>
      <c r="BL424" s="18">
        <v>0.42709013351622382</v>
      </c>
      <c r="BM424" s="18">
        <v>0.20106855623867656</v>
      </c>
      <c r="BN424" s="18">
        <v>0.2173762201984806</v>
      </c>
      <c r="BO424" s="18">
        <v>0.39184689155487545</v>
      </c>
      <c r="BP424" s="18">
        <v>0.2719519793560452</v>
      </c>
      <c r="BQ424" s="18">
        <v>0.20303508088587915</v>
      </c>
      <c r="BR424" s="18">
        <v>6.8033744997631797E-3</v>
      </c>
      <c r="BS424" s="18">
        <v>0.1311523295632146</v>
      </c>
      <c r="BT424" s="18">
        <v>0.11880042768690871</v>
      </c>
      <c r="BU424" s="18">
        <v>0.38586828929941891</v>
      </c>
      <c r="BV424" s="18">
        <v>0.26877580359229392</v>
      </c>
      <c r="BW424" s="18">
        <v>0.46165365448701917</v>
      </c>
      <c r="BX424" s="18">
        <v>0.45208959082566147</v>
      </c>
      <c r="BY424" s="18">
        <v>0.33225192085103988</v>
      </c>
      <c r="BZ424" s="18">
        <v>0.17323428336267077</v>
      </c>
      <c r="CA424" s="18">
        <v>6.3523761593902134E-2</v>
      </c>
      <c r="CB424" s="18">
        <v>0.2838158585414377</v>
      </c>
      <c r="CC424" s="18">
        <v>0.14638189440901431</v>
      </c>
      <c r="CD424" s="18">
        <v>0.44467995393622906</v>
      </c>
      <c r="CE424" s="18">
        <v>0.44863474463660663</v>
      </c>
      <c r="CF424" s="18">
        <v>0.44833384827110379</v>
      </c>
      <c r="CG424" s="18">
        <v>0.15530201469996519</v>
      </c>
      <c r="CH424" s="18">
        <v>6.4706173593728752E-2</v>
      </c>
      <c r="CI424" s="18">
        <v>0.22520608158888128</v>
      </c>
      <c r="CJ424" s="18">
        <v>7.8883844591516372E-2</v>
      </c>
      <c r="CK424" s="18">
        <v>0.48618274229964603</v>
      </c>
      <c r="CL424" s="18">
        <v>0.409717604654115</v>
      </c>
      <c r="CM424" s="18">
        <v>0.43960625597965758</v>
      </c>
      <c r="CN424" s="19">
        <v>0.25379240194382763</v>
      </c>
    </row>
    <row r="425" spans="1:92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 t="str">
        <v>12.Construction cost underestimation</v>
      </c>
      <c r="AW425" s="25">
        <v>0.31647493912413405</v>
      </c>
      <c r="AX425" s="26">
        <v>0.20148416899839369</v>
      </c>
      <c r="AY425" s="26">
        <v>0.3592435389336826</v>
      </c>
      <c r="AZ425" s="18">
        <v>0.38944262210661335</v>
      </c>
      <c r="BA425" s="18">
        <v>0.51587973845394031</v>
      </c>
      <c r="BB425" s="18">
        <v>0.68619368276555226</v>
      </c>
      <c r="BC425" s="18">
        <v>0.64674614169102129</v>
      </c>
      <c r="BD425" s="18">
        <v>0.63782164342729408</v>
      </c>
      <c r="BE425" s="18">
        <v>0.73720426182271492</v>
      </c>
      <c r="BF425" s="18">
        <v>0.52468408557260737</v>
      </c>
      <c r="BG425" s="18">
        <v>0.69178853909454985</v>
      </c>
      <c r="BH425" s="18">
        <v>0.82776207337253305</v>
      </c>
      <c r="BI425" s="18">
        <v>0.72311824254376056</v>
      </c>
      <c r="BJ425" s="18">
        <v>1.6745450050195971E-2</v>
      </c>
      <c r="BK425" s="18">
        <v>3.2074959668683581E-2</v>
      </c>
      <c r="BL425" s="18">
        <v>0.38947210256132192</v>
      </c>
      <c r="BM425" s="18">
        <v>-3.6171321038809316E-2</v>
      </c>
      <c r="BN425" s="18">
        <v>0.36206331561951693</v>
      </c>
      <c r="BO425" s="18">
        <v>0.43843821373394098</v>
      </c>
      <c r="BP425" s="18">
        <v>0.26414180032271384</v>
      </c>
      <c r="BQ425" s="18">
        <v>0.27382834185272914</v>
      </c>
      <c r="BR425" s="18">
        <v>0.20038929225064259</v>
      </c>
      <c r="BS425" s="18">
        <v>0.18794980415142512</v>
      </c>
      <c r="BT425" s="18">
        <v>5.4696417729651489E-2</v>
      </c>
      <c r="BU425" s="18">
        <v>0.31046052195019891</v>
      </c>
      <c r="BV425" s="18">
        <v>0.39475335501715753</v>
      </c>
      <c r="BW425" s="18">
        <v>0.42402857074828409</v>
      </c>
      <c r="BX425" s="18">
        <v>0.46210587968192091</v>
      </c>
      <c r="BY425" s="18">
        <v>0.33840977384328941</v>
      </c>
      <c r="BZ425" s="18">
        <v>0.14078783293247304</v>
      </c>
      <c r="CA425" s="18">
        <v>0.21089863482171761</v>
      </c>
      <c r="CB425" s="18">
        <v>0.30376681153420543</v>
      </c>
      <c r="CC425" s="18">
        <v>0.15727670911506633</v>
      </c>
      <c r="CD425" s="18">
        <v>0.4643728571124372</v>
      </c>
      <c r="CE425" s="18">
        <v>0.46651073927576248</v>
      </c>
      <c r="CF425" s="18">
        <v>0.39092373516781753</v>
      </c>
      <c r="CG425" s="18">
        <v>6.6706685028523477E-2</v>
      </c>
      <c r="CH425" s="18">
        <v>0.35242801517769617</v>
      </c>
      <c r="CI425" s="18">
        <v>0.42167084234135538</v>
      </c>
      <c r="CJ425" s="18">
        <v>0.35040793195705922</v>
      </c>
      <c r="CK425" s="18">
        <v>0.44922479287914469</v>
      </c>
      <c r="CL425" s="18">
        <v>0.41643267572474246</v>
      </c>
      <c r="CM425" s="18">
        <v>0.42571653505385226</v>
      </c>
      <c r="CN425" s="19">
        <v>0.1696082397996331</v>
      </c>
    </row>
    <row r="426" spans="1:92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 t="str">
        <v>13.Poor site management</v>
      </c>
      <c r="AW426" s="25">
        <v>0.29969891535981785</v>
      </c>
      <c r="AX426" s="26">
        <v>0.25734916882398678</v>
      </c>
      <c r="AY426" s="26">
        <v>0.39418197191944776</v>
      </c>
      <c r="AZ426" s="18">
        <v>0.42970864368276107</v>
      </c>
      <c r="BA426" s="18">
        <v>0.48670237818156448</v>
      </c>
      <c r="BB426" s="18">
        <v>0.67753717813169989</v>
      </c>
      <c r="BC426" s="18">
        <v>0.6921241311103159</v>
      </c>
      <c r="BD426" s="18">
        <v>0.59190940352433863</v>
      </c>
      <c r="BE426" s="18">
        <v>0.63929450479729233</v>
      </c>
      <c r="BF426" s="18">
        <v>0.44191867056920736</v>
      </c>
      <c r="BG426" s="18">
        <v>0.75075276264116464</v>
      </c>
      <c r="BH426" s="18">
        <v>0.72311824254376056</v>
      </c>
      <c r="BI426" s="18">
        <v>0.77789443363237498</v>
      </c>
      <c r="BJ426" s="18">
        <v>0.17894848990515744</v>
      </c>
      <c r="BK426" s="18">
        <v>0.20197247119842937</v>
      </c>
      <c r="BL426" s="18">
        <v>0.39383183109468717</v>
      </c>
      <c r="BM426" s="18">
        <v>9.734680247014918E-2</v>
      </c>
      <c r="BN426" s="18">
        <v>0.24067198607509926</v>
      </c>
      <c r="BO426" s="18">
        <v>0.47331069810351323</v>
      </c>
      <c r="BP426" s="18">
        <v>0.28908287431758806</v>
      </c>
      <c r="BQ426" s="18">
        <v>0.27846503473428585</v>
      </c>
      <c r="BR426" s="18">
        <v>0.10985729691394382</v>
      </c>
      <c r="BS426" s="18">
        <v>0.14324325196187238</v>
      </c>
      <c r="BT426" s="18">
        <v>0.22442288556515122</v>
      </c>
      <c r="BU426" s="18">
        <v>0.40931932046400399</v>
      </c>
      <c r="BV426" s="18">
        <v>0.31963282442281671</v>
      </c>
      <c r="BW426" s="18">
        <v>0.45687697674883126</v>
      </c>
      <c r="BX426" s="18">
        <v>0.40695714814319989</v>
      </c>
      <c r="BY426" s="18">
        <v>0.35749273832628864</v>
      </c>
      <c r="BZ426" s="18">
        <v>0.27634661815812323</v>
      </c>
      <c r="CA426" s="18">
        <v>0.1359757721070303</v>
      </c>
      <c r="CB426" s="18">
        <v>0.231710703497264</v>
      </c>
      <c r="CC426" s="18">
        <v>0.19637921811755571</v>
      </c>
      <c r="CD426" s="18">
        <v>0.44219093430603584</v>
      </c>
      <c r="CE426" s="18">
        <v>0.44001143027418649</v>
      </c>
      <c r="CF426" s="18">
        <v>0.37892119036224581</v>
      </c>
      <c r="CG426" s="18">
        <v>0.11196073897730179</v>
      </c>
      <c r="CH426" s="18">
        <v>0.23616211218522012</v>
      </c>
      <c r="CI426" s="18">
        <v>0.37970253028635481</v>
      </c>
      <c r="CJ426" s="18">
        <v>0.20227759546469015</v>
      </c>
      <c r="CK426" s="18">
        <v>0.42690507237495479</v>
      </c>
      <c r="CL426" s="18">
        <v>0.3170402592632891</v>
      </c>
      <c r="CM426" s="18">
        <v>0.36270593803389578</v>
      </c>
      <c r="CN426" s="19">
        <v>0.20960413000068151</v>
      </c>
    </row>
    <row r="427" spans="1:92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 t="str">
        <v>14.Delayed payment for completed work</v>
      </c>
      <c r="AW427" s="25">
        <v>0.16865293446332516</v>
      </c>
      <c r="AX427" s="26">
        <v>0.16596282518064251</v>
      </c>
      <c r="AY427" s="26">
        <v>-5.9282167434176206E-2</v>
      </c>
      <c r="AZ427" s="18">
        <v>0.14181813604640042</v>
      </c>
      <c r="BA427" s="18">
        <v>0.14503219499757811</v>
      </c>
      <c r="BB427" s="18">
        <v>4.149841609055762E-2</v>
      </c>
      <c r="BC427" s="18">
        <v>0.14766481273035173</v>
      </c>
      <c r="BD427" s="18">
        <v>0.23282024807945753</v>
      </c>
      <c r="BE427" s="18">
        <v>-0.10749964501297546</v>
      </c>
      <c r="BF427" s="18">
        <v>0.26178957181361617</v>
      </c>
      <c r="BG427" s="18">
        <v>0.16801711061058952</v>
      </c>
      <c r="BH427" s="18">
        <v>1.6745450050195971E-2</v>
      </c>
      <c r="BI427" s="18">
        <v>0.17894848990515744</v>
      </c>
      <c r="BJ427" s="18">
        <v>0.79127163709582549</v>
      </c>
      <c r="BK427" s="18">
        <v>0.68660059788034777</v>
      </c>
      <c r="BL427" s="18">
        <v>0.38058062353736843</v>
      </c>
      <c r="BM427" s="18">
        <v>0.49210146026577695</v>
      </c>
      <c r="BN427" s="18">
        <v>0.22790047001457284</v>
      </c>
      <c r="BO427" s="18">
        <v>0.18549512792154804</v>
      </c>
      <c r="BP427" s="18">
        <v>0.15847667208705141</v>
      </c>
      <c r="BQ427" s="18">
        <v>0.3203812263492557</v>
      </c>
      <c r="BR427" s="18">
        <v>0.24650368060126643</v>
      </c>
      <c r="BS427" s="18">
        <v>-6.6847918505040557E-2</v>
      </c>
      <c r="BT427" s="18">
        <v>0.10336550990984966</v>
      </c>
      <c r="BU427" s="18">
        <v>0.27878301049637572</v>
      </c>
      <c r="BV427" s="18">
        <v>0.10022591157053287</v>
      </c>
      <c r="BW427" s="18">
        <v>0.21515148789976055</v>
      </c>
      <c r="BX427" s="18">
        <v>0.30968537798288304</v>
      </c>
      <c r="BY427" s="18">
        <v>0.27098080937283409</v>
      </c>
      <c r="BZ427" s="18">
        <v>0.47880486325675436</v>
      </c>
      <c r="CA427" s="18">
        <v>0.26909842321511473</v>
      </c>
      <c r="CB427" s="18">
        <v>7.8312826049956902E-2</v>
      </c>
      <c r="CC427" s="18">
        <v>0.25931543115014322</v>
      </c>
      <c r="CD427" s="18">
        <v>0.2489531049662001</v>
      </c>
      <c r="CE427" s="18">
        <v>6.313800140705364E-2</v>
      </c>
      <c r="CF427" s="18">
        <v>-0.19687458728048313</v>
      </c>
      <c r="CG427" s="18">
        <v>0.34227896459266799</v>
      </c>
      <c r="CH427" s="18">
        <v>0.21368384971360554</v>
      </c>
      <c r="CI427" s="18">
        <v>0.32233695453236522</v>
      </c>
      <c r="CJ427" s="18">
        <v>0.2597325365189701</v>
      </c>
      <c r="CK427" s="18">
        <v>-1.5448542605840904E-2</v>
      </c>
      <c r="CL427" s="18">
        <v>0.12193189960142277</v>
      </c>
      <c r="CM427" s="18">
        <v>9.8467205123115076E-2</v>
      </c>
      <c r="CN427" s="19">
        <v>0.45936722608788422</v>
      </c>
    </row>
    <row r="428" spans="1:92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 t="str">
        <v>15.Cash flow problem during construction</v>
      </c>
      <c r="AW428" s="25">
        <v>0.15771632247261355</v>
      </c>
      <c r="AX428" s="26">
        <v>0.21798319925820145</v>
      </c>
      <c r="AY428" s="26">
        <v>-2.1822720316432401E-2</v>
      </c>
      <c r="AZ428" s="18">
        <v>0.16974899194571355</v>
      </c>
      <c r="BA428" s="18">
        <v>0.19223887886009472</v>
      </c>
      <c r="BB428" s="18">
        <v>0.10843011978183867</v>
      </c>
      <c r="BC428" s="18">
        <v>0.21862146318392228</v>
      </c>
      <c r="BD428" s="18">
        <v>0.16961228401267966</v>
      </c>
      <c r="BE428" s="18">
        <v>-8.0317641112113876E-3</v>
      </c>
      <c r="BF428" s="18">
        <v>0.36234563852605389</v>
      </c>
      <c r="BG428" s="18">
        <v>0.26877518944256251</v>
      </c>
      <c r="BH428" s="18">
        <v>3.2074959668683581E-2</v>
      </c>
      <c r="BI428" s="18">
        <v>0.20197247119842937</v>
      </c>
      <c r="BJ428" s="18">
        <v>0.68660059788034777</v>
      </c>
      <c r="BK428" s="18">
        <v>0.84926236671861599</v>
      </c>
      <c r="BL428" s="18">
        <v>0.51349549818905238</v>
      </c>
      <c r="BM428" s="18">
        <v>0.72388644686569281</v>
      </c>
      <c r="BN428" s="18">
        <v>9.8182109151707414E-2</v>
      </c>
      <c r="BO428" s="18">
        <v>0.2551401611751884</v>
      </c>
      <c r="BP428" s="18">
        <v>0.3355096220674027</v>
      </c>
      <c r="BQ428" s="18">
        <v>0.46582088465603766</v>
      </c>
      <c r="BR428" s="18">
        <v>0.2821028852870745</v>
      </c>
      <c r="BS428" s="18">
        <v>0.18872856395357429</v>
      </c>
      <c r="BT428" s="18">
        <v>0.12081026036999649</v>
      </c>
      <c r="BU428" s="18">
        <v>0.35356082973012515</v>
      </c>
      <c r="BV428" s="18">
        <v>0.25393688323712582</v>
      </c>
      <c r="BW428" s="18">
        <v>0.42941662627814747</v>
      </c>
      <c r="BX428" s="18">
        <v>0.39670689120851188</v>
      </c>
      <c r="BY428" s="18">
        <v>0.24522109870628142</v>
      </c>
      <c r="BZ428" s="18">
        <v>0.32662947198380987</v>
      </c>
      <c r="CA428" s="18">
        <v>0.2483564988181852</v>
      </c>
      <c r="CB428" s="18">
        <v>0.20529887132336938</v>
      </c>
      <c r="CC428" s="18">
        <v>0.12072199124214343</v>
      </c>
      <c r="CD428" s="18">
        <v>0.37195490561584005</v>
      </c>
      <c r="CE428" s="18">
        <v>0.24936678528381467</v>
      </c>
      <c r="CF428" s="18">
        <v>-3.4114306398555769E-2</v>
      </c>
      <c r="CG428" s="18">
        <v>0.3544016537891902</v>
      </c>
      <c r="CH428" s="18">
        <v>0.13506204971913524</v>
      </c>
      <c r="CI428" s="18">
        <v>0.22364256867996765</v>
      </c>
      <c r="CJ428" s="18">
        <v>0.20479057536535789</v>
      </c>
      <c r="CK428" s="18">
        <v>0.26877450882323006</v>
      </c>
      <c r="CL428" s="18">
        <v>0.17867692965931528</v>
      </c>
      <c r="CM428" s="18">
        <v>4.2466540572819018E-2</v>
      </c>
      <c r="CN428" s="19">
        <v>0.33264481879723395</v>
      </c>
    </row>
    <row r="429" spans="1:92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 t="str">
        <v>16.High rate of interest</v>
      </c>
      <c r="AW429" s="25">
        <v>7.6233251421836346E-2</v>
      </c>
      <c r="AX429" s="26">
        <v>0.12348537436550033</v>
      </c>
      <c r="AY429" s="26">
        <v>5.5816642482740465E-2</v>
      </c>
      <c r="AZ429" s="18">
        <v>0.17138107254820337</v>
      </c>
      <c r="BA429" s="18">
        <v>0.3805199393889695</v>
      </c>
      <c r="BB429" s="18">
        <v>0.21578109929634665</v>
      </c>
      <c r="BC429" s="18">
        <v>0.24797021221318413</v>
      </c>
      <c r="BD429" s="18">
        <v>0.31354529057508129</v>
      </c>
      <c r="BE429" s="18">
        <v>0.25903636072627911</v>
      </c>
      <c r="BF429" s="18">
        <v>0.34229743370629007</v>
      </c>
      <c r="BG429" s="18">
        <v>0.42709013351622382</v>
      </c>
      <c r="BH429" s="18">
        <v>0.38947210256132192</v>
      </c>
      <c r="BI429" s="18">
        <v>0.39383183109468717</v>
      </c>
      <c r="BJ429" s="18">
        <v>0.38058062353736843</v>
      </c>
      <c r="BK429" s="18">
        <v>0.51349549818905238</v>
      </c>
      <c r="BL429" s="18">
        <v>0.75432921434372369</v>
      </c>
      <c r="BM429" s="18">
        <v>0.43476854899854367</v>
      </c>
      <c r="BN429" s="18">
        <v>0.2983589052195168</v>
      </c>
      <c r="BO429" s="18">
        <v>0.41749019503025736</v>
      </c>
      <c r="BP429" s="18">
        <v>0.48727116369480294</v>
      </c>
      <c r="BQ429" s="18">
        <v>0.50556984238972325</v>
      </c>
      <c r="BR429" s="18">
        <v>0.31517097509214093</v>
      </c>
      <c r="BS429" s="18">
        <v>0.39200609178010509</v>
      </c>
      <c r="BT429" s="18">
        <v>0.14004838192188626</v>
      </c>
      <c r="BU429" s="18">
        <v>0.39001985056249477</v>
      </c>
      <c r="BV429" s="18">
        <v>0.4025145440382516</v>
      </c>
      <c r="BW429" s="18">
        <v>0.36903439835411567</v>
      </c>
      <c r="BX429" s="18">
        <v>0.35851994384364017</v>
      </c>
      <c r="BY429" s="18">
        <v>8.3181258238378464E-2</v>
      </c>
      <c r="BZ429" s="18">
        <v>0.17933756593919878</v>
      </c>
      <c r="CA429" s="18">
        <v>0.43022966991425604</v>
      </c>
      <c r="CB429" s="18">
        <v>0.42795506806927275</v>
      </c>
      <c r="CC429" s="18">
        <v>5.8158443341726346E-2</v>
      </c>
      <c r="CD429" s="18">
        <v>0.57765705791388178</v>
      </c>
      <c r="CE429" s="18">
        <v>0.42124642836613668</v>
      </c>
      <c r="CF429" s="18">
        <v>7.4357716082895861E-2</v>
      </c>
      <c r="CG429" s="18">
        <v>0.12190581515094204</v>
      </c>
      <c r="CH429" s="18">
        <v>0.16521405035501321</v>
      </c>
      <c r="CI429" s="18">
        <v>0.14205903421842009</v>
      </c>
      <c r="CJ429" s="18">
        <v>0.20414179625509099</v>
      </c>
      <c r="CK429" s="18">
        <v>0.41748362925102389</v>
      </c>
      <c r="CL429" s="18">
        <v>0.52091595632744059</v>
      </c>
      <c r="CM429" s="18">
        <v>0.39111054528466438</v>
      </c>
      <c r="CN429" s="19">
        <v>0.16222058300104075</v>
      </c>
    </row>
    <row r="430" spans="1:92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 t="str">
        <v>17.Contractor’s financial difficulties</v>
      </c>
      <c r="AW430" s="25">
        <v>8.6284150816009819E-2</v>
      </c>
      <c r="AX430" s="26">
        <v>0.11565001820195986</v>
      </c>
      <c r="AY430" s="26">
        <v>3.4861718721257373E-2</v>
      </c>
      <c r="AZ430" s="18">
        <v>0.1563655949509789</v>
      </c>
      <c r="BA430" s="18">
        <v>9.9244018912671067E-2</v>
      </c>
      <c r="BB430" s="18">
        <v>1.117740873375926E-2</v>
      </c>
      <c r="BC430" s="18">
        <v>0.120758020828182</v>
      </c>
      <c r="BD430" s="18">
        <v>3.0169175949494167E-2</v>
      </c>
      <c r="BE430" s="18">
        <v>-7.5305908230082624E-2</v>
      </c>
      <c r="BF430" s="18">
        <v>0.30507185638987466</v>
      </c>
      <c r="BG430" s="18">
        <v>0.20106855623867656</v>
      </c>
      <c r="BH430" s="18">
        <v>-3.6171321038809316E-2</v>
      </c>
      <c r="BI430" s="18">
        <v>9.734680247014918E-2</v>
      </c>
      <c r="BJ430" s="18">
        <v>0.49210146026577695</v>
      </c>
      <c r="BK430" s="18">
        <v>0.72388644686569281</v>
      </c>
      <c r="BL430" s="18">
        <v>0.43476854899854367</v>
      </c>
      <c r="BM430" s="18">
        <v>0.78075313709934402</v>
      </c>
      <c r="BN430" s="18">
        <v>0.1359270286745316</v>
      </c>
      <c r="BO430" s="18">
        <v>8.5622596512833528E-3</v>
      </c>
      <c r="BP430" s="18">
        <v>0.17372828524515269</v>
      </c>
      <c r="BQ430" s="18">
        <v>0.30594103416660651</v>
      </c>
      <c r="BR430" s="18">
        <v>0.20869133282730165</v>
      </c>
      <c r="BS430" s="18">
        <v>0.28158888528738657</v>
      </c>
      <c r="BT430" s="18">
        <v>0.18507752147640733</v>
      </c>
      <c r="BU430" s="18">
        <v>0.2377813485496813</v>
      </c>
      <c r="BV430" s="18">
        <v>0.32652832274054427</v>
      </c>
      <c r="BW430" s="18">
        <v>0.40007368016125722</v>
      </c>
      <c r="BX430" s="18">
        <v>0.38321253819874884</v>
      </c>
      <c r="BY430" s="18">
        <v>0.19921431827579361</v>
      </c>
      <c r="BZ430" s="18">
        <v>0.23802062335477683</v>
      </c>
      <c r="CA430" s="18">
        <v>0.24626268173286131</v>
      </c>
      <c r="CB430" s="18">
        <v>0.13847105411699553</v>
      </c>
      <c r="CC430" s="18">
        <v>-1.1929152584388038E-2</v>
      </c>
      <c r="CD430" s="18">
        <v>0.30281071407103438</v>
      </c>
      <c r="CE430" s="18">
        <v>0.25354288654245449</v>
      </c>
      <c r="CF430" s="18">
        <v>6.847960789535866E-2</v>
      </c>
      <c r="CG430" s="18">
        <v>0.34623176092585151</v>
      </c>
      <c r="CH430" s="18">
        <v>6.3729049118240247E-2</v>
      </c>
      <c r="CI430" s="18">
        <v>9.0449917914033243E-2</v>
      </c>
      <c r="CJ430" s="18">
        <v>4.3917444055639507E-2</v>
      </c>
      <c r="CK430" s="18">
        <v>0.32542915801738065</v>
      </c>
      <c r="CL430" s="18">
        <v>0.20032687625001205</v>
      </c>
      <c r="CM430" s="18">
        <v>3.5579324345300534E-2</v>
      </c>
      <c r="CN430" s="19">
        <v>0.23807173339419671</v>
      </c>
    </row>
    <row r="431" spans="1:92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 t="str">
        <v>18.Increase in salaries of skilled laborers</v>
      </c>
      <c r="AW431" s="25">
        <v>0.19921420525796182</v>
      </c>
      <c r="AX431" s="26">
        <v>4.5927226754785819E-2</v>
      </c>
      <c r="AY431" s="26">
        <v>0.33291354206697271</v>
      </c>
      <c r="AZ431" s="18">
        <v>0.32807166441490015</v>
      </c>
      <c r="BA431" s="18">
        <v>0.35854113056390319</v>
      </c>
      <c r="BB431" s="18">
        <v>0.19100206171475731</v>
      </c>
      <c r="BC431" s="18">
        <v>0.20133054809794168</v>
      </c>
      <c r="BD431" s="18">
        <v>0.40791427856719664</v>
      </c>
      <c r="BE431" s="18">
        <v>0.24176133334821528</v>
      </c>
      <c r="BF431" s="18">
        <v>0.39825745921346756</v>
      </c>
      <c r="BG431" s="18">
        <v>0.2173762201984806</v>
      </c>
      <c r="BH431" s="18">
        <v>0.36206331561951693</v>
      </c>
      <c r="BI431" s="18">
        <v>0.24067198607509926</v>
      </c>
      <c r="BJ431" s="18">
        <v>0.22790047001457284</v>
      </c>
      <c r="BK431" s="18">
        <v>9.8182109151707414E-2</v>
      </c>
      <c r="BL431" s="18">
        <v>0.2983589052195168</v>
      </c>
      <c r="BM431" s="18">
        <v>0.1359270286745316</v>
      </c>
      <c r="BN431" s="18">
        <v>0.70402944627770947</v>
      </c>
      <c r="BO431" s="18">
        <v>3.6549097053061891E-2</v>
      </c>
      <c r="BP431" s="18">
        <v>-1.1330257815463079E-3</v>
      </c>
      <c r="BQ431" s="18">
        <v>0.13056598593295593</v>
      </c>
      <c r="BR431" s="18">
        <v>0.29659854062407592</v>
      </c>
      <c r="BS431" s="18">
        <v>0.10366815094603454</v>
      </c>
      <c r="BT431" s="18">
        <v>-3.0931911327771684E-2</v>
      </c>
      <c r="BU431" s="18">
        <v>9.5438641805563468E-2</v>
      </c>
      <c r="BV431" s="18">
        <v>0.4301972563812782</v>
      </c>
      <c r="BW431" s="18">
        <v>0.14598310893714714</v>
      </c>
      <c r="BX431" s="18">
        <v>0.42697118549819407</v>
      </c>
      <c r="BY431" s="18">
        <v>0.22150776353598331</v>
      </c>
      <c r="BZ431" s="18">
        <v>0.14536883721045593</v>
      </c>
      <c r="CA431" s="18">
        <v>0.44170676937429537</v>
      </c>
      <c r="CB431" s="18">
        <v>0.21525296168689192</v>
      </c>
      <c r="CC431" s="18">
        <v>0.19568955179106376</v>
      </c>
      <c r="CD431" s="18">
        <v>0.20146981788223695</v>
      </c>
      <c r="CE431" s="18">
        <v>7.4957565771977264E-2</v>
      </c>
      <c r="CF431" s="18">
        <v>-6.7026139822845221E-2</v>
      </c>
      <c r="CG431" s="18">
        <v>6.8798893069736244E-2</v>
      </c>
      <c r="CH431" s="18">
        <v>0.32510234786991604</v>
      </c>
      <c r="CI431" s="18">
        <v>0.29738753762526376</v>
      </c>
      <c r="CJ431" s="18">
        <v>0.21773853108281871</v>
      </c>
      <c r="CK431" s="18">
        <v>4.1620230552194354E-2</v>
      </c>
      <c r="CL431" s="18">
        <v>0.29615057537605544</v>
      </c>
      <c r="CM431" s="18">
        <v>0.25635972486667674</v>
      </c>
      <c r="CN431" s="19">
        <v>0.17142852933296679</v>
      </c>
    </row>
    <row r="432" spans="1:92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 t="str">
        <v>19.Change design</v>
      </c>
      <c r="AW432" s="25">
        <v>0.17259741391356262</v>
      </c>
      <c r="AX432" s="26">
        <v>0.28993379128662999</v>
      </c>
      <c r="AY432" s="26">
        <v>0.22527612641143507</v>
      </c>
      <c r="AZ432" s="18">
        <v>0.2509189106745271</v>
      </c>
      <c r="BA432" s="18">
        <v>0.54074726624699654</v>
      </c>
      <c r="BB432" s="18">
        <v>0.37275476899888133</v>
      </c>
      <c r="BC432" s="18">
        <v>0.41977606276563201</v>
      </c>
      <c r="BD432" s="18">
        <v>0.31533910096498613</v>
      </c>
      <c r="BE432" s="18">
        <v>0.45918243871031894</v>
      </c>
      <c r="BF432" s="18">
        <v>0.20744684351883386</v>
      </c>
      <c r="BG432" s="18">
        <v>0.39184689155487545</v>
      </c>
      <c r="BH432" s="18">
        <v>0.43843821373394098</v>
      </c>
      <c r="BI432" s="18">
        <v>0.47331069810351323</v>
      </c>
      <c r="BJ432" s="18">
        <v>0.18549512792154804</v>
      </c>
      <c r="BK432" s="18">
        <v>0.2551401611751884</v>
      </c>
      <c r="BL432" s="18">
        <v>0.41749019503025736</v>
      </c>
      <c r="BM432" s="18">
        <v>8.5622596512833528E-3</v>
      </c>
      <c r="BN432" s="18">
        <v>3.6549097053061891E-2</v>
      </c>
      <c r="BO432" s="18">
        <v>0.78859388630605742</v>
      </c>
      <c r="BP432" s="18">
        <v>0.68433390892336465</v>
      </c>
      <c r="BQ432" s="18">
        <v>0.63261979940821611</v>
      </c>
      <c r="BR432" s="18">
        <v>0.34616450509253616</v>
      </c>
      <c r="BS432" s="18">
        <v>0.35187237711336783</v>
      </c>
      <c r="BT432" s="18">
        <v>0.19572862108467506</v>
      </c>
      <c r="BU432" s="18">
        <v>0.4913818887526204</v>
      </c>
      <c r="BV432" s="18">
        <v>0.27141170632204864</v>
      </c>
      <c r="BW432" s="18">
        <v>0.41184267121839457</v>
      </c>
      <c r="BX432" s="18">
        <v>0.19037385700409412</v>
      </c>
      <c r="BY432" s="18">
        <v>0.10793825033648055</v>
      </c>
      <c r="BZ432" s="18">
        <v>0.12339120484138219</v>
      </c>
      <c r="CA432" s="18">
        <v>0.1889806274366039</v>
      </c>
      <c r="CB432" s="18">
        <v>0.46117082963648259</v>
      </c>
      <c r="CC432" s="18">
        <v>0.20858383786018117</v>
      </c>
      <c r="CD432" s="18">
        <v>0.36429254976025288</v>
      </c>
      <c r="CE432" s="18">
        <v>0.29417978514413018</v>
      </c>
      <c r="CF432" s="18">
        <v>0.15455066815689625</v>
      </c>
      <c r="CG432" s="18">
        <v>8.180493638775399E-2</v>
      </c>
      <c r="CH432" s="18">
        <v>0.26892436541205245</v>
      </c>
      <c r="CI432" s="18">
        <v>0.32656639830987483</v>
      </c>
      <c r="CJ432" s="18">
        <v>0.31751798417727051</v>
      </c>
      <c r="CK432" s="18">
        <v>0.297622857914561</v>
      </c>
      <c r="CL432" s="18">
        <v>0.27909364284916205</v>
      </c>
      <c r="CM432" s="18">
        <v>0.25977377438969257</v>
      </c>
      <c r="CN432" s="19">
        <v>8.3385931186487627E-2</v>
      </c>
    </row>
    <row r="433" spans="1:92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 t="str">
        <v>20.Errors and omission in design</v>
      </c>
      <c r="AW433" s="25">
        <v>9.4688038353750739E-2</v>
      </c>
      <c r="AX433" s="26">
        <v>0.2444531198798689</v>
      </c>
      <c r="AY433" s="26">
        <v>7.1025799997121622E-2</v>
      </c>
      <c r="AZ433" s="18">
        <v>0.16265588341765616</v>
      </c>
      <c r="BA433" s="18">
        <v>0.47633569901987083</v>
      </c>
      <c r="BB433" s="18">
        <v>0.21439852394268877</v>
      </c>
      <c r="BC433" s="18">
        <v>0.26219136470434079</v>
      </c>
      <c r="BD433" s="18">
        <v>0.16625583149908391</v>
      </c>
      <c r="BE433" s="18">
        <v>0.3463607167974464</v>
      </c>
      <c r="BF433" s="18">
        <v>0.18355211770987798</v>
      </c>
      <c r="BG433" s="18">
        <v>0.2719519793560452</v>
      </c>
      <c r="BH433" s="18">
        <v>0.26414180032271384</v>
      </c>
      <c r="BI433" s="18">
        <v>0.28908287431758806</v>
      </c>
      <c r="BJ433" s="18">
        <v>0.15847667208705141</v>
      </c>
      <c r="BK433" s="18">
        <v>0.3355096220674027</v>
      </c>
      <c r="BL433" s="18">
        <v>0.48727116369480294</v>
      </c>
      <c r="BM433" s="18">
        <v>0.17372828524515269</v>
      </c>
      <c r="BN433" s="18">
        <v>-1.1330257815463079E-3</v>
      </c>
      <c r="BO433" s="18">
        <v>0.68433390892336465</v>
      </c>
      <c r="BP433" s="18">
        <v>0.78651992701458417</v>
      </c>
      <c r="BQ433" s="18">
        <v>0.65814000578979281</v>
      </c>
      <c r="BR433" s="18">
        <v>0.42458166330212826</v>
      </c>
      <c r="BS433" s="18">
        <v>0.5631453347713391</v>
      </c>
      <c r="BT433" s="18">
        <v>0.22684797702785953</v>
      </c>
      <c r="BU433" s="18">
        <v>0.59199772027781528</v>
      </c>
      <c r="BV433" s="18">
        <v>0.35805716022728051</v>
      </c>
      <c r="BW433" s="18">
        <v>0.48802880130644077</v>
      </c>
      <c r="BX433" s="18">
        <v>0.25768178285719573</v>
      </c>
      <c r="BY433" s="18">
        <v>0.13869014269254398</v>
      </c>
      <c r="BZ433" s="18">
        <v>0.1229177931687182</v>
      </c>
      <c r="CA433" s="18">
        <v>0.28092535477557329</v>
      </c>
      <c r="CB433" s="18">
        <v>0.55573253798120381</v>
      </c>
      <c r="CC433" s="18">
        <v>5.7318299547510526E-2</v>
      </c>
      <c r="CD433" s="18">
        <v>0.37143317346172883</v>
      </c>
      <c r="CE433" s="18">
        <v>0.34193970725560086</v>
      </c>
      <c r="CF433" s="18">
        <v>0.16482633337927421</v>
      </c>
      <c r="CG433" s="18">
        <v>0.10144819166615068</v>
      </c>
      <c r="CH433" s="18">
        <v>9.0810591464328516E-2</v>
      </c>
      <c r="CI433" s="18">
        <v>6.5182342858674774E-2</v>
      </c>
      <c r="CJ433" s="18">
        <v>0.15100125331218769</v>
      </c>
      <c r="CK433" s="18">
        <v>0.26119675842529488</v>
      </c>
      <c r="CL433" s="18">
        <v>0.43404068074909047</v>
      </c>
      <c r="CM433" s="18">
        <v>0.25621914636225573</v>
      </c>
      <c r="CN433" s="19">
        <v>0.12511997629855778</v>
      </c>
    </row>
    <row r="434" spans="1:92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 t="str">
        <v>21.Incomplete design drawings and specifications at tendering stage</v>
      </c>
      <c r="AW434" s="25">
        <v>-1.1191110552050045E-2</v>
      </c>
      <c r="AX434" s="26">
        <v>0.10180991322244724</v>
      </c>
      <c r="AY434" s="26">
        <v>0.10526790976453368</v>
      </c>
      <c r="AZ434" s="18">
        <v>5.6797959795426005E-2</v>
      </c>
      <c r="BA434" s="18">
        <v>0.41024717507121078</v>
      </c>
      <c r="BB434" s="18">
        <v>0.13031559787189287</v>
      </c>
      <c r="BC434" s="18">
        <v>0.18688579480784148</v>
      </c>
      <c r="BD434" s="18">
        <v>0.10666930879712556</v>
      </c>
      <c r="BE434" s="18">
        <v>0.24581917346167692</v>
      </c>
      <c r="BF434" s="18">
        <v>0.21264023133460064</v>
      </c>
      <c r="BG434" s="18">
        <v>0.20303508088587915</v>
      </c>
      <c r="BH434" s="18">
        <v>0.27382834185272914</v>
      </c>
      <c r="BI434" s="18">
        <v>0.27846503473428585</v>
      </c>
      <c r="BJ434" s="18">
        <v>0.3203812263492557</v>
      </c>
      <c r="BK434" s="18">
        <v>0.46582088465603766</v>
      </c>
      <c r="BL434" s="18">
        <v>0.50556984238972325</v>
      </c>
      <c r="BM434" s="18">
        <v>0.30594103416660651</v>
      </c>
      <c r="BN434" s="18">
        <v>0.13056598593295593</v>
      </c>
      <c r="BO434" s="18">
        <v>0.63261979940821611</v>
      </c>
      <c r="BP434" s="18">
        <v>0.65814000578979281</v>
      </c>
      <c r="BQ434" s="18">
        <v>0.77826753728735232</v>
      </c>
      <c r="BR434" s="18">
        <v>0.52768309282692771</v>
      </c>
      <c r="BS434" s="18">
        <v>0.53216564593453031</v>
      </c>
      <c r="BT434" s="18">
        <v>0.23325434290966254</v>
      </c>
      <c r="BU434" s="18">
        <v>0.42595269598714419</v>
      </c>
      <c r="BV434" s="18">
        <v>0.4049040575306086</v>
      </c>
      <c r="BW434" s="18">
        <v>0.45409734210830932</v>
      </c>
      <c r="BX434" s="18">
        <v>0.30952899347594687</v>
      </c>
      <c r="BY434" s="18">
        <v>0.17619258090801188</v>
      </c>
      <c r="BZ434" s="18">
        <v>0.1689746354295257</v>
      </c>
      <c r="CA434" s="18">
        <v>0.29833368271627725</v>
      </c>
      <c r="CB434" s="18">
        <v>0.37880129758759384</v>
      </c>
      <c r="CC434" s="18">
        <v>-1.6696594415530036E-2</v>
      </c>
      <c r="CD434" s="18">
        <v>0.29524000829027519</v>
      </c>
      <c r="CE434" s="18">
        <v>0.21751319901094784</v>
      </c>
      <c r="CF434" s="18">
        <v>5.8284692881299116E-3</v>
      </c>
      <c r="CG434" s="18">
        <v>0.17194743928817485</v>
      </c>
      <c r="CH434" s="18">
        <v>0.3716386894414489</v>
      </c>
      <c r="CI434" s="18">
        <v>0.36126617597702021</v>
      </c>
      <c r="CJ434" s="18">
        <v>0.41854138832002546</v>
      </c>
      <c r="CK434" s="18">
        <v>0.30459881081466705</v>
      </c>
      <c r="CL434" s="18">
        <v>0.28032206016648514</v>
      </c>
      <c r="CM434" s="18">
        <v>0.14714664237856531</v>
      </c>
      <c r="CN434" s="19">
        <v>9.5740375241998715E-2</v>
      </c>
    </row>
    <row r="435" spans="1:92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 t="str">
        <v>22.Delay in preparation and approval of drawing</v>
      </c>
      <c r="AW435" s="25">
        <v>2.5307466226021175E-2</v>
      </c>
      <c r="AX435" s="26">
        <v>-7.2295552650793765E-2</v>
      </c>
      <c r="AY435" s="26">
        <v>-1.3765175376765464E-3</v>
      </c>
      <c r="AZ435" s="18">
        <v>4.2616210471531898E-2</v>
      </c>
      <c r="BA435" s="18">
        <v>0.3193994453791813</v>
      </c>
      <c r="BB435" s="18">
        <v>6.2069377513432229E-2</v>
      </c>
      <c r="BC435" s="18">
        <v>0.11454054415106266</v>
      </c>
      <c r="BD435" s="18">
        <v>0.13112925483384541</v>
      </c>
      <c r="BE435" s="18">
        <v>0.19558314533949264</v>
      </c>
      <c r="BF435" s="18">
        <v>0.2583164551570879</v>
      </c>
      <c r="BG435" s="18">
        <v>6.8033744997631797E-3</v>
      </c>
      <c r="BH435" s="18">
        <v>0.20038929225064259</v>
      </c>
      <c r="BI435" s="18">
        <v>0.10985729691394382</v>
      </c>
      <c r="BJ435" s="18">
        <v>0.24650368060126643</v>
      </c>
      <c r="BK435" s="18">
        <v>0.2821028852870745</v>
      </c>
      <c r="BL435" s="18">
        <v>0.31517097509214093</v>
      </c>
      <c r="BM435" s="18">
        <v>0.20869133282730165</v>
      </c>
      <c r="BN435" s="18">
        <v>0.29659854062407592</v>
      </c>
      <c r="BO435" s="18">
        <v>0.34616450509253616</v>
      </c>
      <c r="BP435" s="18">
        <v>0.42458166330212826</v>
      </c>
      <c r="BQ435" s="18">
        <v>0.52768309282692771</v>
      </c>
      <c r="BR435" s="18">
        <v>0.61006486689165684</v>
      </c>
      <c r="BS435" s="18">
        <v>0.42392430343869109</v>
      </c>
      <c r="BT435" s="18">
        <v>0.12097551065408703</v>
      </c>
      <c r="BU435" s="18">
        <v>0.38361277809821109</v>
      </c>
      <c r="BV435" s="18">
        <v>0.51374213041535077</v>
      </c>
      <c r="BW435" s="18">
        <v>0.43737505962875106</v>
      </c>
      <c r="BX435" s="18">
        <v>0.41933152505475157</v>
      </c>
      <c r="BY435" s="18">
        <v>0.32764553743041985</v>
      </c>
      <c r="BZ435" s="18">
        <v>0.2666857846976583</v>
      </c>
      <c r="CA435" s="18">
        <v>0.47920007350832411</v>
      </c>
      <c r="CB435" s="18">
        <v>0.34111172737559264</v>
      </c>
      <c r="CC435" s="18">
        <v>0.12152340264170901</v>
      </c>
      <c r="CD435" s="18">
        <v>0.29257899766963491</v>
      </c>
      <c r="CE435" s="18">
        <v>0.26225480817443725</v>
      </c>
      <c r="CF435" s="18">
        <v>-1.2530086291403331E-2</v>
      </c>
      <c r="CG435" s="18">
        <v>0.16569744899532191</v>
      </c>
      <c r="CH435" s="18">
        <v>0.43204757953724487</v>
      </c>
      <c r="CI435" s="18">
        <v>0.3426907931912192</v>
      </c>
      <c r="CJ435" s="18">
        <v>0.41575575915569379</v>
      </c>
      <c r="CK435" s="18">
        <v>8.3426028739336758E-2</v>
      </c>
      <c r="CL435" s="18">
        <v>0.26509496470081767</v>
      </c>
      <c r="CM435" s="18">
        <v>3.611866277764085E-2</v>
      </c>
      <c r="CN435" s="19">
        <v>0.20238081754996884</v>
      </c>
    </row>
    <row r="436" spans="1:92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 t="str">
        <v>23.Inaccurate quantity take-off</v>
      </c>
      <c r="AW436" s="25">
        <v>-0.10102933888796284</v>
      </c>
      <c r="AX436" s="26">
        <v>-1.0890921496213971E-2</v>
      </c>
      <c r="AY436" s="26">
        <v>0.13235359569880606</v>
      </c>
      <c r="AZ436" s="18">
        <v>4.9517058202842613E-2</v>
      </c>
      <c r="BA436" s="18">
        <v>0.32378268555138207</v>
      </c>
      <c r="BB436" s="18">
        <v>3.2694306863160522E-2</v>
      </c>
      <c r="BC436" s="18">
        <v>7.6278266426757876E-2</v>
      </c>
      <c r="BD436" s="18">
        <v>-7.5739838239336832E-2</v>
      </c>
      <c r="BE436" s="18">
        <v>0.22747054732780914</v>
      </c>
      <c r="BF436" s="18">
        <v>9.0823127454841446E-2</v>
      </c>
      <c r="BG436" s="18">
        <v>0.1311523295632146</v>
      </c>
      <c r="BH436" s="18">
        <v>0.18794980415142512</v>
      </c>
      <c r="BI436" s="18">
        <v>0.14324325196187238</v>
      </c>
      <c r="BJ436" s="18">
        <v>-6.6847918505040557E-2</v>
      </c>
      <c r="BK436" s="18">
        <v>0.18872856395357429</v>
      </c>
      <c r="BL436" s="18">
        <v>0.39200609178010509</v>
      </c>
      <c r="BM436" s="18">
        <v>0.28158888528738657</v>
      </c>
      <c r="BN436" s="18">
        <v>0.10366815094603454</v>
      </c>
      <c r="BO436" s="18">
        <v>0.35187237711336783</v>
      </c>
      <c r="BP436" s="18">
        <v>0.5631453347713391</v>
      </c>
      <c r="BQ436" s="18">
        <v>0.53216564593453031</v>
      </c>
      <c r="BR436" s="18">
        <v>0.42392430343869109</v>
      </c>
      <c r="BS436" s="18">
        <v>0.75185129328383604</v>
      </c>
      <c r="BT436" s="18">
        <v>0.36997657819385305</v>
      </c>
      <c r="BU436" s="18">
        <v>0.42063437270576282</v>
      </c>
      <c r="BV436" s="18">
        <v>0.51666330217776235</v>
      </c>
      <c r="BW436" s="18">
        <v>0.46876334698340022</v>
      </c>
      <c r="BX436" s="18">
        <v>0.28380153994765517</v>
      </c>
      <c r="BY436" s="18">
        <v>0.14552183574812186</v>
      </c>
      <c r="BZ436" s="18">
        <v>6.3984670616879624E-2</v>
      </c>
      <c r="CA436" s="18">
        <v>0.31395383614035455</v>
      </c>
      <c r="CB436" s="18">
        <v>0.39869254099102119</v>
      </c>
      <c r="CC436" s="18">
        <v>-0.20544612008417001</v>
      </c>
      <c r="CD436" s="18">
        <v>0.23575345118283578</v>
      </c>
      <c r="CE436" s="18">
        <v>0.30940034934130983</v>
      </c>
      <c r="CF436" s="18">
        <v>0.24536279663658561</v>
      </c>
      <c r="CG436" s="18">
        <v>0.10260055054120476</v>
      </c>
      <c r="CH436" s="18">
        <v>0.11894419627619565</v>
      </c>
      <c r="CI436" s="18">
        <v>-5.3986315589617338E-3</v>
      </c>
      <c r="CJ436" s="18">
        <v>4.5759496721521312E-2</v>
      </c>
      <c r="CK436" s="18">
        <v>0.33080298142798881</v>
      </c>
      <c r="CL436" s="18">
        <v>0.43420491526863431</v>
      </c>
      <c r="CM436" s="18">
        <v>0.20215964542368087</v>
      </c>
      <c r="CN436" s="19">
        <v>-7.0821391251212479E-3</v>
      </c>
    </row>
    <row r="437" spans="1:92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 t="str">
        <v>24.Long period from planning of project to construction</v>
      </c>
      <c r="AW437" s="25">
        <v>-0.16262234035940343</v>
      </c>
      <c r="AX437" s="26">
        <v>-8.7388405444895345E-2</v>
      </c>
      <c r="AY437" s="26">
        <v>0.17672923540477142</v>
      </c>
      <c r="AZ437" s="18">
        <v>4.3767648774883774E-2</v>
      </c>
      <c r="BA437" s="18">
        <v>0.12537821676607408</v>
      </c>
      <c r="BB437" s="18">
        <v>-4.3696193029319173E-2</v>
      </c>
      <c r="BC437" s="18">
        <v>8.0919424934850173E-2</v>
      </c>
      <c r="BD437" s="18">
        <v>-0.165705313397807</v>
      </c>
      <c r="BE437" s="18">
        <v>-2.4444483946630201E-2</v>
      </c>
      <c r="BF437" s="18">
        <v>-0.22289583138678909</v>
      </c>
      <c r="BG437" s="18">
        <v>0.11880042768690871</v>
      </c>
      <c r="BH437" s="18">
        <v>5.4696417729651489E-2</v>
      </c>
      <c r="BI437" s="18">
        <v>0.22442288556515122</v>
      </c>
      <c r="BJ437" s="18">
        <v>0.10336550990984966</v>
      </c>
      <c r="BK437" s="18">
        <v>0.12081026036999649</v>
      </c>
      <c r="BL437" s="18">
        <v>0.14004838192188626</v>
      </c>
      <c r="BM437" s="18">
        <v>0.18507752147640733</v>
      </c>
      <c r="BN437" s="18">
        <v>-3.0931911327771684E-2</v>
      </c>
      <c r="BO437" s="18">
        <v>0.19572862108467506</v>
      </c>
      <c r="BP437" s="18">
        <v>0.22684797702785953</v>
      </c>
      <c r="BQ437" s="18">
        <v>0.23325434290966254</v>
      </c>
      <c r="BR437" s="18">
        <v>0.12097551065408703</v>
      </c>
      <c r="BS437" s="18">
        <v>0.36997657819385305</v>
      </c>
      <c r="BT437" s="18">
        <v>0.67205590063125165</v>
      </c>
      <c r="BU437" s="18">
        <v>0.33942050222693304</v>
      </c>
      <c r="BV437" s="18">
        <v>0.21624971022261058</v>
      </c>
      <c r="BW437" s="18">
        <v>0.25263012019713921</v>
      </c>
      <c r="BX437" s="18">
        <v>8.0393463207930616E-3</v>
      </c>
      <c r="BY437" s="18">
        <v>0.12698705154585416</v>
      </c>
      <c r="BZ437" s="18">
        <v>0.37298855083746008</v>
      </c>
      <c r="CA437" s="18">
        <v>0.13328721372421398</v>
      </c>
      <c r="CB437" s="18">
        <v>2.0049659923427054E-2</v>
      </c>
      <c r="CC437" s="18">
        <v>-2.8662718695688941E-2</v>
      </c>
      <c r="CD437" s="18">
        <v>7.7204105276198212E-2</v>
      </c>
      <c r="CE437" s="18">
        <v>0.14899974216867629</v>
      </c>
      <c r="CF437" s="18">
        <v>0.21790025721303075</v>
      </c>
      <c r="CG437" s="18">
        <v>0.16910168106574117</v>
      </c>
      <c r="CH437" s="18">
        <v>8.920861130570068E-2</v>
      </c>
      <c r="CI437" s="18">
        <v>8.7072006903433863E-2</v>
      </c>
      <c r="CJ437" s="18">
        <v>-0.11960354448605945</v>
      </c>
      <c r="CK437" s="18">
        <v>0.13933108877409198</v>
      </c>
      <c r="CL437" s="18">
        <v>0.13806718964961001</v>
      </c>
      <c r="CM437" s="18">
        <v>0.1425547563658337</v>
      </c>
      <c r="CN437" s="19">
        <v>8.207515972904085E-2</v>
      </c>
    </row>
    <row r="438" spans="1:92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 t="str">
        <v>25.Delays in issuing information to the contractor during construction stage</v>
      </c>
      <c r="AW438" s="25">
        <v>0.20570670549075856</v>
      </c>
      <c r="AX438" s="26">
        <v>0.20588644512056758</v>
      </c>
      <c r="AY438" s="26">
        <v>7.8246234892410324E-2</v>
      </c>
      <c r="AZ438" s="18">
        <v>0.28610359262935259</v>
      </c>
      <c r="BA438" s="18">
        <v>0.44002195362741647</v>
      </c>
      <c r="BB438" s="18">
        <v>0.34910214670871881</v>
      </c>
      <c r="BC438" s="18">
        <v>0.42903305694274602</v>
      </c>
      <c r="BD438" s="18">
        <v>0.31880074866686914</v>
      </c>
      <c r="BE438" s="18">
        <v>0.38172950410805651</v>
      </c>
      <c r="BF438" s="18">
        <v>0.28643522320987624</v>
      </c>
      <c r="BG438" s="18">
        <v>0.38586828929941891</v>
      </c>
      <c r="BH438" s="18">
        <v>0.31046052195019891</v>
      </c>
      <c r="BI438" s="18">
        <v>0.40931932046400399</v>
      </c>
      <c r="BJ438" s="18">
        <v>0.27878301049637572</v>
      </c>
      <c r="BK438" s="18">
        <v>0.35356082973012515</v>
      </c>
      <c r="BL438" s="18">
        <v>0.39001985056249477</v>
      </c>
      <c r="BM438" s="18">
        <v>0.2377813485496813</v>
      </c>
      <c r="BN438" s="18">
        <v>9.5438641805563468E-2</v>
      </c>
      <c r="BO438" s="18">
        <v>0.4913818887526204</v>
      </c>
      <c r="BP438" s="18">
        <v>0.59199772027781528</v>
      </c>
      <c r="BQ438" s="18">
        <v>0.42595269598714419</v>
      </c>
      <c r="BR438" s="18">
        <v>0.38361277809821109</v>
      </c>
      <c r="BS438" s="18">
        <v>0.42063437270576282</v>
      </c>
      <c r="BT438" s="18">
        <v>0.33942050222693304</v>
      </c>
      <c r="BU438" s="18">
        <v>0.72925968186092183</v>
      </c>
      <c r="BV438" s="18">
        <v>0.42471462634923024</v>
      </c>
      <c r="BW438" s="18">
        <v>0.60961024503176908</v>
      </c>
      <c r="BX438" s="18">
        <v>0.44383489413534394</v>
      </c>
      <c r="BY438" s="18">
        <v>0.45288431656594264</v>
      </c>
      <c r="BZ438" s="18">
        <v>0.44576659351416165</v>
      </c>
      <c r="CA438" s="18">
        <v>0.35774552156407835</v>
      </c>
      <c r="CB438" s="18">
        <v>0.44708414376243466</v>
      </c>
      <c r="CC438" s="18">
        <v>0.2073742991880019</v>
      </c>
      <c r="CD438" s="18">
        <v>0.43085547285921211</v>
      </c>
      <c r="CE438" s="18">
        <v>0.46866567766778722</v>
      </c>
      <c r="CF438" s="18">
        <v>0.28531278393419163</v>
      </c>
      <c r="CG438" s="18">
        <v>0.19528887634234962</v>
      </c>
      <c r="CH438" s="18">
        <v>5.4504510096838522E-2</v>
      </c>
      <c r="CI438" s="18">
        <v>7.6870047860166754E-2</v>
      </c>
      <c r="CJ438" s="18">
        <v>2.9670661773828461E-2</v>
      </c>
      <c r="CK438" s="18">
        <v>0.14276038799643495</v>
      </c>
      <c r="CL438" s="18">
        <v>0.44566136473105394</v>
      </c>
      <c r="CM438" s="18">
        <v>0.23575087291540786</v>
      </c>
      <c r="CN438" s="19">
        <v>0.38058064699611727</v>
      </c>
    </row>
    <row r="439" spans="1:92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 t="str">
        <v>26.No practical use of earned value management system</v>
      </c>
      <c r="AW439" s="25">
        <v>0.10511488027953339</v>
      </c>
      <c r="AX439" s="26">
        <v>-4.767520719878271E-2</v>
      </c>
      <c r="AY439" s="26">
        <v>0.27524441935764044</v>
      </c>
      <c r="AZ439" s="18">
        <v>0.28361653463551867</v>
      </c>
      <c r="BA439" s="18">
        <v>0.44049039063195594</v>
      </c>
      <c r="BB439" s="18">
        <v>0.27346274378851176</v>
      </c>
      <c r="BC439" s="18">
        <v>0.34025879855370916</v>
      </c>
      <c r="BD439" s="18">
        <v>0.27213078972237503</v>
      </c>
      <c r="BE439" s="18">
        <v>0.39652290104254262</v>
      </c>
      <c r="BF439" s="18">
        <v>0.40049819746714471</v>
      </c>
      <c r="BG439" s="18">
        <v>0.26877580359229392</v>
      </c>
      <c r="BH439" s="18">
        <v>0.39475335501715753</v>
      </c>
      <c r="BI439" s="18">
        <v>0.31963282442281671</v>
      </c>
      <c r="BJ439" s="18">
        <v>0.10022591157053287</v>
      </c>
      <c r="BK439" s="18">
        <v>0.25393688323712582</v>
      </c>
      <c r="BL439" s="18">
        <v>0.4025145440382516</v>
      </c>
      <c r="BM439" s="18">
        <v>0.32652832274054427</v>
      </c>
      <c r="BN439" s="18">
        <v>0.4301972563812782</v>
      </c>
      <c r="BO439" s="18">
        <v>0.27141170632204864</v>
      </c>
      <c r="BP439" s="18">
        <v>0.35805716022728051</v>
      </c>
      <c r="BQ439" s="18">
        <v>0.4049040575306086</v>
      </c>
      <c r="BR439" s="18">
        <v>0.51374213041535077</v>
      </c>
      <c r="BS439" s="18">
        <v>0.51666330217776235</v>
      </c>
      <c r="BT439" s="18">
        <v>0.21624971022261058</v>
      </c>
      <c r="BU439" s="18">
        <v>0.42471462634923024</v>
      </c>
      <c r="BV439" s="18">
        <v>0.73538291304693781</v>
      </c>
      <c r="BW439" s="18">
        <v>0.58324998422236607</v>
      </c>
      <c r="BX439" s="18">
        <v>0.54020749509677768</v>
      </c>
      <c r="BY439" s="18">
        <v>0.34574170340546184</v>
      </c>
      <c r="BZ439" s="18">
        <v>0.21431239442231093</v>
      </c>
      <c r="CA439" s="18">
        <v>0.54817980183209014</v>
      </c>
      <c r="CB439" s="18">
        <v>0.40567353164001546</v>
      </c>
      <c r="CC439" s="18">
        <v>0.1644808901671731</v>
      </c>
      <c r="CD439" s="18">
        <v>0.46297004811295411</v>
      </c>
      <c r="CE439" s="18">
        <v>0.4846425698450485</v>
      </c>
      <c r="CF439" s="18">
        <v>0.22214234307437516</v>
      </c>
      <c r="CG439" s="18">
        <v>0.11558381050936865</v>
      </c>
      <c r="CH439" s="18">
        <v>0.36808613903323262</v>
      </c>
      <c r="CI439" s="18">
        <v>0.28481230360744286</v>
      </c>
      <c r="CJ439" s="18">
        <v>0.2278808208546626</v>
      </c>
      <c r="CK439" s="18">
        <v>0.32711156191488117</v>
      </c>
      <c r="CL439" s="18">
        <v>0.34056996201840917</v>
      </c>
      <c r="CM439" s="18">
        <v>9.3208905871836514E-2</v>
      </c>
      <c r="CN439" s="19">
        <v>9.3608122943018235E-2</v>
      </c>
    </row>
    <row r="440" spans="1:92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 t="str">
        <v>27.Lack of cost planning/monitoring during pre and post contract stage</v>
      </c>
      <c r="AW440" s="25">
        <v>0.2968794582211316</v>
      </c>
      <c r="AX440" s="26">
        <v>0.21162261633202956</v>
      </c>
      <c r="AY440" s="26">
        <v>0.1913169638686476</v>
      </c>
      <c r="AZ440" s="18">
        <v>0.36328688402011022</v>
      </c>
      <c r="BA440" s="18">
        <v>0.45965532572632273</v>
      </c>
      <c r="BB440" s="18">
        <v>0.47178688196505147</v>
      </c>
      <c r="BC440" s="18">
        <v>0.55465252000551113</v>
      </c>
      <c r="BD440" s="18">
        <v>0.35757151807479026</v>
      </c>
      <c r="BE440" s="18">
        <v>0.50540512486561862</v>
      </c>
      <c r="BF440" s="18">
        <v>0.49931482404619532</v>
      </c>
      <c r="BG440" s="18">
        <v>0.46165365448701917</v>
      </c>
      <c r="BH440" s="18">
        <v>0.42402857074828409</v>
      </c>
      <c r="BI440" s="18">
        <v>0.45687697674883126</v>
      </c>
      <c r="BJ440" s="18">
        <v>0.21515148789976055</v>
      </c>
      <c r="BK440" s="18">
        <v>0.42941662627814747</v>
      </c>
      <c r="BL440" s="18">
        <v>0.36903439835411567</v>
      </c>
      <c r="BM440" s="18">
        <v>0.40007368016125722</v>
      </c>
      <c r="BN440" s="18">
        <v>0.14598310893714714</v>
      </c>
      <c r="BO440" s="18">
        <v>0.41184267121839457</v>
      </c>
      <c r="BP440" s="18">
        <v>0.48802880130644077</v>
      </c>
      <c r="BQ440" s="18">
        <v>0.45409734210830932</v>
      </c>
      <c r="BR440" s="18">
        <v>0.43737505962875106</v>
      </c>
      <c r="BS440" s="18">
        <v>0.46876334698340022</v>
      </c>
      <c r="BT440" s="18">
        <v>0.25263012019713921</v>
      </c>
      <c r="BU440" s="18">
        <v>0.60961024503176908</v>
      </c>
      <c r="BV440" s="18">
        <v>0.58324998422236607</v>
      </c>
      <c r="BW440" s="18">
        <v>0.76413126454749458</v>
      </c>
      <c r="BX440" s="18">
        <v>0.60897454664723061</v>
      </c>
      <c r="BY440" s="18">
        <v>0.52613783028698369</v>
      </c>
      <c r="BZ440" s="18">
        <v>0.342637861542539</v>
      </c>
      <c r="CA440" s="18">
        <v>0.34194497970409066</v>
      </c>
      <c r="CB440" s="18">
        <v>0.41956037925271356</v>
      </c>
      <c r="CC440" s="18">
        <v>0.18287866824632898</v>
      </c>
      <c r="CD440" s="18">
        <v>0.49489509557259181</v>
      </c>
      <c r="CE440" s="18">
        <v>0.59098809308518796</v>
      </c>
      <c r="CF440" s="18">
        <v>0.43557718883091795</v>
      </c>
      <c r="CG440" s="18">
        <v>0.30950543770041922</v>
      </c>
      <c r="CH440" s="18">
        <v>0.25508299856114836</v>
      </c>
      <c r="CI440" s="18">
        <v>0.28297724017939752</v>
      </c>
      <c r="CJ440" s="18">
        <v>0.2215468946671319</v>
      </c>
      <c r="CK440" s="18">
        <v>0.39942266688923633</v>
      </c>
      <c r="CL440" s="18">
        <v>0.38699503194988749</v>
      </c>
      <c r="CM440" s="18">
        <v>0.14947753543883874</v>
      </c>
      <c r="CN440" s="19">
        <v>0.33629289371106807</v>
      </c>
    </row>
    <row r="441" spans="1:92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 t="str">
        <v>28.Poor communication between client, consultant and contractor</v>
      </c>
      <c r="AW441" s="25">
        <v>0.3467571725318217</v>
      </c>
      <c r="AX441" s="26">
        <v>0.18772254989547466</v>
      </c>
      <c r="AY441" s="26">
        <v>0.16903950415243696</v>
      </c>
      <c r="AZ441" s="18">
        <v>0.3556762718332277</v>
      </c>
      <c r="BA441" s="18">
        <v>0.39918352943542257</v>
      </c>
      <c r="BB441" s="18">
        <v>0.4758915556704576</v>
      </c>
      <c r="BC441" s="18">
        <v>0.4878537002835977</v>
      </c>
      <c r="BD441" s="18">
        <v>0.51168475543135572</v>
      </c>
      <c r="BE441" s="18">
        <v>0.48202773377257657</v>
      </c>
      <c r="BF441" s="18">
        <v>0.6669096407759374</v>
      </c>
      <c r="BG441" s="18">
        <v>0.45208959082566147</v>
      </c>
      <c r="BH441" s="18">
        <v>0.46210587968192091</v>
      </c>
      <c r="BI441" s="18">
        <v>0.40695714814319989</v>
      </c>
      <c r="BJ441" s="18">
        <v>0.30968537798288304</v>
      </c>
      <c r="BK441" s="18">
        <v>0.39670689120851188</v>
      </c>
      <c r="BL441" s="18">
        <v>0.35851994384364017</v>
      </c>
      <c r="BM441" s="18">
        <v>0.38321253819874884</v>
      </c>
      <c r="BN441" s="18">
        <v>0.42697118549819407</v>
      </c>
      <c r="BO441" s="18">
        <v>0.19037385700409412</v>
      </c>
      <c r="BP441" s="18">
        <v>0.25768178285719573</v>
      </c>
      <c r="BQ441" s="18">
        <v>0.30952899347594687</v>
      </c>
      <c r="BR441" s="18">
        <v>0.41933152505475157</v>
      </c>
      <c r="BS441" s="18">
        <v>0.28380153994765517</v>
      </c>
      <c r="BT441" s="18">
        <v>8.0393463207930616E-3</v>
      </c>
      <c r="BU441" s="18">
        <v>0.44383489413534394</v>
      </c>
      <c r="BV441" s="18">
        <v>0.54020749509677768</v>
      </c>
      <c r="BW441" s="18">
        <v>0.60897454664723061</v>
      </c>
      <c r="BX441" s="18">
        <v>0.74893847682833392</v>
      </c>
      <c r="BY441" s="18">
        <v>0.62969890694429942</v>
      </c>
      <c r="BZ441" s="18">
        <v>0.33315932968832568</v>
      </c>
      <c r="CA441" s="18">
        <v>0.36675617071788691</v>
      </c>
      <c r="CB441" s="18">
        <v>0.31212117340895046</v>
      </c>
      <c r="CC441" s="18">
        <v>0.11602236575578373</v>
      </c>
      <c r="CD441" s="18">
        <v>0.37978977327170649</v>
      </c>
      <c r="CE441" s="18">
        <v>0.41141676747090405</v>
      </c>
      <c r="CF441" s="18">
        <v>0.24367464126458813</v>
      </c>
      <c r="CG441" s="18">
        <v>0.2648593276925752</v>
      </c>
      <c r="CH441" s="18">
        <v>0.25593979097302977</v>
      </c>
      <c r="CI441" s="18">
        <v>0.29225687916293774</v>
      </c>
      <c r="CJ441" s="18">
        <v>0.27277316980497363</v>
      </c>
      <c r="CK441" s="18">
        <v>0.22717989120468818</v>
      </c>
      <c r="CL441" s="18">
        <v>0.41585420732006789</v>
      </c>
      <c r="CM441" s="18">
        <v>0.18822507721641166</v>
      </c>
      <c r="CN441" s="19">
        <v>0.43432332279401886</v>
      </c>
    </row>
    <row r="442" spans="1:92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 t="str">
        <v>29.Insufficient coordination between local authority who is responsible about road projects and service authorities</v>
      </c>
      <c r="AW442" s="25">
        <v>0.2006431297684643</v>
      </c>
      <c r="AX442" s="26">
        <v>3.5138804250923882E-2</v>
      </c>
      <c r="AY442" s="26">
        <v>3.1852473776590201E-2</v>
      </c>
      <c r="AZ442" s="18">
        <v>0.16260572723085451</v>
      </c>
      <c r="BA442" s="18">
        <v>0.19693360308949792</v>
      </c>
      <c r="BB442" s="18">
        <v>0.41273017824734387</v>
      </c>
      <c r="BC442" s="18">
        <v>0.4104830780852291</v>
      </c>
      <c r="BD442" s="18">
        <v>0.37711668776796631</v>
      </c>
      <c r="BE442" s="18">
        <v>0.37174152361538609</v>
      </c>
      <c r="BF442" s="18">
        <v>0.45215949036604891</v>
      </c>
      <c r="BG442" s="18">
        <v>0.33225192085103988</v>
      </c>
      <c r="BH442" s="18">
        <v>0.33840977384328941</v>
      </c>
      <c r="BI442" s="18">
        <v>0.35749273832628864</v>
      </c>
      <c r="BJ442" s="18">
        <v>0.27098080937283409</v>
      </c>
      <c r="BK442" s="18">
        <v>0.24522109870628142</v>
      </c>
      <c r="BL442" s="18">
        <v>8.3181258238378464E-2</v>
      </c>
      <c r="BM442" s="18">
        <v>0.19921431827579361</v>
      </c>
      <c r="BN442" s="18">
        <v>0.22150776353598331</v>
      </c>
      <c r="BO442" s="18">
        <v>0.10793825033648055</v>
      </c>
      <c r="BP442" s="18">
        <v>0.13869014269254398</v>
      </c>
      <c r="BQ442" s="18">
        <v>0.17619258090801188</v>
      </c>
      <c r="BR442" s="18">
        <v>0.32764553743041985</v>
      </c>
      <c r="BS442" s="18">
        <v>0.14552183574812186</v>
      </c>
      <c r="BT442" s="18">
        <v>0.12698705154585416</v>
      </c>
      <c r="BU442" s="18">
        <v>0.45288431656594264</v>
      </c>
      <c r="BV442" s="18">
        <v>0.34574170340546184</v>
      </c>
      <c r="BW442" s="18">
        <v>0.52613783028698369</v>
      </c>
      <c r="BX442" s="18">
        <v>0.62969890694429942</v>
      </c>
      <c r="BY442" s="18">
        <v>0.772485559641236</v>
      </c>
      <c r="BZ442" s="18">
        <v>0.50605283502559273</v>
      </c>
      <c r="CA442" s="18">
        <v>0.18053644090200077</v>
      </c>
      <c r="CB442" s="18">
        <v>4.7706051685370364E-2</v>
      </c>
      <c r="CC442" s="18">
        <v>2.5927926837409868E-2</v>
      </c>
      <c r="CD442" s="18">
        <v>0.14685676240656653</v>
      </c>
      <c r="CE442" s="18">
        <v>0.26856964282388335</v>
      </c>
      <c r="CF442" s="18">
        <v>0.19972425535918278</v>
      </c>
      <c r="CG442" s="18">
        <v>0.21059619309040167</v>
      </c>
      <c r="CH442" s="18">
        <v>0.17419264719725078</v>
      </c>
      <c r="CI442" s="18">
        <v>0.2535044787963045</v>
      </c>
      <c r="CJ442" s="18">
        <v>0.18608022037322169</v>
      </c>
      <c r="CK442" s="18">
        <v>-2.3478890161058003E-2</v>
      </c>
      <c r="CL442" s="18">
        <v>0.20848928055576874</v>
      </c>
      <c r="CM442" s="18">
        <v>1.7193626854367022E-2</v>
      </c>
      <c r="CN442" s="19">
        <v>0.47940344793054046</v>
      </c>
    </row>
    <row r="443" spans="1:92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 t="str">
        <v>30.Delays in decisions making by the approval authorities</v>
      </c>
      <c r="AW443" s="25">
        <v>4.9334079232585662E-2</v>
      </c>
      <c r="AX443" s="26">
        <v>-7.2692063188883049E-2</v>
      </c>
      <c r="AY443" s="26">
        <v>-9.399739727136365E-2</v>
      </c>
      <c r="AZ443" s="18">
        <v>5.6223094700802896E-2</v>
      </c>
      <c r="BA443" s="18">
        <v>9.9441835850718197E-2</v>
      </c>
      <c r="BB443" s="18">
        <v>0.12141010391744317</v>
      </c>
      <c r="BC443" s="18">
        <v>0.21414856594803189</v>
      </c>
      <c r="BD443" s="18">
        <v>0.17841668950302639</v>
      </c>
      <c r="BE443" s="18">
        <v>3.7704707271970679E-2</v>
      </c>
      <c r="BF443" s="18">
        <v>0.11737058903819234</v>
      </c>
      <c r="BG443" s="18">
        <v>0.17323428336267077</v>
      </c>
      <c r="BH443" s="18">
        <v>0.14078783293247304</v>
      </c>
      <c r="BI443" s="18">
        <v>0.27634661815812323</v>
      </c>
      <c r="BJ443" s="18">
        <v>0.47880486325675436</v>
      </c>
      <c r="BK443" s="18">
        <v>0.32662947198380987</v>
      </c>
      <c r="BL443" s="18">
        <v>0.17933756593919878</v>
      </c>
      <c r="BM443" s="18">
        <v>0.23802062335477683</v>
      </c>
      <c r="BN443" s="18">
        <v>0.14536883721045593</v>
      </c>
      <c r="BO443" s="18">
        <v>0.12339120484138219</v>
      </c>
      <c r="BP443" s="18">
        <v>0.1229177931687182</v>
      </c>
      <c r="BQ443" s="18">
        <v>0.1689746354295257</v>
      </c>
      <c r="BR443" s="18">
        <v>0.2666857846976583</v>
      </c>
      <c r="BS443" s="18">
        <v>6.3984670616879624E-2</v>
      </c>
      <c r="BT443" s="18">
        <v>0.37298855083746008</v>
      </c>
      <c r="BU443" s="18">
        <v>0.44576659351416165</v>
      </c>
      <c r="BV443" s="18">
        <v>0.21431239442231093</v>
      </c>
      <c r="BW443" s="18">
        <v>0.342637861542539</v>
      </c>
      <c r="BX443" s="18">
        <v>0.33315932968832568</v>
      </c>
      <c r="BY443" s="18">
        <v>0.50605283502559273</v>
      </c>
      <c r="BZ443" s="18">
        <v>0.67772043070925547</v>
      </c>
      <c r="CA443" s="18">
        <v>0.29517653281609996</v>
      </c>
      <c r="CB443" s="18">
        <v>3.4006526781508346E-3</v>
      </c>
      <c r="CC443" s="18">
        <v>0.19865019989687682</v>
      </c>
      <c r="CD443" s="18">
        <v>0.23929175481467907</v>
      </c>
      <c r="CE443" s="18">
        <v>0.24700417870373331</v>
      </c>
      <c r="CF443" s="18">
        <v>7.7078388682209203E-2</v>
      </c>
      <c r="CG443" s="18">
        <v>0.27530075883415367</v>
      </c>
      <c r="CH443" s="18">
        <v>0.20683142013238287</v>
      </c>
      <c r="CI443" s="18">
        <v>0.25862303523655888</v>
      </c>
      <c r="CJ443" s="18">
        <v>0.13516223347637513</v>
      </c>
      <c r="CK443" s="18">
        <v>-8.2489030318538659E-2</v>
      </c>
      <c r="CL443" s="18">
        <v>0.18201406579839136</v>
      </c>
      <c r="CM443" s="18">
        <v>9.5350216651800504E-2</v>
      </c>
      <c r="CN443" s="19">
        <v>0.49143482341421618</v>
      </c>
    </row>
    <row r="444" spans="1:92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 t="str">
        <v>31.Change schedule</v>
      </c>
      <c r="AW444" s="25">
        <v>7.3766918153847783E-2</v>
      </c>
      <c r="AX444" s="26">
        <v>-9.6806402829425084E-2</v>
      </c>
      <c r="AY444" s="26">
        <v>2.0658607860340114E-2</v>
      </c>
      <c r="AZ444" s="18">
        <v>0.16374471611611249</v>
      </c>
      <c r="BA444" s="18">
        <v>0.32084379451518508</v>
      </c>
      <c r="BB444" s="18">
        <v>3.9297048859575648E-2</v>
      </c>
      <c r="BC444" s="18">
        <v>0.1206357729042436</v>
      </c>
      <c r="BD444" s="18">
        <v>0.21779111381898619</v>
      </c>
      <c r="BE444" s="18">
        <v>0.13538481080315543</v>
      </c>
      <c r="BF444" s="18">
        <v>0.24390846044032671</v>
      </c>
      <c r="BG444" s="18">
        <v>6.3523761593902134E-2</v>
      </c>
      <c r="BH444" s="18">
        <v>0.21089863482171761</v>
      </c>
      <c r="BI444" s="18">
        <v>0.1359757721070303</v>
      </c>
      <c r="BJ444" s="18">
        <v>0.26909842321511473</v>
      </c>
      <c r="BK444" s="18">
        <v>0.2483564988181852</v>
      </c>
      <c r="BL444" s="18">
        <v>0.43022966991425604</v>
      </c>
      <c r="BM444" s="18">
        <v>0.24626268173286131</v>
      </c>
      <c r="BN444" s="18">
        <v>0.44170676937429537</v>
      </c>
      <c r="BO444" s="18">
        <v>0.1889806274366039</v>
      </c>
      <c r="BP444" s="18">
        <v>0.28092535477557329</v>
      </c>
      <c r="BQ444" s="18">
        <v>0.29833368271627725</v>
      </c>
      <c r="BR444" s="18">
        <v>0.47920007350832411</v>
      </c>
      <c r="BS444" s="18">
        <v>0.31395383614035455</v>
      </c>
      <c r="BT444" s="18">
        <v>0.13328721372421398</v>
      </c>
      <c r="BU444" s="18">
        <v>0.35774552156407835</v>
      </c>
      <c r="BV444" s="18">
        <v>0.54817980183209014</v>
      </c>
      <c r="BW444" s="18">
        <v>0.34194497970409066</v>
      </c>
      <c r="BX444" s="18">
        <v>0.36675617071788691</v>
      </c>
      <c r="BY444" s="18">
        <v>0.18053644090200077</v>
      </c>
      <c r="BZ444" s="18">
        <v>0.29517653281609996</v>
      </c>
      <c r="CA444" s="18">
        <v>0.65296099665901908</v>
      </c>
      <c r="CB444" s="18">
        <v>0.40017584996563071</v>
      </c>
      <c r="CC444" s="18">
        <v>0.31524761025260306</v>
      </c>
      <c r="CD444" s="18">
        <v>0.49711203934768938</v>
      </c>
      <c r="CE444" s="18">
        <v>0.39832337727160699</v>
      </c>
      <c r="CF444" s="18">
        <v>1.6624431868394622E-2</v>
      </c>
      <c r="CG444" s="18">
        <v>0.1266360773339984</v>
      </c>
      <c r="CH444" s="18">
        <v>0.336770626161361</v>
      </c>
      <c r="CI444" s="18">
        <v>0.21166355584939678</v>
      </c>
      <c r="CJ444" s="18">
        <v>0.23229506774328512</v>
      </c>
      <c r="CK444" s="18">
        <v>0.10706129556838417</v>
      </c>
      <c r="CL444" s="18">
        <v>0.37654414774526535</v>
      </c>
      <c r="CM444" s="18">
        <v>0.17118030417428373</v>
      </c>
      <c r="CN444" s="19">
        <v>0.20432579664544764</v>
      </c>
    </row>
    <row r="445" spans="1:92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 t="str">
        <v>32.Stoppages because of work being rejected by consultant</v>
      </c>
      <c r="AW445" s="25">
        <v>0.37798519761712113</v>
      </c>
      <c r="AX445" s="26">
        <v>0.39229498820366587</v>
      </c>
      <c r="AY445" s="26">
        <v>0.1786597040794673</v>
      </c>
      <c r="AZ445" s="18">
        <v>0.42567567324416111</v>
      </c>
      <c r="BA445" s="18">
        <v>0.54812314291050812</v>
      </c>
      <c r="BB445" s="18">
        <v>0.27223845326778284</v>
      </c>
      <c r="BC445" s="18">
        <v>0.3355090116912568</v>
      </c>
      <c r="BD445" s="18">
        <v>0.33540831889799805</v>
      </c>
      <c r="BE445" s="18">
        <v>0.39523528649101958</v>
      </c>
      <c r="BF445" s="18">
        <v>0.35328600125968007</v>
      </c>
      <c r="BG445" s="18">
        <v>0.2838158585414377</v>
      </c>
      <c r="BH445" s="18">
        <v>0.30376681153420543</v>
      </c>
      <c r="BI445" s="18">
        <v>0.231710703497264</v>
      </c>
      <c r="BJ445" s="18">
        <v>7.8312826049956902E-2</v>
      </c>
      <c r="BK445" s="18">
        <v>0.20529887132336938</v>
      </c>
      <c r="BL445" s="18">
        <v>0.42795506806927275</v>
      </c>
      <c r="BM445" s="18">
        <v>0.13847105411699553</v>
      </c>
      <c r="BN445" s="18">
        <v>0.21525296168689192</v>
      </c>
      <c r="BO445" s="18">
        <v>0.46117082963648259</v>
      </c>
      <c r="BP445" s="18">
        <v>0.55573253798120381</v>
      </c>
      <c r="BQ445" s="18">
        <v>0.37880129758759384</v>
      </c>
      <c r="BR445" s="18">
        <v>0.34111172737559264</v>
      </c>
      <c r="BS445" s="18">
        <v>0.39869254099102119</v>
      </c>
      <c r="BT445" s="18">
        <v>2.0049659923427054E-2</v>
      </c>
      <c r="BU445" s="18">
        <v>0.44708414376243466</v>
      </c>
      <c r="BV445" s="18">
        <v>0.40567353164001546</v>
      </c>
      <c r="BW445" s="18">
        <v>0.41956037925271356</v>
      </c>
      <c r="BX445" s="18">
        <v>0.31212117340895046</v>
      </c>
      <c r="BY445" s="18">
        <v>4.7706051685370364E-2</v>
      </c>
      <c r="BZ445" s="18">
        <v>3.4006526781508346E-3</v>
      </c>
      <c r="CA445" s="18">
        <v>0.40017584996563071</v>
      </c>
      <c r="CB445" s="18">
        <v>0.67317896174608005</v>
      </c>
      <c r="CC445" s="18">
        <v>0.31916583685765432</v>
      </c>
      <c r="CD445" s="18">
        <v>0.48341946236757383</v>
      </c>
      <c r="CE445" s="18">
        <v>0.42690647778861351</v>
      </c>
      <c r="CF445" s="18">
        <v>0.28579655765113804</v>
      </c>
      <c r="CG445" s="18">
        <v>0.19052052717637985</v>
      </c>
      <c r="CH445" s="18">
        <v>0.11418851571489068</v>
      </c>
      <c r="CI445" s="18">
        <v>5.2334592256540004E-2</v>
      </c>
      <c r="CJ445" s="18">
        <v>0.12174011310866947</v>
      </c>
      <c r="CK445" s="18">
        <v>0.29064828481239324</v>
      </c>
      <c r="CL445" s="18">
        <v>0.55177430919717751</v>
      </c>
      <c r="CM445" s="18">
        <v>0.40393569914641825</v>
      </c>
      <c r="CN445" s="19">
        <v>0.20326868995444289</v>
      </c>
    </row>
    <row r="446" spans="1:92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 t="str">
        <v>33.Lowest bid price</v>
      </c>
      <c r="AW446" s="25">
        <v>0.46412174502981157</v>
      </c>
      <c r="AX446" s="26">
        <v>0.29575599398378233</v>
      </c>
      <c r="AY446" s="26">
        <v>0.19146851579548546</v>
      </c>
      <c r="AZ446" s="18">
        <v>0.47928293138011302</v>
      </c>
      <c r="BA446" s="18">
        <v>0.34583878792264405</v>
      </c>
      <c r="BB446" s="18">
        <v>0.24107941173202665</v>
      </c>
      <c r="BC446" s="18">
        <v>0.37655974469008269</v>
      </c>
      <c r="BD446" s="18">
        <v>0.37562704210068243</v>
      </c>
      <c r="BE446" s="18">
        <v>0.17750601291468249</v>
      </c>
      <c r="BF446" s="18">
        <v>0.2299846632292698</v>
      </c>
      <c r="BG446" s="18">
        <v>0.14638189440901431</v>
      </c>
      <c r="BH446" s="18">
        <v>0.15727670911506633</v>
      </c>
      <c r="BI446" s="18">
        <v>0.19637921811755571</v>
      </c>
      <c r="BJ446" s="18">
        <v>0.25931543115014322</v>
      </c>
      <c r="BK446" s="18">
        <v>0.12072199124214343</v>
      </c>
      <c r="BL446" s="18">
        <v>5.8158443341726346E-2</v>
      </c>
      <c r="BM446" s="18">
        <v>-1.1929152584388038E-2</v>
      </c>
      <c r="BN446" s="18">
        <v>0.19568955179106376</v>
      </c>
      <c r="BO446" s="18">
        <v>0.20858383786018117</v>
      </c>
      <c r="BP446" s="18">
        <v>5.7318299547510526E-2</v>
      </c>
      <c r="BQ446" s="18">
        <v>-1.6696594415530036E-2</v>
      </c>
      <c r="BR446" s="18">
        <v>0.12152340264170901</v>
      </c>
      <c r="BS446" s="18">
        <v>-0.20544612008417001</v>
      </c>
      <c r="BT446" s="18">
        <v>-2.8662718695688941E-2</v>
      </c>
      <c r="BU446" s="18">
        <v>0.2073742991880019</v>
      </c>
      <c r="BV446" s="18">
        <v>0.1644808901671731</v>
      </c>
      <c r="BW446" s="18">
        <v>0.18287866824632898</v>
      </c>
      <c r="BX446" s="18">
        <v>0.11602236575578373</v>
      </c>
      <c r="BY446" s="18">
        <v>2.5927926837409868E-2</v>
      </c>
      <c r="BZ446" s="18">
        <v>0.19865019989687682</v>
      </c>
      <c r="CA446" s="18">
        <v>0.31524761025260306</v>
      </c>
      <c r="CB446" s="18">
        <v>0.31916583685765432</v>
      </c>
      <c r="CC446" s="18">
        <v>0.74684813224495716</v>
      </c>
      <c r="CD446" s="18">
        <v>0.40010650671540454</v>
      </c>
      <c r="CE446" s="18">
        <v>0.29931733712765529</v>
      </c>
      <c r="CF446" s="18">
        <v>0.14773510274388724</v>
      </c>
      <c r="CG446" s="18">
        <v>0.23695990406051992</v>
      </c>
      <c r="CH446" s="18">
        <v>0.27473564010327889</v>
      </c>
      <c r="CI446" s="18">
        <v>0.32142394087504522</v>
      </c>
      <c r="CJ446" s="18">
        <v>0.18486057519274274</v>
      </c>
      <c r="CK446" s="18">
        <v>4.4390215659025685E-2</v>
      </c>
      <c r="CL446" s="18">
        <v>7.553571356253759E-2</v>
      </c>
      <c r="CM446" s="18">
        <v>0.12970426665322912</v>
      </c>
      <c r="CN446" s="19">
        <v>0.2637611953086727</v>
      </c>
    </row>
    <row r="447" spans="1:92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 t="str">
        <v>34.Insufficient time for preparation of contract documents</v>
      </c>
      <c r="AW447" s="25">
        <v>0.27111497806439533</v>
      </c>
      <c r="AX447" s="26">
        <v>0.12503882350646631</v>
      </c>
      <c r="AY447" s="26">
        <v>1.5159175868441194E-2</v>
      </c>
      <c r="AZ447" s="18">
        <v>0.30299172788752449</v>
      </c>
      <c r="BA447" s="18">
        <v>0.39489893159618211</v>
      </c>
      <c r="BB447" s="18">
        <v>0.380952884561024</v>
      </c>
      <c r="BC447" s="18">
        <v>0.4520874782181532</v>
      </c>
      <c r="BD447" s="18">
        <v>0.42990319737883326</v>
      </c>
      <c r="BE447" s="18">
        <v>0.39829480763460046</v>
      </c>
      <c r="BF447" s="18">
        <v>0.41709224666172834</v>
      </c>
      <c r="BG447" s="18">
        <v>0.44467995393622906</v>
      </c>
      <c r="BH447" s="18">
        <v>0.4643728571124372</v>
      </c>
      <c r="BI447" s="18">
        <v>0.44219093430603584</v>
      </c>
      <c r="BJ447" s="18">
        <v>0.2489531049662001</v>
      </c>
      <c r="BK447" s="18">
        <v>0.37195490561584005</v>
      </c>
      <c r="BL447" s="18">
        <v>0.57765705791388178</v>
      </c>
      <c r="BM447" s="18">
        <v>0.30281071407103438</v>
      </c>
      <c r="BN447" s="18">
        <v>0.20146981788223695</v>
      </c>
      <c r="BO447" s="18">
        <v>0.36429254976025288</v>
      </c>
      <c r="BP447" s="18">
        <v>0.37143317346172883</v>
      </c>
      <c r="BQ447" s="18">
        <v>0.29524000829027519</v>
      </c>
      <c r="BR447" s="18">
        <v>0.29257899766963491</v>
      </c>
      <c r="BS447" s="18">
        <v>0.23575345118283578</v>
      </c>
      <c r="BT447" s="18">
        <v>7.7204105276198212E-2</v>
      </c>
      <c r="BU447" s="18">
        <v>0.43085547285921211</v>
      </c>
      <c r="BV447" s="18">
        <v>0.46297004811295411</v>
      </c>
      <c r="BW447" s="18">
        <v>0.49489509557259181</v>
      </c>
      <c r="BX447" s="18">
        <v>0.37978977327170649</v>
      </c>
      <c r="BY447" s="18">
        <v>0.14685676240656653</v>
      </c>
      <c r="BZ447" s="18">
        <v>0.23929175481467907</v>
      </c>
      <c r="CA447" s="18">
        <v>0.49711203934768938</v>
      </c>
      <c r="CB447" s="18">
        <v>0.48341946236757383</v>
      </c>
      <c r="CC447" s="18">
        <v>0.40010650671540454</v>
      </c>
      <c r="CD447" s="18">
        <v>0.79789812830341889</v>
      </c>
      <c r="CE447" s="18">
        <v>0.7254937305206306</v>
      </c>
      <c r="CF447" s="18">
        <v>0.33050317277443941</v>
      </c>
      <c r="CG447" s="18">
        <v>0.19336226648889029</v>
      </c>
      <c r="CH447" s="18">
        <v>0.27354098188216536</v>
      </c>
      <c r="CI447" s="18">
        <v>0.2419436835832505</v>
      </c>
      <c r="CJ447" s="18">
        <v>0.26713905801268434</v>
      </c>
      <c r="CK447" s="18">
        <v>0.47585035092329309</v>
      </c>
      <c r="CL447" s="18">
        <v>0.46238780758113351</v>
      </c>
      <c r="CM447" s="18">
        <v>0.31184988536761044</v>
      </c>
      <c r="CN447" s="19">
        <v>0.23628385713030842</v>
      </c>
    </row>
    <row r="448" spans="1:92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 t="str">
        <v>35.Discrepancies in contract documents</v>
      </c>
      <c r="AW448" s="25">
        <v>0.25894111590632796</v>
      </c>
      <c r="AX448" s="26">
        <v>8.8824665013460605E-2</v>
      </c>
      <c r="AY448" s="26">
        <v>1.234818339654482E-2</v>
      </c>
      <c r="AZ448" s="18">
        <v>0.28011873040787533</v>
      </c>
      <c r="BA448" s="18">
        <v>0.34207692856338706</v>
      </c>
      <c r="BB448" s="18">
        <v>0.43555142183536055</v>
      </c>
      <c r="BC448" s="18">
        <v>0.4955934251818751</v>
      </c>
      <c r="BD448" s="18">
        <v>0.36402265393030842</v>
      </c>
      <c r="BE448" s="18">
        <v>0.46870193555878892</v>
      </c>
      <c r="BF448" s="18">
        <v>0.39620599764307346</v>
      </c>
      <c r="BG448" s="18">
        <v>0.44863474463660663</v>
      </c>
      <c r="BH448" s="18">
        <v>0.46651073927576248</v>
      </c>
      <c r="BI448" s="18">
        <v>0.44001143027418649</v>
      </c>
      <c r="BJ448" s="18">
        <v>6.313800140705364E-2</v>
      </c>
      <c r="BK448" s="18">
        <v>0.24936678528381467</v>
      </c>
      <c r="BL448" s="18">
        <v>0.42124642836613668</v>
      </c>
      <c r="BM448" s="18">
        <v>0.25354288654245449</v>
      </c>
      <c r="BN448" s="18">
        <v>7.4957565771977264E-2</v>
      </c>
      <c r="BO448" s="18">
        <v>0.29417978514413018</v>
      </c>
      <c r="BP448" s="18">
        <v>0.34193970725560086</v>
      </c>
      <c r="BQ448" s="18">
        <v>0.21751319901094784</v>
      </c>
      <c r="BR448" s="18">
        <v>0.26225480817443725</v>
      </c>
      <c r="BS448" s="18">
        <v>0.30940034934130983</v>
      </c>
      <c r="BT448" s="18">
        <v>0.14899974216867629</v>
      </c>
      <c r="BU448" s="18">
        <v>0.46866567766778722</v>
      </c>
      <c r="BV448" s="18">
        <v>0.4846425698450485</v>
      </c>
      <c r="BW448" s="18">
        <v>0.59098809308518796</v>
      </c>
      <c r="BX448" s="18">
        <v>0.41141676747090405</v>
      </c>
      <c r="BY448" s="18">
        <v>0.26856964282388335</v>
      </c>
      <c r="BZ448" s="18">
        <v>0.24700417870373331</v>
      </c>
      <c r="CA448" s="18">
        <v>0.39832337727160699</v>
      </c>
      <c r="CB448" s="18">
        <v>0.42690647778861351</v>
      </c>
      <c r="CC448" s="18">
        <v>0.29931733712765529</v>
      </c>
      <c r="CD448" s="18">
        <v>0.7254937305206306</v>
      </c>
      <c r="CE448" s="18">
        <v>0.78513186456693262</v>
      </c>
      <c r="CF448" s="18">
        <v>0.50759985319013756</v>
      </c>
      <c r="CG448" s="18">
        <v>0.20427228107823214</v>
      </c>
      <c r="CH448" s="18">
        <v>0.21232028645246123</v>
      </c>
      <c r="CI448" s="18">
        <v>0.17496521754974934</v>
      </c>
      <c r="CJ448" s="18">
        <v>0.18296421700591209</v>
      </c>
      <c r="CK448" s="18">
        <v>0.49362135868978402</v>
      </c>
      <c r="CL448" s="18">
        <v>0.44366160039693803</v>
      </c>
      <c r="CM448" s="18">
        <v>0.24945335538708907</v>
      </c>
      <c r="CN448" s="19">
        <v>0.23696896280836741</v>
      </c>
    </row>
    <row r="449" spans="1:92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 t="str">
        <v>36.Underestimation of time for completion of project</v>
      </c>
      <c r="AW449" s="25">
        <v>0.39538767117709278</v>
      </c>
      <c r="AX449" s="26">
        <v>0.34045607244642473</v>
      </c>
      <c r="AY449" s="26">
        <v>0.22815610141979401</v>
      </c>
      <c r="AZ449" s="18">
        <v>0.40793148946185426</v>
      </c>
      <c r="BA449" s="18">
        <v>0.30453018286036104</v>
      </c>
      <c r="BB449" s="18">
        <v>0.43667488140787403</v>
      </c>
      <c r="BC449" s="18">
        <v>0.49084514817863106</v>
      </c>
      <c r="BD449" s="18">
        <v>0.24438162234503691</v>
      </c>
      <c r="BE449" s="18">
        <v>0.45840856326695917</v>
      </c>
      <c r="BF449" s="18">
        <v>0.26982317242113357</v>
      </c>
      <c r="BG449" s="18">
        <v>0.44833384827110379</v>
      </c>
      <c r="BH449" s="18">
        <v>0.39092373516781753</v>
      </c>
      <c r="BI449" s="18">
        <v>0.37892119036224581</v>
      </c>
      <c r="BJ449" s="18">
        <v>-0.19687458728048313</v>
      </c>
      <c r="BK449" s="18">
        <v>-3.4114306398555769E-2</v>
      </c>
      <c r="BL449" s="18">
        <v>7.4357716082895861E-2</v>
      </c>
      <c r="BM449" s="18">
        <v>6.847960789535866E-2</v>
      </c>
      <c r="BN449" s="18">
        <v>-6.7026139822845221E-2</v>
      </c>
      <c r="BO449" s="18">
        <v>0.15455066815689625</v>
      </c>
      <c r="BP449" s="18">
        <v>0.16482633337927421</v>
      </c>
      <c r="BQ449" s="18">
        <v>5.8284692881299116E-3</v>
      </c>
      <c r="BR449" s="18">
        <v>-1.2530086291403331E-2</v>
      </c>
      <c r="BS449" s="18">
        <v>0.24536279663658561</v>
      </c>
      <c r="BT449" s="18">
        <v>0.21790025721303075</v>
      </c>
      <c r="BU449" s="18">
        <v>0.28531278393419163</v>
      </c>
      <c r="BV449" s="18">
        <v>0.22214234307437516</v>
      </c>
      <c r="BW449" s="18">
        <v>0.43557718883091795</v>
      </c>
      <c r="BX449" s="18">
        <v>0.24367464126458813</v>
      </c>
      <c r="BY449" s="18">
        <v>0.19972425535918278</v>
      </c>
      <c r="BZ449" s="18">
        <v>7.7078388682209203E-2</v>
      </c>
      <c r="CA449" s="18">
        <v>1.6624431868394622E-2</v>
      </c>
      <c r="CB449" s="18">
        <v>0.28579655765113804</v>
      </c>
      <c r="CC449" s="18">
        <v>0.14773510274388724</v>
      </c>
      <c r="CD449" s="18">
        <v>0.33050317277443941</v>
      </c>
      <c r="CE449" s="18">
        <v>0.50759985319013756</v>
      </c>
      <c r="CF449" s="18">
        <v>0.7168411640983029</v>
      </c>
      <c r="CG449" s="18">
        <v>0.32322684718095679</v>
      </c>
      <c r="CH449" s="18">
        <v>5.1774706619722485E-2</v>
      </c>
      <c r="CI449" s="18">
        <v>7.4834571219166687E-2</v>
      </c>
      <c r="CJ449" s="18">
        <v>-1.4159286732615045E-2</v>
      </c>
      <c r="CK449" s="18">
        <v>0.45938024024537</v>
      </c>
      <c r="CL449" s="18">
        <v>0.41252595395750224</v>
      </c>
      <c r="CM449" s="18">
        <v>0.39477304650851147</v>
      </c>
      <c r="CN449" s="19">
        <v>0.24854429054166499</v>
      </c>
    </row>
    <row r="450" spans="1:92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 t="str">
        <v>37.Extension of time with cost claims</v>
      </c>
      <c r="AW450" s="25">
        <v>0.39306645058228462</v>
      </c>
      <c r="AX450" s="26">
        <v>0.36482138882375426</v>
      </c>
      <c r="AY450" s="26">
        <v>6.2052488782926629E-2</v>
      </c>
      <c r="AZ450" s="18">
        <v>0.30736558712311635</v>
      </c>
      <c r="BA450" s="18">
        <v>0.20301779720688157</v>
      </c>
      <c r="BB450" s="18">
        <v>9.7619116272774614E-2</v>
      </c>
      <c r="BC450" s="18">
        <v>0.22648238127407216</v>
      </c>
      <c r="BD450" s="18">
        <v>0.11650005434572792</v>
      </c>
      <c r="BE450" s="18">
        <v>4.3702984213012955E-2</v>
      </c>
      <c r="BF450" s="18">
        <v>0.24886882836502688</v>
      </c>
      <c r="BG450" s="18">
        <v>0.15530201469996519</v>
      </c>
      <c r="BH450" s="18">
        <v>6.6706685028523477E-2</v>
      </c>
      <c r="BI450" s="18">
        <v>0.11196073897730179</v>
      </c>
      <c r="BJ450" s="18">
        <v>0.34227896459266799</v>
      </c>
      <c r="BK450" s="18">
        <v>0.3544016537891902</v>
      </c>
      <c r="BL450" s="18">
        <v>0.12190581515094204</v>
      </c>
      <c r="BM450" s="18">
        <v>0.34623176092585151</v>
      </c>
      <c r="BN450" s="18">
        <v>6.8798893069736244E-2</v>
      </c>
      <c r="BO450" s="18">
        <v>8.180493638775399E-2</v>
      </c>
      <c r="BP450" s="18">
        <v>0.10144819166615068</v>
      </c>
      <c r="BQ450" s="18">
        <v>0.17194743928817485</v>
      </c>
      <c r="BR450" s="18">
        <v>0.16569744899532191</v>
      </c>
      <c r="BS450" s="18">
        <v>0.10260055054120476</v>
      </c>
      <c r="BT450" s="18">
        <v>0.16910168106574117</v>
      </c>
      <c r="BU450" s="18">
        <v>0.19528887634234962</v>
      </c>
      <c r="BV450" s="18">
        <v>0.11558381050936865</v>
      </c>
      <c r="BW450" s="18">
        <v>0.30950543770041922</v>
      </c>
      <c r="BX450" s="18">
        <v>0.2648593276925752</v>
      </c>
      <c r="BY450" s="18">
        <v>0.21059619309040167</v>
      </c>
      <c r="BZ450" s="18">
        <v>0.27530075883415367</v>
      </c>
      <c r="CA450" s="18">
        <v>0.1266360773339984</v>
      </c>
      <c r="CB450" s="18">
        <v>0.19052052717637985</v>
      </c>
      <c r="CC450" s="18">
        <v>0.23695990406051992</v>
      </c>
      <c r="CD450" s="18">
        <v>0.19336226648889029</v>
      </c>
      <c r="CE450" s="18">
        <v>0.20427228107823214</v>
      </c>
      <c r="CF450" s="18">
        <v>0.32322684718095679</v>
      </c>
      <c r="CG450" s="18">
        <v>0.5873254775262553</v>
      </c>
      <c r="CH450" s="18">
        <v>0.24698164013548204</v>
      </c>
      <c r="CI450" s="18">
        <v>0.2894270982839508</v>
      </c>
      <c r="CJ450" s="18">
        <v>0.22966629343318204</v>
      </c>
      <c r="CK450" s="18">
        <v>0.21917503481389145</v>
      </c>
      <c r="CL450" s="18">
        <v>0.316059279901451</v>
      </c>
      <c r="CM450" s="18">
        <v>0.32531284088317741</v>
      </c>
      <c r="CN450" s="19">
        <v>0.50132144946272073</v>
      </c>
    </row>
    <row r="451" spans="1:92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 t="str">
        <v>38.Scope and specification changes</v>
      </c>
      <c r="AW451" s="25">
        <v>9.6635298801456215E-2</v>
      </c>
      <c r="AX451" s="26">
        <v>-8.857652201045374E-2</v>
      </c>
      <c r="AY451" s="26">
        <v>0.1531005273179662</v>
      </c>
      <c r="AZ451" s="18">
        <v>9.7128597864487826E-2</v>
      </c>
      <c r="BA451" s="18">
        <v>0.26719247113606148</v>
      </c>
      <c r="BB451" s="18">
        <v>0.13760766115704651</v>
      </c>
      <c r="BC451" s="18">
        <v>0.20636525956675927</v>
      </c>
      <c r="BD451" s="18">
        <v>0.18234730007138664</v>
      </c>
      <c r="BE451" s="18">
        <v>0.20742312104013733</v>
      </c>
      <c r="BF451" s="18">
        <v>0.22649688202246659</v>
      </c>
      <c r="BG451" s="18">
        <v>6.4706173593728752E-2</v>
      </c>
      <c r="BH451" s="18">
        <v>0.35242801517769617</v>
      </c>
      <c r="BI451" s="18">
        <v>0.23616211218522012</v>
      </c>
      <c r="BJ451" s="18">
        <v>0.21368384971360554</v>
      </c>
      <c r="BK451" s="18">
        <v>0.13506204971913524</v>
      </c>
      <c r="BL451" s="18">
        <v>0.16521405035501321</v>
      </c>
      <c r="BM451" s="18">
        <v>6.3729049118240247E-2</v>
      </c>
      <c r="BN451" s="18">
        <v>0.32510234786991604</v>
      </c>
      <c r="BO451" s="18">
        <v>0.26892436541205245</v>
      </c>
      <c r="BP451" s="18">
        <v>9.0810591464328516E-2</v>
      </c>
      <c r="BQ451" s="18">
        <v>0.3716386894414489</v>
      </c>
      <c r="BR451" s="18">
        <v>0.43204757953724487</v>
      </c>
      <c r="BS451" s="18">
        <v>0.11894419627619565</v>
      </c>
      <c r="BT451" s="18">
        <v>8.920861130570068E-2</v>
      </c>
      <c r="BU451" s="18">
        <v>5.4504510096838522E-2</v>
      </c>
      <c r="BV451" s="18">
        <v>0.36808613903323262</v>
      </c>
      <c r="BW451" s="18">
        <v>0.25508299856114836</v>
      </c>
      <c r="BX451" s="18">
        <v>0.25593979097302977</v>
      </c>
      <c r="BY451" s="18">
        <v>0.17419264719725078</v>
      </c>
      <c r="BZ451" s="18">
        <v>0.20683142013238287</v>
      </c>
      <c r="CA451" s="18">
        <v>0.336770626161361</v>
      </c>
      <c r="CB451" s="18">
        <v>0.11418851571489068</v>
      </c>
      <c r="CC451" s="18">
        <v>0.27473564010327889</v>
      </c>
      <c r="CD451" s="18">
        <v>0.27354098188216536</v>
      </c>
      <c r="CE451" s="18">
        <v>0.21232028645246123</v>
      </c>
      <c r="CF451" s="18">
        <v>5.1774706619722485E-2</v>
      </c>
      <c r="CG451" s="18">
        <v>0.24698164013548204</v>
      </c>
      <c r="CH451" s="18">
        <v>0.73651487402568394</v>
      </c>
      <c r="CI451" s="18">
        <v>0.71303672640907867</v>
      </c>
      <c r="CJ451" s="18">
        <v>0.66666484356844946</v>
      </c>
      <c r="CK451" s="18">
        <v>0.23726109348646174</v>
      </c>
      <c r="CL451" s="18">
        <v>5.0480690176153233E-2</v>
      </c>
      <c r="CM451" s="18">
        <v>6.5961261810704663E-2</v>
      </c>
      <c r="CN451" s="19">
        <v>0.12467951542117126</v>
      </c>
    </row>
    <row r="452" spans="1:92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 t="str">
        <v>39.Changes in client requirements</v>
      </c>
      <c r="AW452" s="25">
        <v>0.20620872187768144</v>
      </c>
      <c r="AX452" s="26">
        <v>5.028675074419571E-2</v>
      </c>
      <c r="AY452" s="26">
        <v>0.25319648339813167</v>
      </c>
      <c r="AZ452" s="18">
        <v>0.20872724113162286</v>
      </c>
      <c r="BA452" s="18">
        <v>0.30776043933802461</v>
      </c>
      <c r="BB452" s="18">
        <v>0.29084392415802601</v>
      </c>
      <c r="BC452" s="18">
        <v>0.3644402784063574</v>
      </c>
      <c r="BD452" s="18">
        <v>0.30670940789869328</v>
      </c>
      <c r="BE452" s="18">
        <v>0.28143548118541845</v>
      </c>
      <c r="BF452" s="18">
        <v>0.31109545557870327</v>
      </c>
      <c r="BG452" s="18">
        <v>0.22520608158888128</v>
      </c>
      <c r="BH452" s="18">
        <v>0.42167084234135538</v>
      </c>
      <c r="BI452" s="18">
        <v>0.37970253028635481</v>
      </c>
      <c r="BJ452" s="18">
        <v>0.32233695453236522</v>
      </c>
      <c r="BK452" s="18">
        <v>0.22364256867996765</v>
      </c>
      <c r="BL452" s="18">
        <v>0.14205903421842009</v>
      </c>
      <c r="BM452" s="18">
        <v>9.0449917914033243E-2</v>
      </c>
      <c r="BN452" s="18">
        <v>0.29738753762526376</v>
      </c>
      <c r="BO452" s="18">
        <v>0.32656639830987483</v>
      </c>
      <c r="BP452" s="18">
        <v>6.5182342858674774E-2</v>
      </c>
      <c r="BQ452" s="18">
        <v>0.36126617597702021</v>
      </c>
      <c r="BR452" s="18">
        <v>0.3426907931912192</v>
      </c>
      <c r="BS452" s="18">
        <v>-5.3986315589617338E-3</v>
      </c>
      <c r="BT452" s="18">
        <v>8.7072006903433863E-2</v>
      </c>
      <c r="BU452" s="18">
        <v>7.6870047860166754E-2</v>
      </c>
      <c r="BV452" s="18">
        <v>0.28481230360744286</v>
      </c>
      <c r="BW452" s="18">
        <v>0.28297724017939752</v>
      </c>
      <c r="BX452" s="18">
        <v>0.29225687916293774</v>
      </c>
      <c r="BY452" s="18">
        <v>0.2535044787963045</v>
      </c>
      <c r="BZ452" s="18">
        <v>0.25862303523655888</v>
      </c>
      <c r="CA452" s="18">
        <v>0.21166355584939678</v>
      </c>
      <c r="CB452" s="18">
        <v>5.2334592256540004E-2</v>
      </c>
      <c r="CC452" s="18">
        <v>0.32142394087504522</v>
      </c>
      <c r="CD452" s="18">
        <v>0.2419436835832505</v>
      </c>
      <c r="CE452" s="18">
        <v>0.17496521754974934</v>
      </c>
      <c r="CF452" s="18">
        <v>7.4834571219166687E-2</v>
      </c>
      <c r="CG452" s="18">
        <v>0.2894270982839508</v>
      </c>
      <c r="CH452" s="18">
        <v>0.71303672640907867</v>
      </c>
      <c r="CI452" s="18">
        <v>0.79065168587250367</v>
      </c>
      <c r="CJ452" s="18">
        <v>0.66612015347868792</v>
      </c>
      <c r="CK452" s="18">
        <v>0.25449569144180773</v>
      </c>
      <c r="CL452" s="18">
        <v>-2.1699567607050125E-2</v>
      </c>
      <c r="CM452" s="18">
        <v>6.600969171515024E-2</v>
      </c>
      <c r="CN452" s="19">
        <v>0.19139069434663639</v>
      </c>
    </row>
    <row r="453" spans="1:92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 t="str">
        <v>40.Frequency of variation orders and additional works</v>
      </c>
      <c r="AW453" s="25">
        <v>0.12823887223403357</v>
      </c>
      <c r="AX453" s="26">
        <v>-1.6589042885151291E-2</v>
      </c>
      <c r="AY453" s="26">
        <v>-3.009848121741638E-2</v>
      </c>
      <c r="AZ453" s="18">
        <v>-2.643118444523123E-3</v>
      </c>
      <c r="BA453" s="18">
        <v>0.21209979444061774</v>
      </c>
      <c r="BB453" s="18">
        <v>0.17390215400531356</v>
      </c>
      <c r="BC453" s="18">
        <v>0.18390489416733968</v>
      </c>
      <c r="BD453" s="18">
        <v>0.2328164615454191</v>
      </c>
      <c r="BE453" s="18">
        <v>0.22970678959492211</v>
      </c>
      <c r="BF453" s="18">
        <v>0.30881864276609378</v>
      </c>
      <c r="BG453" s="18">
        <v>7.8883844591516372E-2</v>
      </c>
      <c r="BH453" s="18">
        <v>0.35040793195705922</v>
      </c>
      <c r="BI453" s="18">
        <v>0.20227759546469015</v>
      </c>
      <c r="BJ453" s="18">
        <v>0.2597325365189701</v>
      </c>
      <c r="BK453" s="18">
        <v>0.20479057536535789</v>
      </c>
      <c r="BL453" s="18">
        <v>0.20414179625509099</v>
      </c>
      <c r="BM453" s="18">
        <v>4.3917444055639507E-2</v>
      </c>
      <c r="BN453" s="18">
        <v>0.21773853108281871</v>
      </c>
      <c r="BO453" s="18">
        <v>0.31751798417727051</v>
      </c>
      <c r="BP453" s="18">
        <v>0.15100125331218769</v>
      </c>
      <c r="BQ453" s="18">
        <v>0.41854138832002546</v>
      </c>
      <c r="BR453" s="18">
        <v>0.41575575915569379</v>
      </c>
      <c r="BS453" s="18">
        <v>4.5759496721521312E-2</v>
      </c>
      <c r="BT453" s="18">
        <v>-0.11960354448605945</v>
      </c>
      <c r="BU453" s="18">
        <v>2.9670661773828461E-2</v>
      </c>
      <c r="BV453" s="18">
        <v>0.2278808208546626</v>
      </c>
      <c r="BW453" s="18">
        <v>0.2215468946671319</v>
      </c>
      <c r="BX453" s="18">
        <v>0.27277316980497363</v>
      </c>
      <c r="BY453" s="18">
        <v>0.18608022037322169</v>
      </c>
      <c r="BZ453" s="18">
        <v>0.13516223347637513</v>
      </c>
      <c r="CA453" s="18">
        <v>0.23229506774328512</v>
      </c>
      <c r="CB453" s="18">
        <v>0.12174011310866947</v>
      </c>
      <c r="CC453" s="18">
        <v>0.18486057519274274</v>
      </c>
      <c r="CD453" s="18">
        <v>0.26713905801268434</v>
      </c>
      <c r="CE453" s="18">
        <v>0.18296421700591209</v>
      </c>
      <c r="CF453" s="18">
        <v>-1.4159286732615045E-2</v>
      </c>
      <c r="CG453" s="18">
        <v>0.22966629343318204</v>
      </c>
      <c r="CH453" s="18">
        <v>0.66666484356844946</v>
      </c>
      <c r="CI453" s="18">
        <v>0.66612015347868792</v>
      </c>
      <c r="CJ453" s="18">
        <v>0.75295838025372352</v>
      </c>
      <c r="CK453" s="18">
        <v>0.21799289743323061</v>
      </c>
      <c r="CL453" s="18">
        <v>7.5109358896136125E-2</v>
      </c>
      <c r="CM453" s="18">
        <v>6.9587958191246774E-2</v>
      </c>
      <c r="CN453" s="19">
        <v>0.17767023795424877</v>
      </c>
    </row>
    <row r="454" spans="1:92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 t="str">
        <v>41.Rework due to error in execution</v>
      </c>
      <c r="AW454" s="25">
        <v>0.20421193302582535</v>
      </c>
      <c r="AX454" s="26">
        <v>0.2189808052829692</v>
      </c>
      <c r="AY454" s="26">
        <v>0.2658698240893429</v>
      </c>
      <c r="AZ454" s="18">
        <v>0.28888888992703143</v>
      </c>
      <c r="BA454" s="18">
        <v>0.32367727891213638</v>
      </c>
      <c r="BB454" s="18">
        <v>0.36425145985445034</v>
      </c>
      <c r="BC454" s="18">
        <v>0.40921116252997708</v>
      </c>
      <c r="BD454" s="18">
        <v>0.2137062864448746</v>
      </c>
      <c r="BE454" s="18">
        <v>0.39668314436076524</v>
      </c>
      <c r="BF454" s="18">
        <v>0.32499689208867222</v>
      </c>
      <c r="BG454" s="18">
        <v>0.48618274229964603</v>
      </c>
      <c r="BH454" s="18">
        <v>0.44922479287914469</v>
      </c>
      <c r="BI454" s="18">
        <v>0.42690507237495479</v>
      </c>
      <c r="BJ454" s="18">
        <v>-1.5448542605840904E-2</v>
      </c>
      <c r="BK454" s="18">
        <v>0.26877450882323006</v>
      </c>
      <c r="BL454" s="18">
        <v>0.41748362925102389</v>
      </c>
      <c r="BM454" s="18">
        <v>0.32542915801738065</v>
      </c>
      <c r="BN454" s="18">
        <v>4.1620230552194354E-2</v>
      </c>
      <c r="BO454" s="18">
        <v>0.297622857914561</v>
      </c>
      <c r="BP454" s="18">
        <v>0.26119675842529488</v>
      </c>
      <c r="BQ454" s="18">
        <v>0.30459881081466705</v>
      </c>
      <c r="BR454" s="18">
        <v>8.3426028739336758E-2</v>
      </c>
      <c r="BS454" s="18">
        <v>0.33080298142798881</v>
      </c>
      <c r="BT454" s="18">
        <v>0.13933108877409198</v>
      </c>
      <c r="BU454" s="18">
        <v>0.14276038799643495</v>
      </c>
      <c r="BV454" s="18">
        <v>0.32711156191488117</v>
      </c>
      <c r="BW454" s="18">
        <v>0.39942266688923633</v>
      </c>
      <c r="BX454" s="18">
        <v>0.22717989120468818</v>
      </c>
      <c r="BY454" s="18">
        <v>-2.3478890161058003E-2</v>
      </c>
      <c r="BZ454" s="18">
        <v>-8.2489030318538659E-2</v>
      </c>
      <c r="CA454" s="18">
        <v>0.10706129556838417</v>
      </c>
      <c r="CB454" s="18">
        <v>0.29064828481239324</v>
      </c>
      <c r="CC454" s="18">
        <v>4.4390215659025685E-2</v>
      </c>
      <c r="CD454" s="18">
        <v>0.47585035092329309</v>
      </c>
      <c r="CE454" s="18">
        <v>0.49362135868978402</v>
      </c>
      <c r="CF454" s="18">
        <v>0.45938024024537</v>
      </c>
      <c r="CG454" s="18">
        <v>0.21917503481389145</v>
      </c>
      <c r="CH454" s="18">
        <v>0.23726109348646174</v>
      </c>
      <c r="CI454" s="18">
        <v>0.25449569144180773</v>
      </c>
      <c r="CJ454" s="18">
        <v>0.21799289743323061</v>
      </c>
      <c r="CK454" s="18">
        <v>0.71250299299290454</v>
      </c>
      <c r="CL454" s="18">
        <v>0.31280193569490206</v>
      </c>
      <c r="CM454" s="18">
        <v>0.30412592511890058</v>
      </c>
      <c r="CN454" s="19">
        <v>-2.0019428118341162E-2</v>
      </c>
    </row>
    <row r="455" spans="1:92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 t="str">
        <v>42.Weather conditions</v>
      </c>
      <c r="AW455" s="25">
        <v>0.34436675910758086</v>
      </c>
      <c r="AX455" s="26">
        <v>0.34839059982771525</v>
      </c>
      <c r="AY455" s="26">
        <v>5.1412883059545195E-2</v>
      </c>
      <c r="AZ455" s="18">
        <v>0.33266818489689914</v>
      </c>
      <c r="BA455" s="18">
        <v>0.44307285956556125</v>
      </c>
      <c r="BB455" s="18">
        <v>0.27024773538254504</v>
      </c>
      <c r="BC455" s="18">
        <v>0.28967223230158357</v>
      </c>
      <c r="BD455" s="18">
        <v>0.35682217251749671</v>
      </c>
      <c r="BE455" s="18">
        <v>0.37624239836080825</v>
      </c>
      <c r="BF455" s="18">
        <v>0.37428294044545268</v>
      </c>
      <c r="BG455" s="18">
        <v>0.409717604654115</v>
      </c>
      <c r="BH455" s="18">
        <v>0.41643267572474246</v>
      </c>
      <c r="BI455" s="18">
        <v>0.3170402592632891</v>
      </c>
      <c r="BJ455" s="18">
        <v>0.12193189960142277</v>
      </c>
      <c r="BK455" s="18">
        <v>0.17867692965931528</v>
      </c>
      <c r="BL455" s="18">
        <v>0.52091595632744059</v>
      </c>
      <c r="BM455" s="18">
        <v>0.20032687625001205</v>
      </c>
      <c r="BN455" s="18">
        <v>0.29615057537605544</v>
      </c>
      <c r="BO455" s="18">
        <v>0.27909364284916205</v>
      </c>
      <c r="BP455" s="18">
        <v>0.43404068074909047</v>
      </c>
      <c r="BQ455" s="18">
        <v>0.28032206016648514</v>
      </c>
      <c r="BR455" s="18">
        <v>0.26509496470081767</v>
      </c>
      <c r="BS455" s="18">
        <v>0.43420491526863431</v>
      </c>
      <c r="BT455" s="18">
        <v>0.13806718964961001</v>
      </c>
      <c r="BU455" s="18">
        <v>0.44566136473105394</v>
      </c>
      <c r="BV455" s="18">
        <v>0.34056996201840917</v>
      </c>
      <c r="BW455" s="18">
        <v>0.38699503194988749</v>
      </c>
      <c r="BX455" s="18">
        <v>0.41585420732006789</v>
      </c>
      <c r="BY455" s="18">
        <v>0.20848928055576874</v>
      </c>
      <c r="BZ455" s="18">
        <v>0.18201406579839136</v>
      </c>
      <c r="CA455" s="18">
        <v>0.37654414774526535</v>
      </c>
      <c r="CB455" s="18">
        <v>0.55177430919717751</v>
      </c>
      <c r="CC455" s="18">
        <v>7.553571356253759E-2</v>
      </c>
      <c r="CD455" s="18">
        <v>0.46238780758113351</v>
      </c>
      <c r="CE455" s="18">
        <v>0.44366160039693803</v>
      </c>
      <c r="CF455" s="18">
        <v>0.41252595395750224</v>
      </c>
      <c r="CG455" s="18">
        <v>0.316059279901451</v>
      </c>
      <c r="CH455" s="18">
        <v>5.0480690176153233E-2</v>
      </c>
      <c r="CI455" s="18">
        <v>-2.1699567607050125E-2</v>
      </c>
      <c r="CJ455" s="18">
        <v>7.5109358896136125E-2</v>
      </c>
      <c r="CK455" s="18">
        <v>0.31280193569490206</v>
      </c>
      <c r="CL455" s="18">
        <v>0.84224185804344831</v>
      </c>
      <c r="CM455" s="18">
        <v>0.71049798494740191</v>
      </c>
      <c r="CN455" s="19">
        <v>0.44584928906089111</v>
      </c>
    </row>
    <row r="456" spans="1:92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 t="str">
        <v>43.Accidents during construction</v>
      </c>
      <c r="AW456" s="25">
        <v>0.39285099532609119</v>
      </c>
      <c r="AX456" s="26">
        <v>0.45276103332578826</v>
      </c>
      <c r="AY456" s="26">
        <v>0.18807102977339724</v>
      </c>
      <c r="AZ456" s="18">
        <v>0.39156574539282119</v>
      </c>
      <c r="BA456" s="18">
        <v>0.41181812524622113</v>
      </c>
      <c r="BB456" s="18">
        <v>0.26838944140688142</v>
      </c>
      <c r="BC456" s="18">
        <v>0.29327053849959134</v>
      </c>
      <c r="BD456" s="18">
        <v>0.35339014117833734</v>
      </c>
      <c r="BE456" s="18">
        <v>0.31922107963951069</v>
      </c>
      <c r="BF456" s="18">
        <v>0.24741851643312776</v>
      </c>
      <c r="BG456" s="18">
        <v>0.43960625597965758</v>
      </c>
      <c r="BH456" s="18">
        <v>0.42571653505385226</v>
      </c>
      <c r="BI456" s="18">
        <v>0.36270593803389578</v>
      </c>
      <c r="BJ456" s="18">
        <v>9.8467205123115076E-2</v>
      </c>
      <c r="BK456" s="18">
        <v>4.2466540572819018E-2</v>
      </c>
      <c r="BL456" s="18">
        <v>0.39111054528466438</v>
      </c>
      <c r="BM456" s="18">
        <v>3.5579324345300534E-2</v>
      </c>
      <c r="BN456" s="18">
        <v>0.25635972486667674</v>
      </c>
      <c r="BO456" s="18">
        <v>0.25977377438969257</v>
      </c>
      <c r="BP456" s="18">
        <v>0.25621914636225573</v>
      </c>
      <c r="BQ456" s="18">
        <v>0.14714664237856531</v>
      </c>
      <c r="BR456" s="18">
        <v>3.611866277764085E-2</v>
      </c>
      <c r="BS456" s="18">
        <v>0.20215964542368087</v>
      </c>
      <c r="BT456" s="18">
        <v>0.1425547563658337</v>
      </c>
      <c r="BU456" s="18">
        <v>0.23575087291540786</v>
      </c>
      <c r="BV456" s="18">
        <v>9.3208905871836514E-2</v>
      </c>
      <c r="BW456" s="18">
        <v>0.14947753543883874</v>
      </c>
      <c r="BX456" s="18">
        <v>0.18822507721641166</v>
      </c>
      <c r="BY456" s="18">
        <v>1.7193626854367022E-2</v>
      </c>
      <c r="BZ456" s="18">
        <v>9.5350216651800504E-2</v>
      </c>
      <c r="CA456" s="18">
        <v>0.17118030417428373</v>
      </c>
      <c r="CB456" s="18">
        <v>0.40393569914641825</v>
      </c>
      <c r="CC456" s="18">
        <v>0.12970426665322912</v>
      </c>
      <c r="CD456" s="18">
        <v>0.31184988536761044</v>
      </c>
      <c r="CE456" s="18">
        <v>0.24945335538708907</v>
      </c>
      <c r="CF456" s="18">
        <v>0.39477304650851147</v>
      </c>
      <c r="CG456" s="18">
        <v>0.32531284088317741</v>
      </c>
      <c r="CH456" s="18">
        <v>6.5961261810704663E-2</v>
      </c>
      <c r="CI456" s="18">
        <v>6.600969171515024E-2</v>
      </c>
      <c r="CJ456" s="18">
        <v>6.9587958191246774E-2</v>
      </c>
      <c r="CK456" s="18">
        <v>0.30412592511890058</v>
      </c>
      <c r="CL456" s="18">
        <v>0.71049798494740191</v>
      </c>
      <c r="CM456" s="18">
        <v>0.79831872299813533</v>
      </c>
      <c r="CN456" s="19">
        <v>0.38374900446561655</v>
      </c>
    </row>
    <row r="457" spans="1:92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 t="str">
        <v>44.Delay in getting NOCs from different government authorities</v>
      </c>
      <c r="AW457" s="27">
        <v>0.44064865295067229</v>
      </c>
      <c r="AX457" s="28">
        <v>0.34652068149026638</v>
      </c>
      <c r="AY457" s="28">
        <v>-9.1243643374037092E-2</v>
      </c>
      <c r="AZ457" s="20">
        <v>0.28910772178673516</v>
      </c>
      <c r="BA457" s="20">
        <v>0.21289397951297995</v>
      </c>
      <c r="BB457" s="20">
        <v>0.23228637014161846</v>
      </c>
      <c r="BC457" s="20">
        <v>0.3023650753039715</v>
      </c>
      <c r="BD457" s="20">
        <v>0.34709247608826177</v>
      </c>
      <c r="BE457" s="20">
        <v>0.14770922558414096</v>
      </c>
      <c r="BF457" s="20">
        <v>0.36965877950891962</v>
      </c>
      <c r="BG457" s="20">
        <v>0.25379240194382763</v>
      </c>
      <c r="BH457" s="20">
        <v>0.1696082397996331</v>
      </c>
      <c r="BI457" s="20">
        <v>0.20960413000068151</v>
      </c>
      <c r="BJ457" s="20">
        <v>0.45936722608788422</v>
      </c>
      <c r="BK457" s="20">
        <v>0.33264481879723395</v>
      </c>
      <c r="BL457" s="20">
        <v>0.16222058300104075</v>
      </c>
      <c r="BM457" s="20">
        <v>0.23807173339419671</v>
      </c>
      <c r="BN457" s="20">
        <v>0.17142852933296679</v>
      </c>
      <c r="BO457" s="20">
        <v>8.3385931186487627E-2</v>
      </c>
      <c r="BP457" s="20">
        <v>0.12511997629855778</v>
      </c>
      <c r="BQ457" s="20">
        <v>9.5740375241998715E-2</v>
      </c>
      <c r="BR457" s="20">
        <v>0.20238081754996884</v>
      </c>
      <c r="BS457" s="20">
        <v>-7.0821391251212479E-3</v>
      </c>
      <c r="BT457" s="20">
        <v>8.207515972904085E-2</v>
      </c>
      <c r="BU457" s="20">
        <v>0.38058064699611727</v>
      </c>
      <c r="BV457" s="20">
        <v>9.3608122943018235E-2</v>
      </c>
      <c r="BW457" s="20">
        <v>0.33629289371106807</v>
      </c>
      <c r="BX457" s="20">
        <v>0.43432332279401886</v>
      </c>
      <c r="BY457" s="20">
        <v>0.47940344793054046</v>
      </c>
      <c r="BZ457" s="20">
        <v>0.49143482341421618</v>
      </c>
      <c r="CA457" s="20">
        <v>0.20432579664544764</v>
      </c>
      <c r="CB457" s="20">
        <v>0.20326868995444289</v>
      </c>
      <c r="CC457" s="20">
        <v>0.2637611953086727</v>
      </c>
      <c r="CD457" s="20">
        <v>0.23628385713030842</v>
      </c>
      <c r="CE457" s="20">
        <v>0.23696896280836741</v>
      </c>
      <c r="CF457" s="20">
        <v>0.24854429054166499</v>
      </c>
      <c r="CG457" s="20">
        <v>0.50132144946272073</v>
      </c>
      <c r="CH457" s="20">
        <v>0.12467951542117126</v>
      </c>
      <c r="CI457" s="20">
        <v>0.19139069434663639</v>
      </c>
      <c r="CJ457" s="20">
        <v>0.17767023795424877</v>
      </c>
      <c r="CK457" s="20">
        <v>-2.0019428118341162E-2</v>
      </c>
      <c r="CL457" s="20">
        <v>0.44584928906089111</v>
      </c>
      <c r="CM457" s="20">
        <v>0.38374900446561655</v>
      </c>
      <c r="CN457" s="21">
        <v>0.72594479615778773</v>
      </c>
    </row>
    <row r="458" spans="1:92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92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 t="s">
        <v>209</v>
      </c>
      <c r="AW459" s="3"/>
      <c r="AX459" s="3"/>
      <c r="AY459" s="3"/>
    </row>
    <row r="460" spans="1:92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92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 t="str">
        <f t="array" ref="AW461:CN461">B1:AS1</f>
        <v>1.Delay in delivering material to construction site</v>
      </c>
      <c r="AX461" s="3" t="str">
        <v>2.Monopoly of material by some suppliers</v>
      </c>
      <c r="AY461" s="3" t="str">
        <v>3.Prices fluctuation</v>
      </c>
      <c r="AZ461" t="str">
        <v>4.Types of material availability at local market</v>
      </c>
      <c r="BA461" t="str">
        <v>5.Lack of consultant’s knowledge of available materials</v>
      </c>
      <c r="BB461" t="str">
        <v>6.Low productivity</v>
      </c>
      <c r="BC461" t="str">
        <v>7.Poor work execution</v>
      </c>
      <c r="BD461" t="str">
        <v>8.Shortage of laborers</v>
      </c>
      <c r="BE461" t="str">
        <v>9.Mistakes happens during construction phase</v>
      </c>
      <c r="BF461" t="str">
        <v>10.Unavailability of equipment</v>
      </c>
      <c r="BG461" t="str">
        <v>11.Lack of engineering experience</v>
      </c>
      <c r="BH461" t="str">
        <v>12.Construction cost underestimation</v>
      </c>
      <c r="BI461" t="str">
        <v>13.Poor site management</v>
      </c>
      <c r="BJ461" t="str">
        <v>14.Delayed payment for completed work</v>
      </c>
      <c r="BK461" t="str">
        <v>15.Cash flow problem during construction</v>
      </c>
      <c r="BL461" t="str">
        <v>16.High rate of interest</v>
      </c>
      <c r="BM461" t="str">
        <v>17.Contractor’s financial difficulties</v>
      </c>
      <c r="BN461" t="str">
        <v>18.Increase in salaries of skilled laborers</v>
      </c>
      <c r="BO461" t="str">
        <v>19.Change design</v>
      </c>
      <c r="BP461" t="str">
        <v>20.Errors and omission in design</v>
      </c>
      <c r="BQ461" t="str">
        <v>21.Incomplete design drawings and specifications at tendering stage</v>
      </c>
      <c r="BR461" t="str">
        <v>22.Delay in preparation and approval of drawing</v>
      </c>
      <c r="BS461" t="str">
        <v>23.Inaccurate quantity take-off</v>
      </c>
      <c r="BT461" t="str">
        <v>24.Long period from planning of project to construction</v>
      </c>
      <c r="BU461" t="str">
        <v>25.Delays in issuing information to the contractor during construction stage</v>
      </c>
      <c r="BV461" t="str">
        <v>26.No practical use of earned value management system</v>
      </c>
      <c r="BW461" t="str">
        <v>27.Lack of cost planning/monitoring during pre and post contract stage</v>
      </c>
      <c r="BX461" t="str">
        <v>28.Poor communication between client, consultant and contractor</v>
      </c>
      <c r="BY461" t="str">
        <v>29.Insufficient coordination between local authority who is responsible about road projects and service authorities</v>
      </c>
      <c r="BZ461" t="str">
        <v>30.Delays in decisions making by the approval authorities</v>
      </c>
      <c r="CA461" t="str">
        <v>31.Change schedule</v>
      </c>
      <c r="CB461" t="str">
        <v>32.Stoppages because of work being rejected by consultant</v>
      </c>
      <c r="CC461" t="str">
        <v>33.Lowest bid price</v>
      </c>
      <c r="CD461" t="str">
        <v>34.Insufficient time for preparation of contract documents</v>
      </c>
      <c r="CE461" t="str">
        <v>35.Discrepancies in contract documents</v>
      </c>
      <c r="CF461" t="str">
        <v>36.Underestimation of time for completion of project</v>
      </c>
      <c r="CG461" t="str">
        <v>37.Extension of time with cost claims</v>
      </c>
      <c r="CH461" t="str">
        <v>38.Scope and specification changes</v>
      </c>
      <c r="CI461" t="str">
        <v>39.Changes in client requirements</v>
      </c>
      <c r="CJ461" t="str">
        <v>40.Frequency of variation orders and additional works</v>
      </c>
      <c r="CK461" t="str">
        <v>41.Rework due to error in execution</v>
      </c>
      <c r="CL461" t="str">
        <v>42.Weather conditions</v>
      </c>
      <c r="CM461" t="str">
        <v>43.Accidents during construction</v>
      </c>
      <c r="CN461" t="str">
        <v>44.Delay in getting NOCs from different government authorities</v>
      </c>
    </row>
    <row r="462" spans="1:92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 t="str">
        <f t="array" ref="AV462:AV505">TRANSPOSE(B1:AS1)</f>
        <v>1.Delay in delivering material to construction site</v>
      </c>
      <c r="AW462" s="34">
        <f t="array" ref="AW462:CN505">AW20:CN63-AW414:CN457</f>
        <v>0.28466601873195585</v>
      </c>
      <c r="AX462" s="35">
        <v>-2.7899840136001774E-2</v>
      </c>
      <c r="AY462" s="35">
        <v>-8.4845296355074873E-2</v>
      </c>
      <c r="AZ462" s="16">
        <v>2.6815291703866095E-2</v>
      </c>
      <c r="BA462" s="16">
        <v>-6.0766576275218087E-2</v>
      </c>
      <c r="BB462" s="16">
        <v>6.8244304924729993E-3</v>
      </c>
      <c r="BC462" s="16">
        <v>-1.158404561423021E-3</v>
      </c>
      <c r="BD462" s="16">
        <v>1.6939576658958067E-2</v>
      </c>
      <c r="BE462" s="16">
        <v>-9.1233224803509705E-3</v>
      </c>
      <c r="BF462" s="16">
        <v>-5.4116357311769336E-2</v>
      </c>
      <c r="BG462" s="16">
        <v>1.8037547560760092E-2</v>
      </c>
      <c r="BH462" s="16">
        <v>-8.4634041765715984E-3</v>
      </c>
      <c r="BI462" s="16">
        <v>-2.2772426019461833E-2</v>
      </c>
      <c r="BJ462" s="16">
        <v>-4.2890648514618629E-2</v>
      </c>
      <c r="BK462" s="16">
        <v>2.7209028522904133E-2</v>
      </c>
      <c r="BL462" s="16">
        <v>-1.7534356398693489E-2</v>
      </c>
      <c r="BM462" s="16">
        <v>2.7236654960129114E-4</v>
      </c>
      <c r="BN462" s="16">
        <v>4.441978649019479E-2</v>
      </c>
      <c r="BO462" s="16">
        <v>-1.9477305820314011E-2</v>
      </c>
      <c r="BP462" s="16">
        <v>-1.9824931590554137E-2</v>
      </c>
      <c r="BQ462" s="16">
        <v>4.0288512941084029E-2</v>
      </c>
      <c r="BR462" s="16">
        <v>6.3337849977993438E-2</v>
      </c>
      <c r="BS462" s="16">
        <v>-3.7394880740870884E-2</v>
      </c>
      <c r="BT462" s="16">
        <v>9.1456420308531253E-2</v>
      </c>
      <c r="BU462" s="16">
        <v>5.7707040518605451E-2</v>
      </c>
      <c r="BV462" s="16">
        <v>4.4982173840357742E-2</v>
      </c>
      <c r="BW462" s="16">
        <v>-2.3066600133379855E-2</v>
      </c>
      <c r="BX462" s="16">
        <v>-2.2369526791703676E-2</v>
      </c>
      <c r="BY462" s="16">
        <v>-1.4407009068121507E-2</v>
      </c>
      <c r="BZ462" s="16">
        <v>5.6678537728706388E-2</v>
      </c>
      <c r="CA462" s="16">
        <v>-5.1059257682373904E-2</v>
      </c>
      <c r="CB462" s="16">
        <v>-1.0766712418659785E-2</v>
      </c>
      <c r="CC462" s="16">
        <v>-6.4048340314369456E-2</v>
      </c>
      <c r="CD462" s="16">
        <v>-3.0416860428456732E-2</v>
      </c>
      <c r="CE462" s="16">
        <v>2.8932972236647259E-2</v>
      </c>
      <c r="CF462" s="16">
        <v>-8.2273820348481741E-2</v>
      </c>
      <c r="CG462" s="16">
        <v>-6.9887157086017893E-2</v>
      </c>
      <c r="CH462" s="16">
        <v>7.0879999515929548E-3</v>
      </c>
      <c r="CI462" s="16">
        <v>-2.4600538471930888E-2</v>
      </c>
      <c r="CJ462" s="16">
        <v>3.1314030069058002E-2</v>
      </c>
      <c r="CK462" s="16">
        <v>5.7285180093420207E-2</v>
      </c>
      <c r="CL462" s="16">
        <v>-3.0908464486467668E-4</v>
      </c>
      <c r="CM462" s="16">
        <v>2.8578930600534624E-2</v>
      </c>
      <c r="CN462" s="17">
        <v>-0.10017684202520577</v>
      </c>
    </row>
    <row r="463" spans="1:92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 t="str">
        <v>2.Monopoly of material by some suppliers</v>
      </c>
      <c r="AW463" s="25">
        <v>-2.7899840136001774E-2</v>
      </c>
      <c r="AX463" s="26">
        <v>0.22485447308560225</v>
      </c>
      <c r="AY463" s="26">
        <v>-2.6392789311029952E-3</v>
      </c>
      <c r="AZ463" s="18">
        <v>-5.3241221369813019E-2</v>
      </c>
      <c r="BA463" s="18">
        <v>-9.42972439034645E-3</v>
      </c>
      <c r="BB463" s="18">
        <v>-4.1586382861759086E-2</v>
      </c>
      <c r="BC463" s="18">
        <v>-6.1151117782160702E-2</v>
      </c>
      <c r="BD463" s="18">
        <v>-6.2075277504852755E-4</v>
      </c>
      <c r="BE463" s="18">
        <v>-8.9233435155707252E-3</v>
      </c>
      <c r="BF463" s="18">
        <v>-2.0082799732119516E-2</v>
      </c>
      <c r="BG463" s="18">
        <v>8.8056579661527357E-3</v>
      </c>
      <c r="BH463" s="18">
        <v>-3.8674169708068085E-3</v>
      </c>
      <c r="BI463" s="18">
        <v>4.0512248712764376E-2</v>
      </c>
      <c r="BJ463" s="18">
        <v>-6.4541916457152848E-2</v>
      </c>
      <c r="BK463" s="18">
        <v>-1.8650801722027932E-2</v>
      </c>
      <c r="BL463" s="18">
        <v>2.3380992468290507E-2</v>
      </c>
      <c r="BM463" s="18">
        <v>3.1913471896097334E-2</v>
      </c>
      <c r="BN463" s="18">
        <v>3.8967994008713425E-2</v>
      </c>
      <c r="BO463" s="18">
        <v>1.3964794181994256E-2</v>
      </c>
      <c r="BP463" s="18">
        <v>-2.2505899346500657E-2</v>
      </c>
      <c r="BQ463" s="18">
        <v>-5.7514288671884663E-2</v>
      </c>
      <c r="BR463" s="18">
        <v>2.8645448073083064E-2</v>
      </c>
      <c r="BS463" s="18">
        <v>2.6767464698347392E-2</v>
      </c>
      <c r="BT463" s="18">
        <v>3.55359378826254E-2</v>
      </c>
      <c r="BU463" s="18">
        <v>2.5147727087510646E-2</v>
      </c>
      <c r="BV463" s="18">
        <v>5.3797896511030771E-3</v>
      </c>
      <c r="BW463" s="18">
        <v>-1.8056593657680142E-3</v>
      </c>
      <c r="BX463" s="18">
        <v>-6.8759083763811901E-3</v>
      </c>
      <c r="BY463" s="18">
        <v>3.8516517046839165E-2</v>
      </c>
      <c r="BZ463" s="18">
        <v>-3.5006750135577927E-2</v>
      </c>
      <c r="CA463" s="18">
        <v>2.3563388618803263E-2</v>
      </c>
      <c r="CB463" s="18">
        <v>-8.5090850116393835E-2</v>
      </c>
      <c r="CC463" s="18">
        <v>5.1672251701092575E-3</v>
      </c>
      <c r="CD463" s="18">
        <v>4.9701084723875022E-2</v>
      </c>
      <c r="CE463" s="18">
        <v>5.9709298123571355E-2</v>
      </c>
      <c r="CF463" s="18">
        <v>-1.8011554369187055E-2</v>
      </c>
      <c r="CG463" s="18">
        <v>-4.6864487035344127E-2</v>
      </c>
      <c r="CH463" s="18">
        <v>-4.2942130239382537E-2</v>
      </c>
      <c r="CI463" s="18">
        <v>5.7843403543472588E-2</v>
      </c>
      <c r="CJ463" s="18">
        <v>5.0231328309887364E-2</v>
      </c>
      <c r="CK463" s="18">
        <v>-3.9615224569133967E-2</v>
      </c>
      <c r="CL463" s="18">
        <v>-1.2799338813711869E-2</v>
      </c>
      <c r="CM463" s="18">
        <v>-3.0948985545790675E-2</v>
      </c>
      <c r="CN463" s="19">
        <v>3.570655638682585E-3</v>
      </c>
    </row>
    <row r="464" spans="1:92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 t="str">
        <v>3.Prices fluctuation</v>
      </c>
      <c r="AW464" s="25">
        <v>-8.4845296355074873E-2</v>
      </c>
      <c r="AX464" s="26">
        <v>-2.6392789311029952E-3</v>
      </c>
      <c r="AY464" s="26">
        <v>0.26979973419294034</v>
      </c>
      <c r="AZ464" s="18">
        <v>-5.33267205121295E-2</v>
      </c>
      <c r="BA464" s="18">
        <v>-6.6305176607630301E-2</v>
      </c>
      <c r="BB464" s="18">
        <v>-2.3959921103737736E-2</v>
      </c>
      <c r="BC464" s="18">
        <v>-2.0331232944611755E-2</v>
      </c>
      <c r="BD464" s="18">
        <v>-2.4362936813890401E-2</v>
      </c>
      <c r="BE464" s="18">
        <v>1.7100814646788143E-2</v>
      </c>
      <c r="BF464" s="18">
        <v>-1.1258222089398529E-2</v>
      </c>
      <c r="BG464" s="18">
        <v>-1.7816739000910686E-2</v>
      </c>
      <c r="BH464" s="18">
        <v>-5.2561116565691401E-4</v>
      </c>
      <c r="BI464" s="18">
        <v>-3.1351568821974984E-2</v>
      </c>
      <c r="BJ464" s="18">
        <v>-2.1591472631607433E-4</v>
      </c>
      <c r="BK464" s="18">
        <v>2.4770821972278631E-2</v>
      </c>
      <c r="BL464" s="18">
        <v>5.8554133377718906E-3</v>
      </c>
      <c r="BM464" s="18">
        <v>-3.0208969590517821E-2</v>
      </c>
      <c r="BN464" s="18">
        <v>-6.5644500424707097E-2</v>
      </c>
      <c r="BO464" s="18">
        <v>3.9846739740267256E-2</v>
      </c>
      <c r="BP464" s="18">
        <v>1.8167444868617044E-2</v>
      </c>
      <c r="BQ464" s="18">
        <v>2.5789111219188837E-2</v>
      </c>
      <c r="BR464" s="18">
        <v>2.4378282462587386E-2</v>
      </c>
      <c r="BS464" s="18">
        <v>-8.6954283312975028E-2</v>
      </c>
      <c r="BT464" s="18">
        <v>-6.8489970958673901E-2</v>
      </c>
      <c r="BU464" s="18">
        <v>-3.8284393651986527E-2</v>
      </c>
      <c r="BV464" s="18">
        <v>-1.8004884114099784E-2</v>
      </c>
      <c r="BW464" s="18">
        <v>-7.2672039782678832E-3</v>
      </c>
      <c r="BX464" s="18">
        <v>1.1347048283811556E-2</v>
      </c>
      <c r="BY464" s="18">
        <v>4.488407583404852E-2</v>
      </c>
      <c r="BZ464" s="18">
        <v>-2.0290867641438295E-2</v>
      </c>
      <c r="CA464" s="18">
        <v>3.1232532134061478E-2</v>
      </c>
      <c r="CB464" s="18">
        <v>-3.0479479109321417E-2</v>
      </c>
      <c r="CC464" s="18">
        <v>-1.675196770350082E-2</v>
      </c>
      <c r="CD464" s="18">
        <v>9.5239078732759275E-2</v>
      </c>
      <c r="CE464" s="18">
        <v>4.9383870188570753E-2</v>
      </c>
      <c r="CF464" s="18">
        <v>2.2974574710209056E-2</v>
      </c>
      <c r="CG464" s="18">
        <v>2.610016578041488E-2</v>
      </c>
      <c r="CH464" s="18">
        <v>-8.4666672856237857E-3</v>
      </c>
      <c r="CI464" s="18">
        <v>-4.8068365346343261E-2</v>
      </c>
      <c r="CJ464" s="18">
        <v>9.9998015844194946E-3</v>
      </c>
      <c r="CK464" s="18">
        <v>-4.2543479336155432E-2</v>
      </c>
      <c r="CL464" s="18">
        <v>5.816031763770127E-2</v>
      </c>
      <c r="CM464" s="18">
        <v>-9.6586526658878624E-3</v>
      </c>
      <c r="CN464" s="19">
        <v>9.0449177341199671E-2</v>
      </c>
    </row>
    <row r="465" spans="1:92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 t="str">
        <v>4.Types of material availability at local market</v>
      </c>
      <c r="AW465" s="25">
        <v>2.6815291703866095E-2</v>
      </c>
      <c r="AX465" s="26">
        <v>-5.3241221369813019E-2</v>
      </c>
      <c r="AY465" s="26">
        <v>-5.33267205121295E-2</v>
      </c>
      <c r="AZ465" s="18">
        <v>0.22784627085773257</v>
      </c>
      <c r="BA465" s="18">
        <v>-1.0165047832697227E-2</v>
      </c>
      <c r="BB465" s="18">
        <v>1.337825096291545E-2</v>
      </c>
      <c r="BC465" s="18">
        <v>1.2070848788454991E-2</v>
      </c>
      <c r="BD465" s="18">
        <v>-6.7841369785970329E-3</v>
      </c>
      <c r="BE465" s="18">
        <v>-7.6121812475411443E-2</v>
      </c>
      <c r="BF465" s="18">
        <v>-2.5898167492069302E-2</v>
      </c>
      <c r="BG465" s="18">
        <v>-5.8153695978360176E-3</v>
      </c>
      <c r="BH465" s="18">
        <v>-2.8843207244977409E-2</v>
      </c>
      <c r="BI465" s="18">
        <v>1.9000721772444717E-2</v>
      </c>
      <c r="BJ465" s="18">
        <v>-4.2471088644027419E-2</v>
      </c>
      <c r="BK465" s="18">
        <v>3.3313171382217677E-3</v>
      </c>
      <c r="BL465" s="18">
        <v>-2.3894426018303327E-2</v>
      </c>
      <c r="BM465" s="18">
        <v>-2.1663075806097332E-2</v>
      </c>
      <c r="BN465" s="18">
        <v>-6.4926503057978369E-2</v>
      </c>
      <c r="BO465" s="18">
        <v>-3.861993308673578E-2</v>
      </c>
      <c r="BP465" s="18">
        <v>-9.2794707070741056E-3</v>
      </c>
      <c r="BQ465" s="18">
        <v>5.3876974506593407E-2</v>
      </c>
      <c r="BR465" s="18">
        <v>-6.7515145966937848E-3</v>
      </c>
      <c r="BS465" s="18">
        <v>1.4416183960582966E-2</v>
      </c>
      <c r="BT465" s="18">
        <v>-6.5377946289854633E-2</v>
      </c>
      <c r="BU465" s="18">
        <v>2.0916839035434731E-2</v>
      </c>
      <c r="BV465" s="18">
        <v>-1.3750291657439351E-2</v>
      </c>
      <c r="BW465" s="18">
        <v>2.6931242416374512E-2</v>
      </c>
      <c r="BX465" s="18">
        <v>1.9319556309950692E-2</v>
      </c>
      <c r="BY465" s="18">
        <v>-1.5616701221167151E-2</v>
      </c>
      <c r="BZ465" s="18">
        <v>0.10383251525969228</v>
      </c>
      <c r="CA465" s="18">
        <v>-9.8455387701881503E-3</v>
      </c>
      <c r="CB465" s="18">
        <v>-2.1422306146507919E-2</v>
      </c>
      <c r="CC465" s="18">
        <v>-6.3431649627397724E-2</v>
      </c>
      <c r="CD465" s="18">
        <v>6.1043146548533933E-4</v>
      </c>
      <c r="CE465" s="18">
        <v>-1.2500232856672011E-3</v>
      </c>
      <c r="CF465" s="18">
        <v>-6.6425409990099438E-2</v>
      </c>
      <c r="CG465" s="18">
        <v>-5.9326650228685912E-2</v>
      </c>
      <c r="CH465" s="18">
        <v>2.3090542952676929E-2</v>
      </c>
      <c r="CI465" s="18">
        <v>2.2478791914495283E-2</v>
      </c>
      <c r="CJ465" s="18">
        <v>2.7539290201510021E-2</v>
      </c>
      <c r="CK465" s="18">
        <v>2.3578107394860826E-2</v>
      </c>
      <c r="CL465" s="18">
        <v>5.6674295892138016E-2</v>
      </c>
      <c r="CM465" s="18">
        <v>3.8727583153896905E-2</v>
      </c>
      <c r="CN465" s="19">
        <v>-6.6686223286345131E-2</v>
      </c>
    </row>
    <row r="466" spans="1:92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 t="str">
        <v>5.Lack of consultant’s knowledge of available materials</v>
      </c>
      <c r="AW466" s="25">
        <v>-6.0766576275218087E-2</v>
      </c>
      <c r="AX466" s="26">
        <v>-9.42972439034645E-3</v>
      </c>
      <c r="AY466" s="26">
        <v>-6.6305176607630301E-2</v>
      </c>
      <c r="AZ466" s="18">
        <v>-1.0165047832697227E-2</v>
      </c>
      <c r="BA466" s="18">
        <v>0.33905206137688926</v>
      </c>
      <c r="BB466" s="18">
        <v>-4.8335112738484176E-2</v>
      </c>
      <c r="BC466" s="18">
        <v>-2.6344127902489411E-2</v>
      </c>
      <c r="BD466" s="18">
        <v>-7.5348795237830002E-2</v>
      </c>
      <c r="BE466" s="18">
        <v>-1.9880037482301605E-3</v>
      </c>
      <c r="BF466" s="18">
        <v>-4.7263676650492137E-2</v>
      </c>
      <c r="BG466" s="18">
        <v>1.2107399041117628E-2</v>
      </c>
      <c r="BH466" s="18">
        <v>-2.5255686260417909E-2</v>
      </c>
      <c r="BI466" s="18">
        <v>6.7119536338899999E-2</v>
      </c>
      <c r="BJ466" s="18">
        <v>1.8939003557827877E-2</v>
      </c>
      <c r="BK466" s="18">
        <v>-1.469982090775479E-2</v>
      </c>
      <c r="BL466" s="18">
        <v>5.338490793044004E-2</v>
      </c>
      <c r="BM466" s="18">
        <v>-4.785695894167654E-2</v>
      </c>
      <c r="BN466" s="18">
        <v>-2.8587645098442915E-3</v>
      </c>
      <c r="BO466" s="18">
        <v>-7.3708955165492474E-2</v>
      </c>
      <c r="BP466" s="18">
        <v>-3.8889593399941746E-2</v>
      </c>
      <c r="BQ466" s="18">
        <v>2.8221452676224779E-5</v>
      </c>
      <c r="BR466" s="18">
        <v>-3.4250062134018433E-2</v>
      </c>
      <c r="BS466" s="18">
        <v>2.4452157910063888E-2</v>
      </c>
      <c r="BT466" s="18">
        <v>-8.3280212325295006E-2</v>
      </c>
      <c r="BU466" s="18">
        <v>-1.3686150917060158E-2</v>
      </c>
      <c r="BV466" s="18">
        <v>1.3707028376632235E-2</v>
      </c>
      <c r="BW466" s="18">
        <v>-7.6650235281497392E-3</v>
      </c>
      <c r="BX466" s="18">
        <v>3.5038657010317997E-2</v>
      </c>
      <c r="BY466" s="18">
        <v>3.1734281475950477E-2</v>
      </c>
      <c r="BZ466" s="18">
        <v>-1.0746621379494795E-2</v>
      </c>
      <c r="CA466" s="18">
        <v>-8.5080729109574343E-2</v>
      </c>
      <c r="CB466" s="18">
        <v>-4.7437002459958633E-2</v>
      </c>
      <c r="CC466" s="18">
        <v>1.1197657408826611E-2</v>
      </c>
      <c r="CD466" s="18">
        <v>1.9493097008726645E-2</v>
      </c>
      <c r="CE466" s="18">
        <v>6.0617923516943339E-2</v>
      </c>
      <c r="CF466" s="18">
        <v>-1.7429697271342248E-2</v>
      </c>
      <c r="CG466" s="18">
        <v>7.1615072305763139E-2</v>
      </c>
      <c r="CH466" s="18">
        <v>-3.9229860183077059E-2</v>
      </c>
      <c r="CI466" s="18">
        <v>2.7583089676488537E-2</v>
      </c>
      <c r="CJ466" s="18">
        <v>-2.3405852882944056E-2</v>
      </c>
      <c r="CK466" s="18">
        <v>-8.3481364828492666E-3</v>
      </c>
      <c r="CL466" s="18">
        <v>-3.2186519181395534E-2</v>
      </c>
      <c r="CM466" s="18">
        <v>-3.0960323776988374E-2</v>
      </c>
      <c r="CN466" s="19">
        <v>1.940552430492351E-2</v>
      </c>
    </row>
    <row r="467" spans="1:92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 t="str">
        <v>6.Low productivity</v>
      </c>
      <c r="AW467" s="25">
        <v>6.8244304924729993E-3</v>
      </c>
      <c r="AX467" s="26">
        <v>-4.1586382861759086E-2</v>
      </c>
      <c r="AY467" s="26">
        <v>-2.3959921103737736E-2</v>
      </c>
      <c r="AZ467" s="18">
        <v>1.337825096291545E-2</v>
      </c>
      <c r="BA467" s="18">
        <v>-4.8335112738484176E-2</v>
      </c>
      <c r="BB467" s="18">
        <v>0.22185469050088735</v>
      </c>
      <c r="BC467" s="18">
        <v>6.7552945243559259E-2</v>
      </c>
      <c r="BD467" s="18">
        <v>4.7169776529081719E-2</v>
      </c>
      <c r="BE467" s="18">
        <v>-3.2195923748310262E-2</v>
      </c>
      <c r="BF467" s="18">
        <v>-4.6747394205057469E-2</v>
      </c>
      <c r="BG467" s="18">
        <v>-6.9537652208788825E-2</v>
      </c>
      <c r="BH467" s="18">
        <v>-2.6042706833687368E-2</v>
      </c>
      <c r="BI467" s="18">
        <v>-2.1951003409341752E-3</v>
      </c>
      <c r="BJ467" s="18">
        <v>4.025184654345796E-2</v>
      </c>
      <c r="BK467" s="18">
        <v>-9.6509637107000112E-3</v>
      </c>
      <c r="BL467" s="18">
        <v>1.7710505585462277E-2</v>
      </c>
      <c r="BM467" s="18">
        <v>3.2431533073443736E-2</v>
      </c>
      <c r="BN467" s="18">
        <v>2.01941846908191E-2</v>
      </c>
      <c r="BO467" s="18">
        <v>7.1665965078637761E-4</v>
      </c>
      <c r="BP467" s="18">
        <v>-3.1428478761674566E-2</v>
      </c>
      <c r="BQ467" s="18">
        <v>-3.5358909452198287E-2</v>
      </c>
      <c r="BR467" s="18">
        <v>3.762916243395089E-2</v>
      </c>
      <c r="BS467" s="18">
        <v>4.0845625633216115E-2</v>
      </c>
      <c r="BT467" s="18">
        <v>-1.5624731274223126E-2</v>
      </c>
      <c r="BU467" s="18">
        <v>5.3898549890453118E-2</v>
      </c>
      <c r="BV467" s="18">
        <v>-1.5233454165631655E-2</v>
      </c>
      <c r="BW467" s="18">
        <v>-2.7652480674231261E-2</v>
      </c>
      <c r="BX467" s="18">
        <v>-0.10584855859158482</v>
      </c>
      <c r="BY467" s="18">
        <v>-2.9789324531623362E-2</v>
      </c>
      <c r="BZ467" s="18">
        <v>-9.6048986607457781E-3</v>
      </c>
      <c r="CA467" s="18">
        <v>5.4564077575759096E-2</v>
      </c>
      <c r="CB467" s="18">
        <v>5.5343246224756837E-2</v>
      </c>
      <c r="CC467" s="18">
        <v>-7.9278209017293849E-2</v>
      </c>
      <c r="CD467" s="18">
        <v>-2.0973633087791876E-2</v>
      </c>
      <c r="CE467" s="18">
        <v>-6.9347291356217589E-2</v>
      </c>
      <c r="CF467" s="18">
        <v>1.9650833186261984E-2</v>
      </c>
      <c r="CG467" s="18">
        <v>6.9842595030908838E-2</v>
      </c>
      <c r="CH467" s="18">
        <v>6.5414307730161242E-2</v>
      </c>
      <c r="CI467" s="18">
        <v>-4.8765774528819944E-2</v>
      </c>
      <c r="CJ467" s="18">
        <v>-3.5896663365221348E-3</v>
      </c>
      <c r="CK467" s="18">
        <v>1.0046278248333984E-2</v>
      </c>
      <c r="CL467" s="18">
        <v>1.1457211598739359E-2</v>
      </c>
      <c r="CM467" s="18">
        <v>-3.4704036663672277E-2</v>
      </c>
      <c r="CN467" s="19">
        <v>-1.4927997033393148E-2</v>
      </c>
    </row>
    <row r="468" spans="1:92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 t="str">
        <v>7.Poor work execution</v>
      </c>
      <c r="AW468" s="25">
        <v>-1.158404561423021E-3</v>
      </c>
      <c r="AX468" s="26">
        <v>-6.1151117782160702E-2</v>
      </c>
      <c r="AY468" s="26">
        <v>-2.0331232944611755E-2</v>
      </c>
      <c r="AZ468" s="18">
        <v>1.2070848788454991E-2</v>
      </c>
      <c r="BA468" s="18">
        <v>-2.6344127902489411E-2</v>
      </c>
      <c r="BB468" s="18">
        <v>6.7552945243559259E-2</v>
      </c>
      <c r="BC468" s="18">
        <v>0.20175532128071627</v>
      </c>
      <c r="BD468" s="18">
        <v>-5.1208855348722992E-2</v>
      </c>
      <c r="BE468" s="18">
        <v>-1.2165724734094274E-2</v>
      </c>
      <c r="BF468" s="18">
        <v>-3.664904562846083E-2</v>
      </c>
      <c r="BG468" s="18">
        <v>-4.6631059563100874E-2</v>
      </c>
      <c r="BH468" s="18">
        <v>-5.2562395689889518E-2</v>
      </c>
      <c r="BI468" s="18">
        <v>3.3831438729770014E-4</v>
      </c>
      <c r="BJ468" s="18">
        <v>5.1737550031830365E-2</v>
      </c>
      <c r="BK468" s="18">
        <v>-3.0261448575224364E-2</v>
      </c>
      <c r="BL468" s="18">
        <v>1.8042752870019302E-2</v>
      </c>
      <c r="BM468" s="18">
        <v>1.3793455071002506E-2</v>
      </c>
      <c r="BN468" s="18">
        <v>1.9916744933072994E-2</v>
      </c>
      <c r="BO468" s="18">
        <v>4.8777346287415257E-3</v>
      </c>
      <c r="BP468" s="18">
        <v>-3.0408596533149368E-2</v>
      </c>
      <c r="BQ468" s="18">
        <v>-3.2075222303185852E-2</v>
      </c>
      <c r="BR468" s="18">
        <v>7.246176897611345E-2</v>
      </c>
      <c r="BS468" s="18">
        <v>1.0596928574860096E-2</v>
      </c>
      <c r="BT468" s="18">
        <v>-5.1030973072748495E-2</v>
      </c>
      <c r="BU468" s="18">
        <v>-4.6086376354433911E-3</v>
      </c>
      <c r="BV468" s="18">
        <v>-1.5550433917272066E-2</v>
      </c>
      <c r="BW468" s="18">
        <v>-1.8623846280495404E-2</v>
      </c>
      <c r="BX468" s="18">
        <v>-2.9385201553336238E-2</v>
      </c>
      <c r="BY468" s="18">
        <v>-4.3733048584839118E-2</v>
      </c>
      <c r="BZ468" s="18">
        <v>5.1450563156426543E-2</v>
      </c>
      <c r="CA468" s="18">
        <v>-8.313185319486549E-3</v>
      </c>
      <c r="CB468" s="18">
        <v>9.2782844659787866E-2</v>
      </c>
      <c r="CC468" s="18">
        <v>-4.9434731820689304E-2</v>
      </c>
      <c r="CD468" s="18">
        <v>-6.3137200553709472E-2</v>
      </c>
      <c r="CE468" s="18">
        <v>-3.2391664109746199E-2</v>
      </c>
      <c r="CF468" s="18">
        <v>-7.2779427030994492E-3</v>
      </c>
      <c r="CG468" s="18">
        <v>-3.4341790217709722E-2</v>
      </c>
      <c r="CH468" s="18">
        <v>2.4880118215290709E-2</v>
      </c>
      <c r="CI468" s="18">
        <v>-1.7525646612353285E-2</v>
      </c>
      <c r="CJ468" s="18">
        <v>-1.7894237661328888E-2</v>
      </c>
      <c r="CK468" s="18">
        <v>7.3556988271518076E-2</v>
      </c>
      <c r="CL468" s="18">
        <v>1.6613580974848718E-2</v>
      </c>
      <c r="CM468" s="18">
        <v>7.1775107395956605E-3</v>
      </c>
      <c r="CN468" s="19">
        <v>3.025658332399167E-2</v>
      </c>
    </row>
    <row r="469" spans="1:92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 t="str">
        <v>8.Shortage of laborers</v>
      </c>
      <c r="AW469" s="25">
        <v>1.6939576658958067E-2</v>
      </c>
      <c r="AX469" s="26">
        <v>-6.2075277504852755E-4</v>
      </c>
      <c r="AY469" s="26">
        <v>-2.4362936813890401E-2</v>
      </c>
      <c r="AZ469" s="18">
        <v>-6.7841369785970329E-3</v>
      </c>
      <c r="BA469" s="18">
        <v>-7.5348795237830002E-2</v>
      </c>
      <c r="BB469" s="18">
        <v>4.7169776529081719E-2</v>
      </c>
      <c r="BC469" s="18">
        <v>-5.1208855348722992E-2</v>
      </c>
      <c r="BD469" s="18">
        <v>0.23554499470272583</v>
      </c>
      <c r="BE469" s="18">
        <v>1.1027445087903542E-2</v>
      </c>
      <c r="BF469" s="18">
        <v>4.9023328191112991E-2</v>
      </c>
      <c r="BG469" s="18">
        <v>-2.6721158811961687E-2</v>
      </c>
      <c r="BH469" s="18">
        <v>2.2965284917191964E-2</v>
      </c>
      <c r="BI469" s="18">
        <v>-4.8258378807205737E-2</v>
      </c>
      <c r="BJ469" s="18">
        <v>8.9300804841382642E-3</v>
      </c>
      <c r="BK469" s="18">
        <v>-8.9396769329514181E-3</v>
      </c>
      <c r="BL469" s="18">
        <v>-5.9112935282469026E-2</v>
      </c>
      <c r="BM469" s="18">
        <v>4.4537776537138946E-2</v>
      </c>
      <c r="BN469" s="18">
        <v>-4.1751232001339678E-2</v>
      </c>
      <c r="BO469" s="18">
        <v>2.8501727086754247E-2</v>
      </c>
      <c r="BP469" s="18">
        <v>3.8814134330655309E-2</v>
      </c>
      <c r="BQ469" s="18">
        <v>-1.4237140024241757E-2</v>
      </c>
      <c r="BR469" s="18">
        <v>-1.1210345432747224E-2</v>
      </c>
      <c r="BS469" s="18">
        <v>2.3456546870306398E-2</v>
      </c>
      <c r="BT469" s="18">
        <v>7.940846398698001E-2</v>
      </c>
      <c r="BU469" s="18">
        <v>3.6773934734533997E-2</v>
      </c>
      <c r="BV469" s="18">
        <v>6.0651878796372849E-2</v>
      </c>
      <c r="BW469" s="18">
        <v>-3.9325740105453921E-2</v>
      </c>
      <c r="BX469" s="18">
        <v>-7.5733315019570202E-2</v>
      </c>
      <c r="BY469" s="18">
        <v>-6.797524944473371E-2</v>
      </c>
      <c r="BZ469" s="18">
        <v>-2.6836371520330249E-2</v>
      </c>
      <c r="CA469" s="18">
        <v>4.6614297471107458E-2</v>
      </c>
      <c r="CB469" s="18">
        <v>-4.5135945221852491E-2</v>
      </c>
      <c r="CC469" s="18">
        <v>-6.0862585612621367E-2</v>
      </c>
      <c r="CD469" s="18">
        <v>-1.0214885651145256E-3</v>
      </c>
      <c r="CE469" s="18">
        <v>-3.2997142970631388E-2</v>
      </c>
      <c r="CF469" s="18">
        <v>1.5972920980764083E-3</v>
      </c>
      <c r="CG469" s="18">
        <v>8.1975684499886195E-2</v>
      </c>
      <c r="CH469" s="18">
        <v>7.6801552885346652E-2</v>
      </c>
      <c r="CI469" s="18">
        <v>-3.3894503970130496E-2</v>
      </c>
      <c r="CJ469" s="18">
        <v>-3.680422968463945E-2</v>
      </c>
      <c r="CK469" s="18">
        <v>-1.5986541726407233E-2</v>
      </c>
      <c r="CL469" s="18">
        <v>3.0441732580972491E-3</v>
      </c>
      <c r="CM469" s="18">
        <v>-3.3950400525478375E-2</v>
      </c>
      <c r="CN469" s="19">
        <v>-1.5279405058585938E-2</v>
      </c>
    </row>
    <row r="470" spans="1:92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 t="str">
        <v>9.Mistakes happens during construction phase</v>
      </c>
      <c r="AW470" s="25">
        <v>-9.1233224803509705E-3</v>
      </c>
      <c r="AX470" s="26">
        <v>-8.9233435155707252E-3</v>
      </c>
      <c r="AY470" s="26">
        <v>1.7100814646788143E-2</v>
      </c>
      <c r="AZ470" s="18">
        <v>-7.6121812475411443E-2</v>
      </c>
      <c r="BA470" s="18">
        <v>-1.9880037482301605E-3</v>
      </c>
      <c r="BB470" s="18">
        <v>-3.2195923748310262E-2</v>
      </c>
      <c r="BC470" s="18">
        <v>-1.2165724734094274E-2</v>
      </c>
      <c r="BD470" s="18">
        <v>1.1027445087903542E-2</v>
      </c>
      <c r="BE470" s="18">
        <v>0.20008210040074181</v>
      </c>
      <c r="BF470" s="18">
        <v>4.0708170714089276E-2</v>
      </c>
      <c r="BG470" s="18">
        <v>-1.4263587585634729E-2</v>
      </c>
      <c r="BH470" s="18">
        <v>-2.0429636773567572E-2</v>
      </c>
      <c r="BI470" s="18">
        <v>-6.0204436069846157E-2</v>
      </c>
      <c r="BJ470" s="18">
        <v>4.5071940352509506E-2</v>
      </c>
      <c r="BK470" s="18">
        <v>6.4222252207579322E-2</v>
      </c>
      <c r="BL470" s="18">
        <v>4.7633864530934933E-2</v>
      </c>
      <c r="BM470" s="18">
        <v>-3.3119584725675902E-2</v>
      </c>
      <c r="BN470" s="18">
        <v>-3.5284981734444443E-3</v>
      </c>
      <c r="BO470" s="18">
        <v>4.7744491495119168E-3</v>
      </c>
      <c r="BP470" s="18">
        <v>8.4260051794652346E-3</v>
      </c>
      <c r="BQ470" s="18">
        <v>-6.2872668159720285E-2</v>
      </c>
      <c r="BR470" s="18">
        <v>-2.0201258153197899E-2</v>
      </c>
      <c r="BS470" s="18">
        <v>3.2564143683572355E-2</v>
      </c>
      <c r="BT470" s="18">
        <v>6.4714557282835178E-2</v>
      </c>
      <c r="BU470" s="18">
        <v>-4.4021473983085591E-2</v>
      </c>
      <c r="BV470" s="18">
        <v>-1.5946640736815287E-2</v>
      </c>
      <c r="BW470" s="18">
        <v>-2.9490343276340314E-2</v>
      </c>
      <c r="BX470" s="18">
        <v>4.9030136028623827E-3</v>
      </c>
      <c r="BY470" s="18">
        <v>-9.6354257295276913E-3</v>
      </c>
      <c r="BZ470" s="18">
        <v>3.9239644581551894E-3</v>
      </c>
      <c r="CA470" s="18">
        <v>3.135411829018056E-2</v>
      </c>
      <c r="CB470" s="18">
        <v>-5.7039333303744444E-3</v>
      </c>
      <c r="CC470" s="18">
        <v>3.9520501875395742E-2</v>
      </c>
      <c r="CD470" s="18">
        <v>-1.0214724257276264E-2</v>
      </c>
      <c r="CE470" s="18">
        <v>-2.8268569004956445E-2</v>
      </c>
      <c r="CF470" s="18">
        <v>5.1722581556959579E-2</v>
      </c>
      <c r="CG470" s="18">
        <v>5.7944188611839503E-2</v>
      </c>
      <c r="CH470" s="18">
        <v>-3.3770135413160818E-2</v>
      </c>
      <c r="CI470" s="18">
        <v>-4.9907029801095626E-3</v>
      </c>
      <c r="CJ470" s="18">
        <v>1.4765015650745505E-2</v>
      </c>
      <c r="CK470" s="18">
        <v>-3.8286165572266662E-2</v>
      </c>
      <c r="CL470" s="18">
        <v>-3.0080678815264217E-2</v>
      </c>
      <c r="CM470" s="18">
        <v>1.561399757405213E-3</v>
      </c>
      <c r="CN470" s="19">
        <v>-4.042326186625364E-2</v>
      </c>
    </row>
    <row r="471" spans="1:92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 t="str">
        <v>10.Unavailability of equipment</v>
      </c>
      <c r="AW471" s="25">
        <v>-5.4116357311769336E-2</v>
      </c>
      <c r="AX471" s="26">
        <v>-2.0082799732119516E-2</v>
      </c>
      <c r="AY471" s="26">
        <v>-1.1258222089398529E-2</v>
      </c>
      <c r="AZ471" s="18">
        <v>-2.5898167492069302E-2</v>
      </c>
      <c r="BA471" s="18">
        <v>-4.7263676650492137E-2</v>
      </c>
      <c r="BB471" s="18">
        <v>-4.6747394205057469E-2</v>
      </c>
      <c r="BC471" s="18">
        <v>-3.664904562846083E-2</v>
      </c>
      <c r="BD471" s="18">
        <v>4.9023328191112991E-2</v>
      </c>
      <c r="BE471" s="18">
        <v>4.0708170714089276E-2</v>
      </c>
      <c r="BF471" s="18">
        <v>0.23502408375623607</v>
      </c>
      <c r="BG471" s="18">
        <v>-1.2691021299135796E-2</v>
      </c>
      <c r="BH471" s="18">
        <v>6.8017728596227567E-2</v>
      </c>
      <c r="BI471" s="18">
        <v>-4.9786607347574785E-2</v>
      </c>
      <c r="BJ471" s="18">
        <v>-2.1755182089262526E-2</v>
      </c>
      <c r="BK471" s="18">
        <v>-6.3486864238848639E-5</v>
      </c>
      <c r="BL471" s="18">
        <v>-4.2390663672700057E-3</v>
      </c>
      <c r="BM471" s="18">
        <v>2.9609671357111345E-2</v>
      </c>
      <c r="BN471" s="18">
        <v>-6.8851836800831678E-2</v>
      </c>
      <c r="BO471" s="18">
        <v>-6.1732638635084158E-3</v>
      </c>
      <c r="BP471" s="18">
        <v>4.7982125098147921E-2</v>
      </c>
      <c r="BQ471" s="18">
        <v>-1.6850200128796788E-2</v>
      </c>
      <c r="BR471" s="18">
        <v>-6.1362110285324539E-2</v>
      </c>
      <c r="BS471" s="18">
        <v>4.4894410752944036E-2</v>
      </c>
      <c r="BT471" s="18">
        <v>0.12444116740758214</v>
      </c>
      <c r="BU471" s="18">
        <v>-7.8905488701023208E-3</v>
      </c>
      <c r="BV471" s="18">
        <v>-4.5460957801241098E-2</v>
      </c>
      <c r="BW471" s="18">
        <v>2.7082135843980781E-2</v>
      </c>
      <c r="BX471" s="18">
        <v>-2.5634019209733516E-2</v>
      </c>
      <c r="BY471" s="18">
        <v>-3.3897619542100521E-2</v>
      </c>
      <c r="BZ471" s="18">
        <v>-5.0397680447448051E-2</v>
      </c>
      <c r="CA471" s="18">
        <v>1.9228186958859195E-2</v>
      </c>
      <c r="CB471" s="18">
        <v>-2.6309232695986673E-2</v>
      </c>
      <c r="CC471" s="18">
        <v>9.9647089084250184E-2</v>
      </c>
      <c r="CD471" s="18">
        <v>-1.8685379311418393E-2</v>
      </c>
      <c r="CE471" s="18">
        <v>-3.9375997192176548E-2</v>
      </c>
      <c r="CF471" s="18">
        <v>-1.3979867214748309E-2</v>
      </c>
      <c r="CG471" s="18">
        <v>-6.3612121510215336E-3</v>
      </c>
      <c r="CH471" s="18">
        <v>2.1919782827942241E-2</v>
      </c>
      <c r="CI471" s="18">
        <v>5.2754275029623598E-2</v>
      </c>
      <c r="CJ471" s="18">
        <v>-4.516233794979585E-2</v>
      </c>
      <c r="CK471" s="18">
        <v>-6.6955272428116552E-2</v>
      </c>
      <c r="CL471" s="18">
        <v>2.0415343941853903E-2</v>
      </c>
      <c r="CM471" s="18">
        <v>1.6602815115630526E-2</v>
      </c>
      <c r="CN471" s="19">
        <v>-2.5816428271341341E-4</v>
      </c>
    </row>
    <row r="472" spans="1:92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 t="str">
        <v>11.Lack of engineering experience</v>
      </c>
      <c r="AW472" s="25">
        <v>1.8037547560760092E-2</v>
      </c>
      <c r="AX472" s="26">
        <v>8.8056579661527357E-3</v>
      </c>
      <c r="AY472" s="26">
        <v>-1.7816739000910686E-2</v>
      </c>
      <c r="AZ472" s="18">
        <v>-5.8153695978360176E-3</v>
      </c>
      <c r="BA472" s="18">
        <v>1.2107399041117628E-2</v>
      </c>
      <c r="BB472" s="18">
        <v>-6.9537652208788825E-2</v>
      </c>
      <c r="BC472" s="18">
        <v>-4.6631059563100874E-2</v>
      </c>
      <c r="BD472" s="18">
        <v>-2.6721158811961687E-2</v>
      </c>
      <c r="BE472" s="18">
        <v>-1.4263587585634729E-2</v>
      </c>
      <c r="BF472" s="18">
        <v>-1.2691021299135796E-2</v>
      </c>
      <c r="BG472" s="18">
        <v>0.1703688585237082</v>
      </c>
      <c r="BH472" s="18">
        <v>-1.8087664975602324E-2</v>
      </c>
      <c r="BI472" s="18">
        <v>-8.1791967834173862E-3</v>
      </c>
      <c r="BJ472" s="18">
        <v>-1.1377353743776852E-2</v>
      </c>
      <c r="BK472" s="18">
        <v>-3.7150066374703916E-2</v>
      </c>
      <c r="BL472" s="18">
        <v>-3.2920583151751115E-2</v>
      </c>
      <c r="BM472" s="18">
        <v>-3.0839231464569794E-2</v>
      </c>
      <c r="BN472" s="18">
        <v>7.4349089331728624E-3</v>
      </c>
      <c r="BO472" s="18">
        <v>-2.4154136671291015E-2</v>
      </c>
      <c r="BP472" s="18">
        <v>2.063203898401933E-2</v>
      </c>
      <c r="BQ472" s="18">
        <v>7.1908896394359462E-2</v>
      </c>
      <c r="BR472" s="18">
        <v>-2.4503679227662212E-2</v>
      </c>
      <c r="BS472" s="18">
        <v>-2.2076448495974718E-2</v>
      </c>
      <c r="BT472" s="18">
        <v>1.0884707884420336E-2</v>
      </c>
      <c r="BU472" s="18">
        <v>-1.8937307951713556E-2</v>
      </c>
      <c r="BV472" s="18">
        <v>4.044515276413635E-2</v>
      </c>
      <c r="BW472" s="18">
        <v>-4.5329519963128728E-3</v>
      </c>
      <c r="BX472" s="18">
        <v>5.6870879188244516E-2</v>
      </c>
      <c r="BY472" s="18">
        <v>2.3553660590104331E-3</v>
      </c>
      <c r="BZ472" s="18">
        <v>-1.3532458288430166E-2</v>
      </c>
      <c r="CA472" s="18">
        <v>1.0188850472767338E-2</v>
      </c>
      <c r="CB472" s="18">
        <v>-2.3256959670280686E-2</v>
      </c>
      <c r="CC472" s="18">
        <v>4.1175292968058302E-2</v>
      </c>
      <c r="CD472" s="18">
        <v>-1.9663959790022778E-3</v>
      </c>
      <c r="CE472" s="18">
        <v>3.776805211814982E-2</v>
      </c>
      <c r="CF472" s="18">
        <v>-2.1540404735528262E-2</v>
      </c>
      <c r="CG472" s="18">
        <v>3.7658908111396938E-2</v>
      </c>
      <c r="CH472" s="18">
        <v>-4.6725047397829761E-2</v>
      </c>
      <c r="CI472" s="18">
        <v>-1.6060093649717722E-2</v>
      </c>
      <c r="CJ472" s="18">
        <v>4.5301327758834525E-2</v>
      </c>
      <c r="CK472" s="18">
        <v>-1.9541849263813638E-2</v>
      </c>
      <c r="CL472" s="18">
        <v>-2.6332434163932772E-2</v>
      </c>
      <c r="CM472" s="18">
        <v>-3.8872192741412626E-3</v>
      </c>
      <c r="CN472" s="19">
        <v>-1.5112467054282847E-2</v>
      </c>
    </row>
    <row r="473" spans="1:92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 t="str">
        <v>12.Construction cost underestimation</v>
      </c>
      <c r="AW473" s="25">
        <v>-8.4634041765715984E-3</v>
      </c>
      <c r="AX473" s="26">
        <v>-3.8674169708068085E-3</v>
      </c>
      <c r="AY473" s="26">
        <v>-5.2561116565691401E-4</v>
      </c>
      <c r="AZ473" s="18">
        <v>-2.8843207244977409E-2</v>
      </c>
      <c r="BA473" s="18">
        <v>-2.5255686260417909E-2</v>
      </c>
      <c r="BB473" s="18">
        <v>-2.6042706833687368E-2</v>
      </c>
      <c r="BC473" s="18">
        <v>-5.2562395689889518E-2</v>
      </c>
      <c r="BD473" s="18">
        <v>2.2965284917191964E-2</v>
      </c>
      <c r="BE473" s="18">
        <v>-2.0429636773567572E-2</v>
      </c>
      <c r="BF473" s="18">
        <v>6.8017728596227567E-2</v>
      </c>
      <c r="BG473" s="18">
        <v>-1.8087664975602324E-2</v>
      </c>
      <c r="BH473" s="18">
        <v>0.17223792662746806</v>
      </c>
      <c r="BI473" s="18">
        <v>-1.4250801084893072E-2</v>
      </c>
      <c r="BJ473" s="18">
        <v>-9.1992037557086879E-3</v>
      </c>
      <c r="BK473" s="18">
        <v>1.9768925236617559E-2</v>
      </c>
      <c r="BL473" s="18">
        <v>-1.7492459619229017E-2</v>
      </c>
      <c r="BM473" s="18">
        <v>4.6208561565573666E-2</v>
      </c>
      <c r="BN473" s="18">
        <v>-5.7110614550954619E-2</v>
      </c>
      <c r="BO473" s="18">
        <v>1.4227948605818885E-3</v>
      </c>
      <c r="BP473" s="18">
        <v>-1.4903170670613058E-2</v>
      </c>
      <c r="BQ473" s="18">
        <v>2.8685079466176822E-2</v>
      </c>
      <c r="BR473" s="18">
        <v>2.4174579086154668E-2</v>
      </c>
      <c r="BS473" s="18">
        <v>7.9809105665698821E-3</v>
      </c>
      <c r="BT473" s="18">
        <v>3.5279095243935188E-2</v>
      </c>
      <c r="BU473" s="18">
        <v>-8.8979314579077373E-3</v>
      </c>
      <c r="BV473" s="18">
        <v>-8.7923474369329679E-3</v>
      </c>
      <c r="BW473" s="18">
        <v>1.5337969515620997E-2</v>
      </c>
      <c r="BX473" s="18">
        <v>-1.5594529483627828E-2</v>
      </c>
      <c r="BY473" s="18">
        <v>-7.1686529678666733E-3</v>
      </c>
      <c r="BZ473" s="18">
        <v>-5.4081084711691305E-2</v>
      </c>
      <c r="CA473" s="18">
        <v>-2.6377191336349193E-3</v>
      </c>
      <c r="CB473" s="18">
        <v>5.2149768200993041E-4</v>
      </c>
      <c r="CC473" s="18">
        <v>7.2676455705517784E-2</v>
      </c>
      <c r="CD473" s="18">
        <v>-3.1765846433650657E-3</v>
      </c>
      <c r="CE473" s="18">
        <v>-3.2324672250613362E-2</v>
      </c>
      <c r="CF473" s="18">
        <v>2.0612172997899469E-2</v>
      </c>
      <c r="CG473" s="18">
        <v>-8.041314420925566E-4</v>
      </c>
      <c r="CH473" s="18">
        <v>1.6930105667062434E-2</v>
      </c>
      <c r="CI473" s="18">
        <v>-1.5949849538190453E-3</v>
      </c>
      <c r="CJ473" s="18">
        <v>-7.4099588684689854E-2</v>
      </c>
      <c r="CK473" s="18">
        <v>-5.6923572873114725E-2</v>
      </c>
      <c r="CL473" s="18">
        <v>-1.2269969658997293E-2</v>
      </c>
      <c r="CM473" s="18">
        <v>8.1044590434820596E-3</v>
      </c>
      <c r="CN473" s="19">
        <v>1.7722852954989626E-2</v>
      </c>
    </row>
    <row r="474" spans="1:92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 t="str">
        <v>13.Poor site management</v>
      </c>
      <c r="AW474" s="25">
        <v>-2.2772426019461833E-2</v>
      </c>
      <c r="AX474" s="26">
        <v>4.0512248712764376E-2</v>
      </c>
      <c r="AY474" s="26">
        <v>-3.1351568821974984E-2</v>
      </c>
      <c r="AZ474" s="18">
        <v>1.9000721772444717E-2</v>
      </c>
      <c r="BA474" s="18">
        <v>6.7119536338899999E-2</v>
      </c>
      <c r="BB474" s="18">
        <v>-2.1951003409341752E-3</v>
      </c>
      <c r="BC474" s="18">
        <v>3.3831438729770014E-4</v>
      </c>
      <c r="BD474" s="18">
        <v>-4.8258378807205737E-2</v>
      </c>
      <c r="BE474" s="18">
        <v>-6.0204436069846157E-2</v>
      </c>
      <c r="BF474" s="18">
        <v>-4.9786607347574785E-2</v>
      </c>
      <c r="BG474" s="18">
        <v>-8.1791967834173862E-3</v>
      </c>
      <c r="BH474" s="18">
        <v>-1.4250801084893072E-2</v>
      </c>
      <c r="BI474" s="18">
        <v>0.2221055663676238</v>
      </c>
      <c r="BJ474" s="18">
        <v>1.1072304676736394E-2</v>
      </c>
      <c r="BK474" s="18">
        <v>-1.5218157941033872E-2</v>
      </c>
      <c r="BL474" s="18">
        <v>-6.2823306277912494E-2</v>
      </c>
      <c r="BM474" s="18">
        <v>1.2638532905328723E-2</v>
      </c>
      <c r="BN474" s="18">
        <v>-2.2062120808350044E-2</v>
      </c>
      <c r="BO474" s="18">
        <v>-7.3591858620038808E-2</v>
      </c>
      <c r="BP474" s="18">
        <v>-5.2124859324877759E-2</v>
      </c>
      <c r="BQ474" s="18">
        <v>-9.9937252748575345E-3</v>
      </c>
      <c r="BR474" s="18">
        <v>4.2789922246255621E-2</v>
      </c>
      <c r="BS474" s="18">
        <v>3.4737845015525626E-2</v>
      </c>
      <c r="BT474" s="18">
        <v>-8.4111566616474731E-2</v>
      </c>
      <c r="BU474" s="18">
        <v>3.9971396478501675E-2</v>
      </c>
      <c r="BV474" s="18">
        <v>-1.4973223606064789E-2</v>
      </c>
      <c r="BW474" s="18">
        <v>3.4084363204852253E-2</v>
      </c>
      <c r="BX474" s="18">
        <v>-1.4194505110501687E-2</v>
      </c>
      <c r="BY474" s="18">
        <v>-4.3716044695394862E-2</v>
      </c>
      <c r="BZ474" s="18">
        <v>-4.5384228887035971E-3</v>
      </c>
      <c r="CA474" s="18">
        <v>6.2555221332975808E-2</v>
      </c>
      <c r="CB474" s="18">
        <v>4.4144959298525327E-2</v>
      </c>
      <c r="CC474" s="18">
        <v>-2.7629305829276279E-2</v>
      </c>
      <c r="CD474" s="18">
        <v>-4.4662385891835521E-2</v>
      </c>
      <c r="CE474" s="18">
        <v>-5.5727937658028859E-3</v>
      </c>
      <c r="CF474" s="18">
        <v>-2.4210040735983818E-2</v>
      </c>
      <c r="CG474" s="18">
        <v>-2.7850017929485063E-2</v>
      </c>
      <c r="CH474" s="18">
        <v>-1.8371101402159223E-2</v>
      </c>
      <c r="CI474" s="18">
        <v>-2.7180149845960677E-2</v>
      </c>
      <c r="CJ474" s="18">
        <v>5.6279397712592993E-2</v>
      </c>
      <c r="CK474" s="18">
        <v>3.4241374846831429E-2</v>
      </c>
      <c r="CL474" s="18">
        <v>-7.8739208447946574E-3</v>
      </c>
      <c r="CM474" s="18">
        <v>-1.9004246429230598E-2</v>
      </c>
      <c r="CN474" s="19">
        <v>4.0277073436626315E-2</v>
      </c>
    </row>
    <row r="475" spans="1:92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 t="str">
        <v>14.Delayed payment for completed work</v>
      </c>
      <c r="AW475" s="25">
        <v>-4.2890648514618629E-2</v>
      </c>
      <c r="AX475" s="26">
        <v>-6.4541916457152848E-2</v>
      </c>
      <c r="AY475" s="26">
        <v>-2.1591472631607433E-4</v>
      </c>
      <c r="AZ475" s="18">
        <v>-4.2471088644027419E-2</v>
      </c>
      <c r="BA475" s="18">
        <v>1.8939003557827877E-2</v>
      </c>
      <c r="BB475" s="18">
        <v>4.025184654345796E-2</v>
      </c>
      <c r="BC475" s="18">
        <v>5.1737550031830365E-2</v>
      </c>
      <c r="BD475" s="18">
        <v>8.9300804841382642E-3</v>
      </c>
      <c r="BE475" s="18">
        <v>4.5071940352509506E-2</v>
      </c>
      <c r="BF475" s="18">
        <v>-2.1755182089262526E-2</v>
      </c>
      <c r="BG475" s="18">
        <v>-1.1377353743776852E-2</v>
      </c>
      <c r="BH475" s="18">
        <v>-9.1992037557086879E-3</v>
      </c>
      <c r="BI475" s="18">
        <v>1.1072304676736394E-2</v>
      </c>
      <c r="BJ475" s="18">
        <v>0.20872836290417407</v>
      </c>
      <c r="BK475" s="18">
        <v>-2.7968596740770235E-2</v>
      </c>
      <c r="BL475" s="18">
        <v>-1.1028512264893764E-2</v>
      </c>
      <c r="BM475" s="18">
        <v>-7.3905517908401885E-2</v>
      </c>
      <c r="BN475" s="18">
        <v>4.502349156842278E-3</v>
      </c>
      <c r="BO475" s="18">
        <v>6.2182406659650191E-3</v>
      </c>
      <c r="BP475" s="18">
        <v>1.4720119780115559E-3</v>
      </c>
      <c r="BQ475" s="18">
        <v>-4.6831430823701281E-2</v>
      </c>
      <c r="BR475" s="18">
        <v>1.0253741329443677E-2</v>
      </c>
      <c r="BS475" s="18">
        <v>2.474502422416467E-2</v>
      </c>
      <c r="BT475" s="18">
        <v>-2.069340150657005E-2</v>
      </c>
      <c r="BU475" s="18">
        <v>-2.6872363335556815E-2</v>
      </c>
      <c r="BV475" s="18">
        <v>2.5627212375834707E-2</v>
      </c>
      <c r="BW475" s="18">
        <v>-1.4793944621458194E-2</v>
      </c>
      <c r="BX475" s="18">
        <v>9.0160162994492588E-3</v>
      </c>
      <c r="BY475" s="18">
        <v>-6.0422692073614226E-2</v>
      </c>
      <c r="BZ475" s="18">
        <v>-5.2331660975413807E-2</v>
      </c>
      <c r="CA475" s="18">
        <v>6.5964791186834293E-2</v>
      </c>
      <c r="CB475" s="18">
        <v>6.3940860053503773E-2</v>
      </c>
      <c r="CC475" s="18">
        <v>-4.4562092488091204E-2</v>
      </c>
      <c r="CD475" s="18">
        <v>-5.2619132772246974E-2</v>
      </c>
      <c r="CE475" s="18">
        <v>-4.6455423554678424E-2</v>
      </c>
      <c r="CF475" s="18">
        <v>0.11430450503342908</v>
      </c>
      <c r="CG475" s="18">
        <v>6.2443557778481984E-2</v>
      </c>
      <c r="CH475" s="18">
        <v>-4.1047236930903674E-3</v>
      </c>
      <c r="CI475" s="18">
        <v>-7.5292639474203671E-2</v>
      </c>
      <c r="CJ475" s="18">
        <v>-4.936588073109538E-3</v>
      </c>
      <c r="CK475" s="18">
        <v>4.8956147272976869E-2</v>
      </c>
      <c r="CL475" s="18">
        <v>-5.9545385524508825E-2</v>
      </c>
      <c r="CM475" s="18">
        <v>-3.9239185815039143E-2</v>
      </c>
      <c r="CN475" s="19">
        <v>4.337160529179801E-2</v>
      </c>
    </row>
    <row r="476" spans="1:92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 t="str">
        <v>15.Cash flow problem during construction</v>
      </c>
      <c r="AW476" s="25">
        <v>2.7209028522904133E-2</v>
      </c>
      <c r="AX476" s="26">
        <v>-1.8650801722027932E-2</v>
      </c>
      <c r="AY476" s="26">
        <v>2.4770821972278631E-2</v>
      </c>
      <c r="AZ476" s="18">
        <v>3.3313171382217677E-3</v>
      </c>
      <c r="BA476" s="18">
        <v>-1.469982090775479E-2</v>
      </c>
      <c r="BB476" s="18">
        <v>-9.6509637107000112E-3</v>
      </c>
      <c r="BC476" s="18">
        <v>-3.0261448575224364E-2</v>
      </c>
      <c r="BD476" s="18">
        <v>-8.9396769329514181E-3</v>
      </c>
      <c r="BE476" s="18">
        <v>6.4222252207579322E-2</v>
      </c>
      <c r="BF476" s="18">
        <v>-6.3486864238848639E-5</v>
      </c>
      <c r="BG476" s="18">
        <v>-3.7150066374703916E-2</v>
      </c>
      <c r="BH476" s="18">
        <v>1.9768925236617559E-2</v>
      </c>
      <c r="BI476" s="18">
        <v>-1.5218157941033872E-2</v>
      </c>
      <c r="BJ476" s="18">
        <v>-2.7968596740770235E-2</v>
      </c>
      <c r="BK476" s="18">
        <v>0.15073763328138257</v>
      </c>
      <c r="BL476" s="18">
        <v>-7.1213110012747771E-3</v>
      </c>
      <c r="BM476" s="18">
        <v>-4.8435817778695656E-2</v>
      </c>
      <c r="BN476" s="18">
        <v>-2.925084614595623E-2</v>
      </c>
      <c r="BO476" s="18">
        <v>-4.3879549845231014E-2</v>
      </c>
      <c r="BP476" s="18">
        <v>-5.019728642794874E-3</v>
      </c>
      <c r="BQ476" s="18">
        <v>-2.8821774312741688E-2</v>
      </c>
      <c r="BR476" s="18">
        <v>-1.037237812643016E-2</v>
      </c>
      <c r="BS476" s="18">
        <v>1.0149882320316578E-2</v>
      </c>
      <c r="BT476" s="18">
        <v>1.3586532715798974E-2</v>
      </c>
      <c r="BU476" s="18">
        <v>1.4070442939153049E-2</v>
      </c>
      <c r="BV476" s="18">
        <v>-1.5872229123674947E-2</v>
      </c>
      <c r="BW476" s="18">
        <v>4.8843846255400281E-3</v>
      </c>
      <c r="BX476" s="18">
        <v>-2.3800132254467088E-2</v>
      </c>
      <c r="BY476" s="18">
        <v>4.3293544427682323E-2</v>
      </c>
      <c r="BZ476" s="18">
        <v>1.4590760872001396E-3</v>
      </c>
      <c r="CA476" s="18">
        <v>-1.3439672278698911E-2</v>
      </c>
      <c r="CB476" s="18">
        <v>1.6227378010125554E-2</v>
      </c>
      <c r="CC476" s="18">
        <v>1.2252632715853709E-2</v>
      </c>
      <c r="CD476" s="18">
        <v>1.8525667573118354E-2</v>
      </c>
      <c r="CE476" s="18">
        <v>-2.3416288435848337E-2</v>
      </c>
      <c r="CF476" s="18">
        <v>-2.7086674700897706E-4</v>
      </c>
      <c r="CG476" s="18">
        <v>-4.2138909678716197E-2</v>
      </c>
      <c r="CH476" s="18">
        <v>4.4042021003506598E-2</v>
      </c>
      <c r="CI476" s="18">
        <v>1.3386128346864479E-2</v>
      </c>
      <c r="CJ476" s="18">
        <v>-1.2966237550177673E-2</v>
      </c>
      <c r="CK476" s="18">
        <v>-2.425513941203844E-2</v>
      </c>
      <c r="CL476" s="18">
        <v>2.1193824982374432E-2</v>
      </c>
      <c r="CM476" s="18">
        <v>5.3664972660414055E-2</v>
      </c>
      <c r="CN476" s="19">
        <v>-4.4960991437848097E-2</v>
      </c>
    </row>
    <row r="477" spans="1:92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 t="str">
        <v>16.High rate of interest</v>
      </c>
      <c r="AW477" s="25">
        <v>-1.7534356398693489E-2</v>
      </c>
      <c r="AX477" s="26">
        <v>2.3380992468290507E-2</v>
      </c>
      <c r="AY477" s="26">
        <v>5.8554133377718906E-3</v>
      </c>
      <c r="AZ477" s="18">
        <v>-2.3894426018303327E-2</v>
      </c>
      <c r="BA477" s="18">
        <v>5.338490793044004E-2</v>
      </c>
      <c r="BB477" s="18">
        <v>1.7710505585462277E-2</v>
      </c>
      <c r="BC477" s="18">
        <v>1.8042752870019302E-2</v>
      </c>
      <c r="BD477" s="18">
        <v>-5.9112935282469026E-2</v>
      </c>
      <c r="BE477" s="18">
        <v>4.7633864530934933E-2</v>
      </c>
      <c r="BF477" s="18">
        <v>-4.2390663672700057E-3</v>
      </c>
      <c r="BG477" s="18">
        <v>-3.2920583151751115E-2</v>
      </c>
      <c r="BH477" s="18">
        <v>-1.7492459619229017E-2</v>
      </c>
      <c r="BI477" s="18">
        <v>-6.2823306277912494E-2</v>
      </c>
      <c r="BJ477" s="18">
        <v>-1.1028512264893764E-2</v>
      </c>
      <c r="BK477" s="18">
        <v>-7.1213110012747771E-3</v>
      </c>
      <c r="BL477" s="18">
        <v>0.24567078565627631</v>
      </c>
      <c r="BM477" s="18">
        <v>-7.0075371325933999E-2</v>
      </c>
      <c r="BN477" s="18">
        <v>1.6428424131626707E-2</v>
      </c>
      <c r="BO477" s="18">
        <v>1.1196202055514803E-2</v>
      </c>
      <c r="BP477" s="18">
        <v>-3.8724548877376808E-2</v>
      </c>
      <c r="BQ477" s="18">
        <v>-5.850120021883326E-2</v>
      </c>
      <c r="BR477" s="18">
        <v>-1.0686436082005868E-2</v>
      </c>
      <c r="BS477" s="18">
        <v>1.5221656598094435E-2</v>
      </c>
      <c r="BT477" s="18">
        <v>-1.6536998730819291E-2</v>
      </c>
      <c r="BU477" s="18">
        <v>1.1347376819123678E-2</v>
      </c>
      <c r="BV477" s="18">
        <v>-3.9577900226972496E-4</v>
      </c>
      <c r="BW477" s="18">
        <v>-1.5124599099082814E-2</v>
      </c>
      <c r="BX477" s="18">
        <v>-4.9323885509972021E-3</v>
      </c>
      <c r="BY477" s="18">
        <v>5.3056687572916816E-2</v>
      </c>
      <c r="BZ477" s="18">
        <v>-1.7806832919373683E-3</v>
      </c>
      <c r="CA477" s="18">
        <v>-4.5398008398725487E-2</v>
      </c>
      <c r="CB477" s="18">
        <v>-2.3216734985249288E-2</v>
      </c>
      <c r="CC477" s="18">
        <v>1.7347597267401885E-2</v>
      </c>
      <c r="CD477" s="18">
        <v>-9.6206595919690052E-4</v>
      </c>
      <c r="CE477" s="18">
        <v>-1.2080529635354109E-2</v>
      </c>
      <c r="CF477" s="18">
        <v>5.5906648629160324E-2</v>
      </c>
      <c r="CG477" s="18">
        <v>9.5087171066176424E-2</v>
      </c>
      <c r="CH477" s="18">
        <v>-2.1355284621308895E-2</v>
      </c>
      <c r="CI477" s="18">
        <v>5.1134746208853415E-2</v>
      </c>
      <c r="CJ477" s="18">
        <v>-2.4535740063733991E-2</v>
      </c>
      <c r="CK477" s="18">
        <v>-5.1465949501258157E-2</v>
      </c>
      <c r="CL477" s="18">
        <v>-2.6210413427648072E-2</v>
      </c>
      <c r="CM477" s="18">
        <v>-5.9872248625884195E-2</v>
      </c>
      <c r="CN477" s="19">
        <v>-2.6919276423692295E-2</v>
      </c>
    </row>
    <row r="478" spans="1:92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 t="str">
        <v>17.Contractor’s financial difficulties</v>
      </c>
      <c r="AW478" s="25">
        <v>2.7236654960129114E-4</v>
      </c>
      <c r="AX478" s="26">
        <v>3.1913471896097334E-2</v>
      </c>
      <c r="AY478" s="26">
        <v>-3.0208969590517821E-2</v>
      </c>
      <c r="AZ478" s="18">
        <v>-2.1663075806097332E-2</v>
      </c>
      <c r="BA478" s="18">
        <v>-4.785695894167654E-2</v>
      </c>
      <c r="BB478" s="18">
        <v>3.2431533073443736E-2</v>
      </c>
      <c r="BC478" s="18">
        <v>1.3793455071002506E-2</v>
      </c>
      <c r="BD478" s="18">
        <v>4.4537776537138946E-2</v>
      </c>
      <c r="BE478" s="18">
        <v>-3.3119584725675902E-2</v>
      </c>
      <c r="BF478" s="18">
        <v>2.9609671357111345E-2</v>
      </c>
      <c r="BG478" s="18">
        <v>-3.0839231464569794E-2</v>
      </c>
      <c r="BH478" s="18">
        <v>4.6208561565573666E-2</v>
      </c>
      <c r="BI478" s="18">
        <v>1.2638532905328723E-2</v>
      </c>
      <c r="BJ478" s="18">
        <v>-7.3905517908401885E-2</v>
      </c>
      <c r="BK478" s="18">
        <v>-4.8435817778695656E-2</v>
      </c>
      <c r="BL478" s="18">
        <v>-7.0075371325933999E-2</v>
      </c>
      <c r="BM478" s="18">
        <v>0.21924686290065687</v>
      </c>
      <c r="BN478" s="18">
        <v>1.8877909413491184E-2</v>
      </c>
      <c r="BO478" s="18">
        <v>4.1631590020918319E-2</v>
      </c>
      <c r="BP478" s="18">
        <v>7.1828217604147371E-4</v>
      </c>
      <c r="BQ478" s="18">
        <v>-1.6857660952713904E-2</v>
      </c>
      <c r="BR478" s="18">
        <v>5.3582421866939928E-2</v>
      </c>
      <c r="BS478" s="18">
        <v>3.8549730923693737E-3</v>
      </c>
      <c r="BT478" s="18">
        <v>6.3662125484801324E-2</v>
      </c>
      <c r="BU478" s="18">
        <v>-3.2105724056353258E-3</v>
      </c>
      <c r="BV478" s="18">
        <v>-6.4560305498687354E-2</v>
      </c>
      <c r="BW478" s="18">
        <v>-2.2862619498812853E-2</v>
      </c>
      <c r="BX478" s="18">
        <v>-4.6275154854068579E-2</v>
      </c>
      <c r="BY478" s="18">
        <v>-1.6169720729733439E-4</v>
      </c>
      <c r="BZ478" s="18">
        <v>-7.3600253469591204E-3</v>
      </c>
      <c r="CA478" s="18">
        <v>-3.5231477546840112E-2</v>
      </c>
      <c r="CB478" s="18">
        <v>4.4776407119657746E-2</v>
      </c>
      <c r="CC478" s="18">
        <v>4.0115316135745281E-2</v>
      </c>
      <c r="CD478" s="18">
        <v>-1.4442053445152037E-2</v>
      </c>
      <c r="CE478" s="18">
        <v>1.1014355590774183E-2</v>
      </c>
      <c r="CF478" s="18">
        <v>-1.7230489840191855E-2</v>
      </c>
      <c r="CG478" s="18">
        <v>-0.10368873816246121</v>
      </c>
      <c r="CH478" s="18">
        <v>3.8365818149577832E-2</v>
      </c>
      <c r="CI478" s="18">
        <v>1.3221418680067959E-2</v>
      </c>
      <c r="CJ478" s="18">
        <v>9.4241973097889675E-3</v>
      </c>
      <c r="CK478" s="18">
        <v>-4.839203005453202E-2</v>
      </c>
      <c r="CL478" s="18">
        <v>3.8213036048894172E-2</v>
      </c>
      <c r="CM478" s="18">
        <v>1.596659287904649E-2</v>
      </c>
      <c r="CN478" s="19">
        <v>6.6886180780241222E-3</v>
      </c>
    </row>
    <row r="479" spans="1:92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 t="str">
        <v>18.Increase in salaries of skilled laborers</v>
      </c>
      <c r="AW479" s="25">
        <v>4.441978649019479E-2</v>
      </c>
      <c r="AX479" s="26">
        <v>3.8967994008713425E-2</v>
      </c>
      <c r="AY479" s="26">
        <v>-6.5644500424707097E-2</v>
      </c>
      <c r="AZ479" s="18">
        <v>-6.4926503057978369E-2</v>
      </c>
      <c r="BA479" s="18">
        <v>-2.8587645098442915E-3</v>
      </c>
      <c r="BB479" s="18">
        <v>2.01941846908191E-2</v>
      </c>
      <c r="BC479" s="18">
        <v>1.9916744933072994E-2</v>
      </c>
      <c r="BD479" s="18">
        <v>-4.1751232001339678E-2</v>
      </c>
      <c r="BE479" s="18">
        <v>-3.5284981734444443E-3</v>
      </c>
      <c r="BF479" s="18">
        <v>-6.8851836800831678E-2</v>
      </c>
      <c r="BG479" s="18">
        <v>7.4349089331728624E-3</v>
      </c>
      <c r="BH479" s="18">
        <v>-5.7110614550954619E-2</v>
      </c>
      <c r="BI479" s="18">
        <v>-2.2062120808350044E-2</v>
      </c>
      <c r="BJ479" s="18">
        <v>4.502349156842278E-3</v>
      </c>
      <c r="BK479" s="18">
        <v>-2.925084614595623E-2</v>
      </c>
      <c r="BL479" s="18">
        <v>1.6428424131626707E-2</v>
      </c>
      <c r="BM479" s="18">
        <v>1.8877909413491184E-2</v>
      </c>
      <c r="BN479" s="18">
        <v>0.29597055372229075</v>
      </c>
      <c r="BO479" s="18">
        <v>9.6827714623916511E-2</v>
      </c>
      <c r="BP479" s="18">
        <v>5.8637032290330252E-2</v>
      </c>
      <c r="BQ479" s="18">
        <v>-6.9149646444669477E-2</v>
      </c>
      <c r="BR479" s="18">
        <v>4.8356457143981346E-2</v>
      </c>
      <c r="BS479" s="18">
        <v>5.0716390927760674E-3</v>
      </c>
      <c r="BT479" s="18">
        <v>2.1636433162647906E-2</v>
      </c>
      <c r="BU479" s="18">
        <v>-5.0772403892136025E-3</v>
      </c>
      <c r="BV479" s="18">
        <v>-1.5612353605246876E-2</v>
      </c>
      <c r="BW479" s="18">
        <v>-5.668233601198093E-2</v>
      </c>
      <c r="BX479" s="18">
        <v>-3.9683515068402231E-2</v>
      </c>
      <c r="BY479" s="18">
        <v>3.1952029449313996E-2</v>
      </c>
      <c r="BZ479" s="18">
        <v>2.8855601680567167E-3</v>
      </c>
      <c r="CA479" s="18">
        <v>-0.11635890278736188</v>
      </c>
      <c r="CB479" s="18">
        <v>-6.2408809796825337E-3</v>
      </c>
      <c r="CC479" s="18">
        <v>-5.622777337907392E-3</v>
      </c>
      <c r="CD479" s="18">
        <v>3.326220770761118E-2</v>
      </c>
      <c r="CE479" s="18">
        <v>4.306877368434843E-2</v>
      </c>
      <c r="CF479" s="18">
        <v>9.1649598850211178E-2</v>
      </c>
      <c r="CG479" s="18">
        <v>1.0730933095483272E-2</v>
      </c>
      <c r="CH479" s="18">
        <v>-9.5445292399553572E-2</v>
      </c>
      <c r="CI479" s="18">
        <v>-4.6202308398690661E-5</v>
      </c>
      <c r="CJ479" s="18">
        <v>4.7676479981709263E-2</v>
      </c>
      <c r="CK479" s="18">
        <v>6.7742638206975861E-2</v>
      </c>
      <c r="CL479" s="18">
        <v>-6.0430398337001173E-2</v>
      </c>
      <c r="CM479" s="18">
        <v>-8.5822953251497525E-2</v>
      </c>
      <c r="CN479" s="19">
        <v>2.7365846961233536E-2</v>
      </c>
    </row>
    <row r="480" spans="1:92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 t="str">
        <v>19.Change design</v>
      </c>
      <c r="AW480" s="25">
        <v>-1.9477305820314011E-2</v>
      </c>
      <c r="AX480" s="26">
        <v>1.3964794181994256E-2</v>
      </c>
      <c r="AY480" s="26">
        <v>3.9846739740267256E-2</v>
      </c>
      <c r="AZ480" s="18">
        <v>-3.861993308673578E-2</v>
      </c>
      <c r="BA480" s="18">
        <v>-7.3708955165492474E-2</v>
      </c>
      <c r="BB480" s="18">
        <v>7.1665965078637761E-4</v>
      </c>
      <c r="BC480" s="18">
        <v>4.8777346287415257E-3</v>
      </c>
      <c r="BD480" s="18">
        <v>2.8501727086754247E-2</v>
      </c>
      <c r="BE480" s="18">
        <v>4.7744491495119168E-3</v>
      </c>
      <c r="BF480" s="18">
        <v>-6.1732638635084158E-3</v>
      </c>
      <c r="BG480" s="18">
        <v>-2.4154136671291015E-2</v>
      </c>
      <c r="BH480" s="18">
        <v>1.4227948605818885E-3</v>
      </c>
      <c r="BI480" s="18">
        <v>-7.3591858620038808E-2</v>
      </c>
      <c r="BJ480" s="18">
        <v>6.2182406659650191E-3</v>
      </c>
      <c r="BK480" s="18">
        <v>-4.3879549845231014E-2</v>
      </c>
      <c r="BL480" s="18">
        <v>1.1196202055514803E-2</v>
      </c>
      <c r="BM480" s="18">
        <v>4.1631590020918319E-2</v>
      </c>
      <c r="BN480" s="18">
        <v>9.6827714623916511E-2</v>
      </c>
      <c r="BO480" s="18">
        <v>0.21140611369394302</v>
      </c>
      <c r="BP480" s="18">
        <v>8.1900218123740487E-3</v>
      </c>
      <c r="BQ480" s="18">
        <v>-3.2321740464156035E-2</v>
      </c>
      <c r="BR480" s="18">
        <v>7.5981328073000953E-3</v>
      </c>
      <c r="BS480" s="18">
        <v>-4.7422766279665907E-2</v>
      </c>
      <c r="BT480" s="18">
        <v>-4.9822369398225541E-3</v>
      </c>
      <c r="BU480" s="18">
        <v>-7.2790268427868621E-2</v>
      </c>
      <c r="BV480" s="18">
        <v>4.4865703934610479E-2</v>
      </c>
      <c r="BW480" s="18">
        <v>-3.451785104514693E-2</v>
      </c>
      <c r="BX480" s="18">
        <v>-3.6010014947961966E-3</v>
      </c>
      <c r="BY480" s="18">
        <v>-1.5261701040478332E-3</v>
      </c>
      <c r="BZ480" s="18">
        <v>1.2676296832533324E-2</v>
      </c>
      <c r="CA480" s="18">
        <v>-2.1242235686630695E-3</v>
      </c>
      <c r="CB480" s="18">
        <v>-2.6023971791275746E-2</v>
      </c>
      <c r="CC480" s="18">
        <v>-3.791221212594309E-2</v>
      </c>
      <c r="CD480" s="18">
        <v>1.1465813420110271E-2</v>
      </c>
      <c r="CE480" s="18">
        <v>4.0244342461421168E-2</v>
      </c>
      <c r="CF480" s="18">
        <v>7.2369963233522822E-2</v>
      </c>
      <c r="CG480" s="18">
        <v>4.3915188596243299E-2</v>
      </c>
      <c r="CH480" s="18">
        <v>-3.7016090668780699E-2</v>
      </c>
      <c r="CI480" s="18">
        <v>-2.160982395676192E-2</v>
      </c>
      <c r="CJ480" s="18">
        <v>-3.3079439495196705E-2</v>
      </c>
      <c r="CK480" s="18">
        <v>8.5712484148977031E-3</v>
      </c>
      <c r="CL480" s="18">
        <v>-1.9506321173842156E-2</v>
      </c>
      <c r="CM480" s="18">
        <v>-4.8524521579931895E-2</v>
      </c>
      <c r="CN480" s="19">
        <v>6.7158827343339556E-2</v>
      </c>
    </row>
    <row r="481" spans="1:92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 t="str">
        <v>20.Errors and omission in design</v>
      </c>
      <c r="AW481" s="25">
        <v>-1.9824931590554137E-2</v>
      </c>
      <c r="AX481" s="26">
        <v>-2.2505899346500657E-2</v>
      </c>
      <c r="AY481" s="26">
        <v>1.8167444868617044E-2</v>
      </c>
      <c r="AZ481" s="18">
        <v>-9.2794707070741056E-3</v>
      </c>
      <c r="BA481" s="18">
        <v>-3.8889593399941746E-2</v>
      </c>
      <c r="BB481" s="18">
        <v>-3.1428478761674566E-2</v>
      </c>
      <c r="BC481" s="18">
        <v>-3.0408596533149368E-2</v>
      </c>
      <c r="BD481" s="18">
        <v>3.8814134330655309E-2</v>
      </c>
      <c r="BE481" s="18">
        <v>8.4260051794652346E-3</v>
      </c>
      <c r="BF481" s="18">
        <v>4.7982125098147921E-2</v>
      </c>
      <c r="BG481" s="18">
        <v>2.063203898401933E-2</v>
      </c>
      <c r="BH481" s="18">
        <v>-1.4903170670613058E-2</v>
      </c>
      <c r="BI481" s="18">
        <v>-5.2124859324877759E-2</v>
      </c>
      <c r="BJ481" s="18">
        <v>1.4720119780115559E-3</v>
      </c>
      <c r="BK481" s="18">
        <v>-5.019728642794874E-3</v>
      </c>
      <c r="BL481" s="18">
        <v>-3.8724548877376808E-2</v>
      </c>
      <c r="BM481" s="18">
        <v>7.1828217604147371E-4</v>
      </c>
      <c r="BN481" s="18">
        <v>5.8637032290330252E-2</v>
      </c>
      <c r="BO481" s="18">
        <v>8.1900218123740487E-3</v>
      </c>
      <c r="BP481" s="18">
        <v>0.21348007298541538</v>
      </c>
      <c r="BQ481" s="18">
        <v>-2.1674935548642527E-2</v>
      </c>
      <c r="BR481" s="18">
        <v>-0.10174321553103927</v>
      </c>
      <c r="BS481" s="18">
        <v>-1.8834864529926554E-2</v>
      </c>
      <c r="BT481" s="18">
        <v>3.4647322645457279E-2</v>
      </c>
      <c r="BU481" s="18">
        <v>-7.63104571684734E-2</v>
      </c>
      <c r="BV481" s="18">
        <v>7.4205856905165679E-3</v>
      </c>
      <c r="BW481" s="18">
        <v>-4.5537790000612088E-2</v>
      </c>
      <c r="BX481" s="18">
        <v>4.7439348348698562E-2</v>
      </c>
      <c r="BY481" s="18">
        <v>8.0386288373615611E-4</v>
      </c>
      <c r="BZ481" s="18">
        <v>1.2142900515440674E-2</v>
      </c>
      <c r="CA481" s="18">
        <v>9.2926774436629112E-3</v>
      </c>
      <c r="CB481" s="18">
        <v>-4.3381576709648928E-2</v>
      </c>
      <c r="CC481" s="18">
        <v>1.9016867682998637E-2</v>
      </c>
      <c r="CD481" s="18">
        <v>1.8560301458077022E-2</v>
      </c>
      <c r="CE481" s="18">
        <v>1.3810111313303786E-2</v>
      </c>
      <c r="CF481" s="18">
        <v>6.4005008151285847E-2</v>
      </c>
      <c r="CG481" s="18">
        <v>1.2119803420059888E-2</v>
      </c>
      <c r="CH481" s="18">
        <v>-1.6461232412885871E-2</v>
      </c>
      <c r="CI481" s="18">
        <v>3.5217247480881661E-2</v>
      </c>
      <c r="CJ481" s="18">
        <v>6.6483619255567339E-3</v>
      </c>
      <c r="CK481" s="18">
        <v>-1.3130863063204434E-2</v>
      </c>
      <c r="CL481" s="18">
        <v>-4.7776862155954336E-3</v>
      </c>
      <c r="CM481" s="18">
        <v>-2.4345494590538724E-2</v>
      </c>
      <c r="CN481" s="19">
        <v>6.9805000212846136E-3</v>
      </c>
    </row>
    <row r="482" spans="1:92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 t="str">
        <v>21.Incomplete design drawings and specifications at tendering stage</v>
      </c>
      <c r="AW482" s="25">
        <v>4.0288512941084029E-2</v>
      </c>
      <c r="AX482" s="26">
        <v>-5.7514288671884663E-2</v>
      </c>
      <c r="AY482" s="26">
        <v>2.5789111219188837E-2</v>
      </c>
      <c r="AZ482" s="18">
        <v>5.3876974506593407E-2</v>
      </c>
      <c r="BA482" s="18">
        <v>2.8221452676224779E-5</v>
      </c>
      <c r="BB482" s="18">
        <v>-3.5358909452198287E-2</v>
      </c>
      <c r="BC482" s="18">
        <v>-3.2075222303185852E-2</v>
      </c>
      <c r="BD482" s="18">
        <v>-1.4237140024241757E-2</v>
      </c>
      <c r="BE482" s="18">
        <v>-6.2872668159720285E-2</v>
      </c>
      <c r="BF482" s="18">
        <v>-1.6850200128796788E-2</v>
      </c>
      <c r="BG482" s="18">
        <v>7.1908896394359462E-2</v>
      </c>
      <c r="BH482" s="18">
        <v>2.8685079466176822E-2</v>
      </c>
      <c r="BI482" s="18">
        <v>-9.9937252748575345E-3</v>
      </c>
      <c r="BJ482" s="18">
        <v>-4.6831430823701281E-2</v>
      </c>
      <c r="BK482" s="18">
        <v>-2.8821774312741688E-2</v>
      </c>
      <c r="BL482" s="18">
        <v>-5.850120021883326E-2</v>
      </c>
      <c r="BM482" s="18">
        <v>-1.6857660952713904E-2</v>
      </c>
      <c r="BN482" s="18">
        <v>-6.9149646444669477E-2</v>
      </c>
      <c r="BO482" s="18">
        <v>-3.2321740464156035E-2</v>
      </c>
      <c r="BP482" s="18">
        <v>-2.1674935548642527E-2</v>
      </c>
      <c r="BQ482" s="18">
        <v>0.22173246271264768</v>
      </c>
      <c r="BR482" s="18">
        <v>-4.8060425558360931E-2</v>
      </c>
      <c r="BS482" s="18">
        <v>-8.9918892274180484E-2</v>
      </c>
      <c r="BT482" s="18">
        <v>-3.5298841341131093E-2</v>
      </c>
      <c r="BU482" s="18">
        <v>-4.6945709142986625E-2</v>
      </c>
      <c r="BV482" s="18">
        <v>4.5353968834942415E-2</v>
      </c>
      <c r="BW482" s="18">
        <v>4.6733824790187284E-2</v>
      </c>
      <c r="BX482" s="18">
        <v>5.9043245358690932E-2</v>
      </c>
      <c r="BY482" s="18">
        <v>5.2587159295056918E-3</v>
      </c>
      <c r="BZ482" s="18">
        <v>2.4800768230901188E-2</v>
      </c>
      <c r="CA482" s="18">
        <v>-6.9549683513592253E-4</v>
      </c>
      <c r="CB482" s="18">
        <v>-1.9828673492094051E-2</v>
      </c>
      <c r="CC482" s="18">
        <v>9.3708458647113746E-3</v>
      </c>
      <c r="CD482" s="18">
        <v>4.6849462209664072E-2</v>
      </c>
      <c r="CE482" s="18">
        <v>2.1453703003646213E-2</v>
      </c>
      <c r="CF482" s="18">
        <v>-5.2133161516079392E-2</v>
      </c>
      <c r="CG482" s="18">
        <v>1.0703721238965597E-2</v>
      </c>
      <c r="CH482" s="18">
        <v>5.1601658554159546E-3</v>
      </c>
      <c r="CI482" s="18">
        <v>-3.3235247140526003E-2</v>
      </c>
      <c r="CJ482" s="18">
        <v>-4.4571849417571308E-2</v>
      </c>
      <c r="CK482" s="18">
        <v>-3.4083057902826563E-2</v>
      </c>
      <c r="CL482" s="18">
        <v>1.6836744032230344E-2</v>
      </c>
      <c r="CM482" s="18">
        <v>5.2512178697348144E-2</v>
      </c>
      <c r="CN482" s="19">
        <v>-7.016503528601975E-3</v>
      </c>
    </row>
    <row r="483" spans="1:92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 t="str">
        <v>22.Delay in preparation and approval of drawing</v>
      </c>
      <c r="AW483" s="25">
        <v>6.3337849977993438E-2</v>
      </c>
      <c r="AX483" s="26">
        <v>2.8645448073083064E-2</v>
      </c>
      <c r="AY483" s="26">
        <v>2.4378282462587386E-2</v>
      </c>
      <c r="AZ483" s="18">
        <v>-6.7515145966937848E-3</v>
      </c>
      <c r="BA483" s="18">
        <v>-3.4250062134018433E-2</v>
      </c>
      <c r="BB483" s="18">
        <v>3.762916243395089E-2</v>
      </c>
      <c r="BC483" s="18">
        <v>7.246176897611345E-2</v>
      </c>
      <c r="BD483" s="18">
        <v>-1.1210345432747224E-2</v>
      </c>
      <c r="BE483" s="18">
        <v>-2.0201258153197899E-2</v>
      </c>
      <c r="BF483" s="18">
        <v>-6.1362110285324539E-2</v>
      </c>
      <c r="BG483" s="18">
        <v>-2.4503679227662212E-2</v>
      </c>
      <c r="BH483" s="18">
        <v>2.4174579086154668E-2</v>
      </c>
      <c r="BI483" s="18">
        <v>4.2789922246255621E-2</v>
      </c>
      <c r="BJ483" s="18">
        <v>1.0253741329443677E-2</v>
      </c>
      <c r="BK483" s="18">
        <v>-1.037237812643016E-2</v>
      </c>
      <c r="BL483" s="18">
        <v>-1.0686436082005868E-2</v>
      </c>
      <c r="BM483" s="18">
        <v>5.3582421866939928E-2</v>
      </c>
      <c r="BN483" s="18">
        <v>4.8356457143981346E-2</v>
      </c>
      <c r="BO483" s="18">
        <v>7.5981328073000953E-3</v>
      </c>
      <c r="BP483" s="18">
        <v>-0.10174321553103927</v>
      </c>
      <c r="BQ483" s="18">
        <v>-4.8060425558360931E-2</v>
      </c>
      <c r="BR483" s="18">
        <v>0.38993513310834171</v>
      </c>
      <c r="BS483" s="18">
        <v>-1.0389026590025829E-3</v>
      </c>
      <c r="BT483" s="18">
        <v>-1.4027873310584846E-2</v>
      </c>
      <c r="BU483" s="18">
        <v>2.5563099427990177E-2</v>
      </c>
      <c r="BV483" s="18">
        <v>-2.0687643354841745E-2</v>
      </c>
      <c r="BW483" s="18">
        <v>-4.6769661405640428E-2</v>
      </c>
      <c r="BX483" s="18">
        <v>-9.7267558593259473E-2</v>
      </c>
      <c r="BY483" s="18">
        <v>-6.3245847392333576E-2</v>
      </c>
      <c r="BZ483" s="18">
        <v>4.2803777181758484E-2</v>
      </c>
      <c r="CA483" s="18">
        <v>-0.13755164874809478</v>
      </c>
      <c r="CB483" s="18">
        <v>-2.7656391914072265E-2</v>
      </c>
      <c r="CC483" s="18">
        <v>-1.2951935935286762E-2</v>
      </c>
      <c r="CD483" s="18">
        <v>3.3704811253588707E-3</v>
      </c>
      <c r="CE483" s="18">
        <v>3.6354287722082157E-2</v>
      </c>
      <c r="CF483" s="18">
        <v>-2.3796724878132707E-2</v>
      </c>
      <c r="CG483" s="18">
        <v>-6.6440514452600546E-2</v>
      </c>
      <c r="CH483" s="18">
        <v>-5.1963475557969707E-2</v>
      </c>
      <c r="CI483" s="18">
        <v>-8.3151895636709272E-2</v>
      </c>
      <c r="CJ483" s="18">
        <v>7.194031383725652E-3</v>
      </c>
      <c r="CK483" s="18">
        <v>8.3542276668960427E-2</v>
      </c>
      <c r="CL483" s="18">
        <v>9.9926365422347563E-3</v>
      </c>
      <c r="CM483" s="18">
        <v>-2.8661070455048079E-3</v>
      </c>
      <c r="CN483" s="19">
        <v>4.1182692917252212E-2</v>
      </c>
    </row>
    <row r="484" spans="1:92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 t="str">
        <v>23.Inaccurate quantity take-off</v>
      </c>
      <c r="AW484" s="25">
        <v>-3.7394880740870884E-2</v>
      </c>
      <c r="AX484" s="26">
        <v>2.6767464698347392E-2</v>
      </c>
      <c r="AY484" s="26">
        <v>-8.6954283312975028E-2</v>
      </c>
      <c r="AZ484" s="18">
        <v>1.4416183960582966E-2</v>
      </c>
      <c r="BA484" s="18">
        <v>2.4452157910063888E-2</v>
      </c>
      <c r="BB484" s="18">
        <v>4.0845625633216115E-2</v>
      </c>
      <c r="BC484" s="18">
        <v>1.0596928574860096E-2</v>
      </c>
      <c r="BD484" s="18">
        <v>2.3456546870306398E-2</v>
      </c>
      <c r="BE484" s="18">
        <v>3.2564143683572355E-2</v>
      </c>
      <c r="BF484" s="18">
        <v>4.4894410752944036E-2</v>
      </c>
      <c r="BG484" s="18">
        <v>-2.2076448495974718E-2</v>
      </c>
      <c r="BH484" s="18">
        <v>7.9809105665698821E-3</v>
      </c>
      <c r="BI484" s="18">
        <v>3.4737845015525626E-2</v>
      </c>
      <c r="BJ484" s="18">
        <v>2.474502422416467E-2</v>
      </c>
      <c r="BK484" s="18">
        <v>1.0149882320316578E-2</v>
      </c>
      <c r="BL484" s="18">
        <v>1.5221656598094435E-2</v>
      </c>
      <c r="BM484" s="18">
        <v>3.8549730923693737E-3</v>
      </c>
      <c r="BN484" s="18">
        <v>5.0716390927760674E-3</v>
      </c>
      <c r="BO484" s="18">
        <v>-4.7422766279665907E-2</v>
      </c>
      <c r="BP484" s="18">
        <v>-1.8834864529926554E-2</v>
      </c>
      <c r="BQ484" s="18">
        <v>-8.9918892274180484E-2</v>
      </c>
      <c r="BR484" s="18">
        <v>-1.0389026590025829E-3</v>
      </c>
      <c r="BS484" s="18">
        <v>0.24814870671616318</v>
      </c>
      <c r="BT484" s="18">
        <v>-2.0998230928907347E-2</v>
      </c>
      <c r="BU484" s="18">
        <v>2.521536132687302E-2</v>
      </c>
      <c r="BV484" s="18">
        <v>-7.0313501298108871E-2</v>
      </c>
      <c r="BW484" s="18">
        <v>-5.003283081235671E-2</v>
      </c>
      <c r="BX484" s="18">
        <v>-5.356110094478847E-2</v>
      </c>
      <c r="BY484" s="18">
        <v>-3.9476237231433065E-3</v>
      </c>
      <c r="BZ484" s="18">
        <v>1.5115973114231351E-2</v>
      </c>
      <c r="CA484" s="18">
        <v>1.5119726978311598E-2</v>
      </c>
      <c r="CB484" s="18">
        <v>-2.3283957995965276E-2</v>
      </c>
      <c r="CC484" s="18">
        <v>7.6435729552104203E-2</v>
      </c>
      <c r="CD484" s="18">
        <v>-1.4093493032126869E-2</v>
      </c>
      <c r="CE484" s="18">
        <v>-4.9980046745390971E-2</v>
      </c>
      <c r="CF484" s="18">
        <v>-3.5191350884565265E-3</v>
      </c>
      <c r="CG484" s="18">
        <v>1.6602097487286624E-2</v>
      </c>
      <c r="CH484" s="18">
        <v>-3.2846393613173833E-2</v>
      </c>
      <c r="CI484" s="18">
        <v>5.1390667779377619E-2</v>
      </c>
      <c r="CJ484" s="18">
        <v>1.6295425970016049E-2</v>
      </c>
      <c r="CK484" s="18">
        <v>3.8924559278624704E-3</v>
      </c>
      <c r="CL484" s="18">
        <v>-4.9377856436384704E-2</v>
      </c>
      <c r="CM484" s="18">
        <v>-7.5129508810330703E-3</v>
      </c>
      <c r="CN484" s="19">
        <v>-2.5729886192654476E-2</v>
      </c>
    </row>
    <row r="485" spans="1:92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 t="str">
        <v>24.Long period from planning of project to construction</v>
      </c>
      <c r="AW485" s="25">
        <v>9.1456420308531253E-2</v>
      </c>
      <c r="AX485" s="26">
        <v>3.55359378826254E-2</v>
      </c>
      <c r="AY485" s="26">
        <v>-6.8489970958673901E-2</v>
      </c>
      <c r="AZ485" s="18">
        <v>-6.5377946289854633E-2</v>
      </c>
      <c r="BA485" s="18">
        <v>-8.3280212325295006E-2</v>
      </c>
      <c r="BB485" s="18">
        <v>-1.5624731274223126E-2</v>
      </c>
      <c r="BC485" s="18">
        <v>-5.1030973072748495E-2</v>
      </c>
      <c r="BD485" s="18">
        <v>7.940846398698001E-2</v>
      </c>
      <c r="BE485" s="18">
        <v>6.4714557282835178E-2</v>
      </c>
      <c r="BF485" s="18">
        <v>0.12444116740758214</v>
      </c>
      <c r="BG485" s="18">
        <v>1.0884707884420336E-2</v>
      </c>
      <c r="BH485" s="18">
        <v>3.5279095243935188E-2</v>
      </c>
      <c r="BI485" s="18">
        <v>-8.4111566616474731E-2</v>
      </c>
      <c r="BJ485" s="18">
        <v>-2.069340150657005E-2</v>
      </c>
      <c r="BK485" s="18">
        <v>1.3586532715798974E-2</v>
      </c>
      <c r="BL485" s="18">
        <v>-1.6536998730819291E-2</v>
      </c>
      <c r="BM485" s="18">
        <v>6.3662125484801324E-2</v>
      </c>
      <c r="BN485" s="18">
        <v>2.1636433162647906E-2</v>
      </c>
      <c r="BO485" s="18">
        <v>-4.9822369398225541E-3</v>
      </c>
      <c r="BP485" s="18">
        <v>3.4647322645457279E-2</v>
      </c>
      <c r="BQ485" s="18">
        <v>-3.5298841341131093E-2</v>
      </c>
      <c r="BR485" s="18">
        <v>-1.4027873310584846E-2</v>
      </c>
      <c r="BS485" s="18">
        <v>-2.0998230928907347E-2</v>
      </c>
      <c r="BT485" s="18">
        <v>0.3279440993687488</v>
      </c>
      <c r="BU485" s="18">
        <v>4.3560931377830681E-3</v>
      </c>
      <c r="BV485" s="18">
        <v>-4.0105508487936342E-2</v>
      </c>
      <c r="BW485" s="18">
        <v>-3.6937564930344918E-2</v>
      </c>
      <c r="BX485" s="18">
        <v>1.9515175918049927E-2</v>
      </c>
      <c r="BY485" s="18">
        <v>2.2423881956539937E-2</v>
      </c>
      <c r="BZ485" s="18">
        <v>-0.15525246029207179</v>
      </c>
      <c r="CA485" s="18">
        <v>-2.4211118904394008E-2</v>
      </c>
      <c r="CB485" s="18">
        <v>1.7177223834363875E-2</v>
      </c>
      <c r="CC485" s="18">
        <v>6.3657981560800242E-2</v>
      </c>
      <c r="CD485" s="18">
        <v>-3.9720868754116873E-3</v>
      </c>
      <c r="CE485" s="18">
        <v>2.2537444965591874E-2</v>
      </c>
      <c r="CF485" s="18">
        <v>-4.1986939216827751E-2</v>
      </c>
      <c r="CG485" s="18">
        <v>-6.6820400596898658E-2</v>
      </c>
      <c r="CH485" s="18">
        <v>1.4478471440924956E-2</v>
      </c>
      <c r="CI485" s="18">
        <v>-3.1610951432211459E-3</v>
      </c>
      <c r="CJ485" s="18">
        <v>6.6318295921851789E-2</v>
      </c>
      <c r="CK485" s="18">
        <v>-6.2508182768168649E-2</v>
      </c>
      <c r="CL485" s="18">
        <v>-2.7602470827229331E-3</v>
      </c>
      <c r="CM485" s="18">
        <v>8.0486829841822094E-4</v>
      </c>
      <c r="CN485" s="19">
        <v>-4.2564858034132999E-2</v>
      </c>
    </row>
    <row r="486" spans="1:92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 t="str">
        <v>25.Delays in issuing information to the contractor during construction stage</v>
      </c>
      <c r="AW486" s="25">
        <v>5.7707040518605451E-2</v>
      </c>
      <c r="AX486" s="26">
        <v>2.5147727087510646E-2</v>
      </c>
      <c r="AY486" s="26">
        <v>-3.8284393651986527E-2</v>
      </c>
      <c r="AZ486" s="18">
        <v>2.0916839035434731E-2</v>
      </c>
      <c r="BA486" s="18">
        <v>-1.3686150917060158E-2</v>
      </c>
      <c r="BB486" s="18">
        <v>5.3898549890453118E-2</v>
      </c>
      <c r="BC486" s="18">
        <v>-4.6086376354433911E-3</v>
      </c>
      <c r="BD486" s="18">
        <v>3.6773934734533997E-2</v>
      </c>
      <c r="BE486" s="18">
        <v>-4.4021473983085591E-2</v>
      </c>
      <c r="BF486" s="18">
        <v>-7.8905488701023208E-3</v>
      </c>
      <c r="BG486" s="18">
        <v>-1.8937307951713556E-2</v>
      </c>
      <c r="BH486" s="18">
        <v>-8.8979314579077373E-3</v>
      </c>
      <c r="BI486" s="18">
        <v>3.9971396478501675E-2</v>
      </c>
      <c r="BJ486" s="18">
        <v>-2.6872363335556815E-2</v>
      </c>
      <c r="BK486" s="18">
        <v>1.4070442939153049E-2</v>
      </c>
      <c r="BL486" s="18">
        <v>1.1347376819123678E-2</v>
      </c>
      <c r="BM486" s="18">
        <v>-3.2105724056353258E-3</v>
      </c>
      <c r="BN486" s="18">
        <v>-5.0772403892136025E-3</v>
      </c>
      <c r="BO486" s="18">
        <v>-7.2790268427868621E-2</v>
      </c>
      <c r="BP486" s="18">
        <v>-7.63104571684734E-2</v>
      </c>
      <c r="BQ486" s="18">
        <v>-4.6945709142986625E-2</v>
      </c>
      <c r="BR486" s="18">
        <v>2.5563099427990177E-2</v>
      </c>
      <c r="BS486" s="18">
        <v>2.521536132687302E-2</v>
      </c>
      <c r="BT486" s="18">
        <v>4.3560931377830681E-3</v>
      </c>
      <c r="BU486" s="18">
        <v>0.27074031813907762</v>
      </c>
      <c r="BV486" s="18">
        <v>-1.2962918623772746E-2</v>
      </c>
      <c r="BW486" s="18">
        <v>-1.4365653599915928E-3</v>
      </c>
      <c r="BX486" s="18">
        <v>-7.4115838552761992E-2</v>
      </c>
      <c r="BY486" s="18">
        <v>-2.9880988614094606E-2</v>
      </c>
      <c r="BZ486" s="18">
        <v>-7.9166165661494092E-2</v>
      </c>
      <c r="CA486" s="18">
        <v>1.7088536437314505E-2</v>
      </c>
      <c r="CB486" s="18">
        <v>-3.6040987270388514E-2</v>
      </c>
      <c r="CC486" s="18">
        <v>-6.4642989025287367E-2</v>
      </c>
      <c r="CD486" s="18">
        <v>1.3535164054037652E-3</v>
      </c>
      <c r="CE486" s="18">
        <v>-4.3588179136196559E-2</v>
      </c>
      <c r="CF486" s="18">
        <v>-5.9783045510064053E-2</v>
      </c>
      <c r="CG486" s="18">
        <v>2.6529323981170527E-2</v>
      </c>
      <c r="CH486" s="18">
        <v>6.4508048910351196E-2</v>
      </c>
      <c r="CI486" s="18">
        <v>1.5824011939242391E-2</v>
      </c>
      <c r="CJ486" s="18">
        <v>3.7850183082877978E-2</v>
      </c>
      <c r="CK486" s="18">
        <v>2.237185274275319E-2</v>
      </c>
      <c r="CL486" s="18">
        <v>2.0847648106652128E-2</v>
      </c>
      <c r="CM486" s="18">
        <v>-7.9869180607808621E-3</v>
      </c>
      <c r="CN486" s="19">
        <v>-5.8038821293303955E-2</v>
      </c>
    </row>
    <row r="487" spans="1:92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 t="str">
        <v>26.No practical use of earned value management system</v>
      </c>
      <c r="AW487" s="25">
        <v>4.4982173840357742E-2</v>
      </c>
      <c r="AX487" s="26">
        <v>5.3797896511030771E-3</v>
      </c>
      <c r="AY487" s="26">
        <v>-1.8004884114099784E-2</v>
      </c>
      <c r="AZ487" s="18">
        <v>-1.3750291657439351E-2</v>
      </c>
      <c r="BA487" s="18">
        <v>1.3707028376632235E-2</v>
      </c>
      <c r="BB487" s="18">
        <v>-1.5233454165631655E-2</v>
      </c>
      <c r="BC487" s="18">
        <v>-1.5550433917272066E-2</v>
      </c>
      <c r="BD487" s="18">
        <v>6.0651878796372849E-2</v>
      </c>
      <c r="BE487" s="18">
        <v>-1.5946640736815287E-2</v>
      </c>
      <c r="BF487" s="18">
        <v>-4.5460957801241098E-2</v>
      </c>
      <c r="BG487" s="18">
        <v>4.044515276413635E-2</v>
      </c>
      <c r="BH487" s="18">
        <v>-8.7923474369329679E-3</v>
      </c>
      <c r="BI487" s="18">
        <v>-1.4973223606064789E-2</v>
      </c>
      <c r="BJ487" s="18">
        <v>2.5627212375834707E-2</v>
      </c>
      <c r="BK487" s="18">
        <v>-1.5872229123674947E-2</v>
      </c>
      <c r="BL487" s="18">
        <v>-3.9577900226972496E-4</v>
      </c>
      <c r="BM487" s="18">
        <v>-6.4560305498687354E-2</v>
      </c>
      <c r="BN487" s="18">
        <v>-1.5612353605246876E-2</v>
      </c>
      <c r="BO487" s="18">
        <v>4.4865703934610479E-2</v>
      </c>
      <c r="BP487" s="18">
        <v>7.4205856905165679E-3</v>
      </c>
      <c r="BQ487" s="18">
        <v>4.5353968834942415E-2</v>
      </c>
      <c r="BR487" s="18">
        <v>-2.0687643354841745E-2</v>
      </c>
      <c r="BS487" s="18">
        <v>-7.0313501298108871E-2</v>
      </c>
      <c r="BT487" s="18">
        <v>-4.0105508487936342E-2</v>
      </c>
      <c r="BU487" s="18">
        <v>-1.2962918623772746E-2</v>
      </c>
      <c r="BV487" s="18">
        <v>0.26461708695306196</v>
      </c>
      <c r="BW487" s="18">
        <v>2.0108866725372376E-3</v>
      </c>
      <c r="BX487" s="18">
        <v>-2.2709195044630981E-2</v>
      </c>
      <c r="BY487" s="18">
        <v>-8.6284979898288816E-2</v>
      </c>
      <c r="BZ487" s="18">
        <v>1.3740230970860801E-2</v>
      </c>
      <c r="CA487" s="18">
        <v>-2.7794138516373468E-2</v>
      </c>
      <c r="CB487" s="18">
        <v>-9.1065133117710861E-2</v>
      </c>
      <c r="CC487" s="18">
        <v>-7.8178476286422258E-2</v>
      </c>
      <c r="CD487" s="18">
        <v>-4.617951185220126E-3</v>
      </c>
      <c r="CE487" s="18">
        <v>2.6302826143737912E-2</v>
      </c>
      <c r="CF487" s="18">
        <v>7.7138400186721467E-5</v>
      </c>
      <c r="CG487" s="18">
        <v>9.2508066147773724E-2</v>
      </c>
      <c r="CH487" s="18">
        <v>-2.9113465477203948E-2</v>
      </c>
      <c r="CI487" s="18">
        <v>-4.4121356336895207E-2</v>
      </c>
      <c r="CJ487" s="18">
        <v>-9.6478342786481541E-3</v>
      </c>
      <c r="CK487" s="18">
        <v>-1.9427207085953579E-2</v>
      </c>
      <c r="CL487" s="18">
        <v>-4.7083383802903722E-2</v>
      </c>
      <c r="CM487" s="18">
        <v>9.9028301871640634E-3</v>
      </c>
      <c r="CN487" s="19">
        <v>4.939345220488342E-2</v>
      </c>
    </row>
    <row r="488" spans="1:92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 t="str">
        <v>27.Lack of cost planning/monitoring during pre and post contract stage</v>
      </c>
      <c r="AW488" s="25">
        <v>-2.3066600133379855E-2</v>
      </c>
      <c r="AX488" s="26">
        <v>-1.8056593657680142E-3</v>
      </c>
      <c r="AY488" s="26">
        <v>-7.2672039782678832E-3</v>
      </c>
      <c r="AZ488" s="18">
        <v>2.6931242416374512E-2</v>
      </c>
      <c r="BA488" s="18">
        <v>-7.6650235281497392E-3</v>
      </c>
      <c r="BB488" s="18">
        <v>-2.7652480674231261E-2</v>
      </c>
      <c r="BC488" s="18">
        <v>-1.8623846280495404E-2</v>
      </c>
      <c r="BD488" s="18">
        <v>-3.9325740105453921E-2</v>
      </c>
      <c r="BE488" s="18">
        <v>-2.9490343276340314E-2</v>
      </c>
      <c r="BF488" s="18">
        <v>2.7082135843980781E-2</v>
      </c>
      <c r="BG488" s="18">
        <v>-4.5329519963128728E-3</v>
      </c>
      <c r="BH488" s="18">
        <v>1.5337969515620997E-2</v>
      </c>
      <c r="BI488" s="18">
        <v>3.4084363204852253E-2</v>
      </c>
      <c r="BJ488" s="18">
        <v>-1.4793944621458194E-2</v>
      </c>
      <c r="BK488" s="18">
        <v>4.8843846255400281E-3</v>
      </c>
      <c r="BL488" s="18">
        <v>-1.5124599099082814E-2</v>
      </c>
      <c r="BM488" s="18">
        <v>-2.2862619498812853E-2</v>
      </c>
      <c r="BN488" s="18">
        <v>-5.668233601198093E-2</v>
      </c>
      <c r="BO488" s="18">
        <v>-3.451785104514693E-2</v>
      </c>
      <c r="BP488" s="18">
        <v>-4.5537790000612088E-2</v>
      </c>
      <c r="BQ488" s="18">
        <v>4.6733824790187284E-2</v>
      </c>
      <c r="BR488" s="18">
        <v>-4.6769661405640428E-2</v>
      </c>
      <c r="BS488" s="18">
        <v>-5.003283081235671E-2</v>
      </c>
      <c r="BT488" s="18">
        <v>-3.6937564930344918E-2</v>
      </c>
      <c r="BU488" s="18">
        <v>-1.4365653599915928E-3</v>
      </c>
      <c r="BV488" s="18">
        <v>2.0108866725372376E-3</v>
      </c>
      <c r="BW488" s="18">
        <v>0.2358687354525052</v>
      </c>
      <c r="BX488" s="18">
        <v>-6.5227474222824267E-3</v>
      </c>
      <c r="BY488" s="18">
        <v>-3.7614828794595656E-2</v>
      </c>
      <c r="BZ488" s="18">
        <v>6.1694087488994853E-4</v>
      </c>
      <c r="CA488" s="18">
        <v>9.0191238356346903E-3</v>
      </c>
      <c r="CB488" s="18">
        <v>-4.1617825081126103E-3</v>
      </c>
      <c r="CC488" s="18">
        <v>2.7434508172042515E-2</v>
      </c>
      <c r="CD488" s="18">
        <v>-2.2489703293739116E-2</v>
      </c>
      <c r="CE488" s="18">
        <v>-4.1776678071305584E-2</v>
      </c>
      <c r="CF488" s="18">
        <v>-6.3574699085583275E-2</v>
      </c>
      <c r="CG488" s="18">
        <v>-7.8188917346747405E-2</v>
      </c>
      <c r="CH488" s="18">
        <v>4.3522367344830615E-2</v>
      </c>
      <c r="CI488" s="18">
        <v>2.7817606293430552E-2</v>
      </c>
      <c r="CJ488" s="18">
        <v>-4.2065743930736033E-2</v>
      </c>
      <c r="CK488" s="18">
        <v>-1.014229745680767E-2</v>
      </c>
      <c r="CL488" s="18">
        <v>5.288458352572778E-2</v>
      </c>
      <c r="CM488" s="18">
        <v>8.1282557112467207E-2</v>
      </c>
      <c r="CN488" s="19">
        <v>-2.9672046499218396E-4</v>
      </c>
    </row>
    <row r="489" spans="1:92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 t="str">
        <v>28.Poor communication between client, consultant and contractor</v>
      </c>
      <c r="AW489" s="25">
        <v>-2.2369526791703676E-2</v>
      </c>
      <c r="AX489" s="26">
        <v>-6.8759083763811901E-3</v>
      </c>
      <c r="AY489" s="26">
        <v>1.1347048283811556E-2</v>
      </c>
      <c r="AZ489" s="18">
        <v>1.9319556309950692E-2</v>
      </c>
      <c r="BA489" s="18">
        <v>3.5038657010317997E-2</v>
      </c>
      <c r="BB489" s="18">
        <v>-0.10584855859158482</v>
      </c>
      <c r="BC489" s="18">
        <v>-2.9385201553336238E-2</v>
      </c>
      <c r="BD489" s="18">
        <v>-7.5733315019570202E-2</v>
      </c>
      <c r="BE489" s="18">
        <v>4.9030136028623827E-3</v>
      </c>
      <c r="BF489" s="18">
        <v>-2.5634019209733516E-2</v>
      </c>
      <c r="BG489" s="18">
        <v>5.6870879188244516E-2</v>
      </c>
      <c r="BH489" s="18">
        <v>-1.5594529483627828E-2</v>
      </c>
      <c r="BI489" s="18">
        <v>-1.4194505110501687E-2</v>
      </c>
      <c r="BJ489" s="18">
        <v>9.0160162994492588E-3</v>
      </c>
      <c r="BK489" s="18">
        <v>-2.3800132254467088E-2</v>
      </c>
      <c r="BL489" s="18">
        <v>-4.9323885509972021E-3</v>
      </c>
      <c r="BM489" s="18">
        <v>-4.6275154854068579E-2</v>
      </c>
      <c r="BN489" s="18">
        <v>-3.9683515068402231E-2</v>
      </c>
      <c r="BO489" s="18">
        <v>-3.6010014947961966E-3</v>
      </c>
      <c r="BP489" s="18">
        <v>4.7439348348698562E-2</v>
      </c>
      <c r="BQ489" s="18">
        <v>5.9043245358690932E-2</v>
      </c>
      <c r="BR489" s="18">
        <v>-9.7267558593259473E-2</v>
      </c>
      <c r="BS489" s="18">
        <v>-5.356110094478847E-2</v>
      </c>
      <c r="BT489" s="18">
        <v>1.9515175918049927E-2</v>
      </c>
      <c r="BU489" s="18">
        <v>-7.4115838552761992E-2</v>
      </c>
      <c r="BV489" s="18">
        <v>-2.2709195044630981E-2</v>
      </c>
      <c r="BW489" s="18">
        <v>-6.5227474222824267E-3</v>
      </c>
      <c r="BX489" s="18">
        <v>0.25106152317166586</v>
      </c>
      <c r="BY489" s="18">
        <v>2.0352009524369885E-2</v>
      </c>
      <c r="BZ489" s="18">
        <v>6.6156960862235326E-3</v>
      </c>
      <c r="CA489" s="18">
        <v>1.6014702702371875E-2</v>
      </c>
      <c r="CB489" s="18">
        <v>6.9127253954976431E-3</v>
      </c>
      <c r="CC489" s="18">
        <v>6.507487480768076E-2</v>
      </c>
      <c r="CD489" s="18">
        <v>7.3423333437661609E-3</v>
      </c>
      <c r="CE489" s="18">
        <v>2.7560491274692789E-2</v>
      </c>
      <c r="CF489" s="18">
        <v>1.9477665899818392E-2</v>
      </c>
      <c r="CG489" s="18">
        <v>-4.0897094814037332E-2</v>
      </c>
      <c r="CH489" s="18">
        <v>-5.9047880191511859E-2</v>
      </c>
      <c r="CI489" s="18">
        <v>2.2787739951871111E-2</v>
      </c>
      <c r="CJ489" s="18">
        <v>3.5837967279258531E-2</v>
      </c>
      <c r="CK489" s="18">
        <v>1.6964827112495029E-4</v>
      </c>
      <c r="CL489" s="18">
        <v>-3.3031857860799319E-2</v>
      </c>
      <c r="CM489" s="18">
        <v>4.8385784397305925E-2</v>
      </c>
      <c r="CN489" s="19">
        <v>-3.090473972041724E-2</v>
      </c>
    </row>
    <row r="490" spans="1:92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 t="str">
        <v>29.Insufficient coordination between local authority who is responsible about road projects and service authorities</v>
      </c>
      <c r="AW490" s="25">
        <v>-1.4407009068121507E-2</v>
      </c>
      <c r="AX490" s="26">
        <v>3.8516517046839165E-2</v>
      </c>
      <c r="AY490" s="26">
        <v>4.488407583404852E-2</v>
      </c>
      <c r="AZ490" s="18">
        <v>-1.5616701221167151E-2</v>
      </c>
      <c r="BA490" s="18">
        <v>3.1734281475950477E-2</v>
      </c>
      <c r="BB490" s="18">
        <v>-2.9789324531623362E-2</v>
      </c>
      <c r="BC490" s="18">
        <v>-4.3733048584839118E-2</v>
      </c>
      <c r="BD490" s="18">
        <v>-6.797524944473371E-2</v>
      </c>
      <c r="BE490" s="18">
        <v>-9.6354257295276913E-3</v>
      </c>
      <c r="BF490" s="18">
        <v>-3.3897619542100521E-2</v>
      </c>
      <c r="BG490" s="18">
        <v>2.3553660590104331E-3</v>
      </c>
      <c r="BH490" s="18">
        <v>-7.1686529678666733E-3</v>
      </c>
      <c r="BI490" s="18">
        <v>-4.3716044695394862E-2</v>
      </c>
      <c r="BJ490" s="18">
        <v>-6.0422692073614226E-2</v>
      </c>
      <c r="BK490" s="18">
        <v>4.3293544427682323E-2</v>
      </c>
      <c r="BL490" s="18">
        <v>5.3056687572916816E-2</v>
      </c>
      <c r="BM490" s="18">
        <v>-1.6169720729733439E-4</v>
      </c>
      <c r="BN490" s="18">
        <v>3.1952029449313996E-2</v>
      </c>
      <c r="BO490" s="18">
        <v>-1.5261701040478332E-3</v>
      </c>
      <c r="BP490" s="18">
        <v>8.0386288373615611E-4</v>
      </c>
      <c r="BQ490" s="18">
        <v>5.2587159295056918E-3</v>
      </c>
      <c r="BR490" s="18">
        <v>-6.3245847392333576E-2</v>
      </c>
      <c r="BS490" s="18">
        <v>-3.9476237231433065E-3</v>
      </c>
      <c r="BT490" s="18">
        <v>2.2423881956539937E-2</v>
      </c>
      <c r="BU490" s="18">
        <v>-2.9880988614094606E-2</v>
      </c>
      <c r="BV490" s="18">
        <v>-8.6284979898288816E-2</v>
      </c>
      <c r="BW490" s="18">
        <v>-3.7614828794595656E-2</v>
      </c>
      <c r="BX490" s="18">
        <v>2.0352009524369885E-2</v>
      </c>
      <c r="BY490" s="18">
        <v>0.22751444035876511</v>
      </c>
      <c r="BZ490" s="18">
        <v>-4.6095863383945279E-2</v>
      </c>
      <c r="CA490" s="18">
        <v>-5.1673289365759489E-2</v>
      </c>
      <c r="CB490" s="18">
        <v>4.3641309957342521E-2</v>
      </c>
      <c r="CC490" s="18">
        <v>7.4335313520156876E-2</v>
      </c>
      <c r="CD490" s="18">
        <v>5.6661508814623091E-2</v>
      </c>
      <c r="CE490" s="18">
        <v>6.1578834255808346E-2</v>
      </c>
      <c r="CF490" s="18">
        <v>-2.8245048482865548E-2</v>
      </c>
      <c r="CG490" s="18">
        <v>-4.2368857492040279E-2</v>
      </c>
      <c r="CH490" s="18">
        <v>1.8668035940499983E-2</v>
      </c>
      <c r="CI490" s="18">
        <v>3.2874983595528984E-2</v>
      </c>
      <c r="CJ490" s="18">
        <v>2.3173039588668121E-3</v>
      </c>
      <c r="CK490" s="18">
        <v>-6.1487855675892572E-3</v>
      </c>
      <c r="CL490" s="18">
        <v>8.4828377011878509E-3</v>
      </c>
      <c r="CM490" s="18">
        <v>2.6941320560081732E-2</v>
      </c>
      <c r="CN490" s="19">
        <v>-4.4055907027709784E-2</v>
      </c>
    </row>
    <row r="491" spans="1:92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 t="str">
        <v>30.Delays in decisions making by the approval authorities</v>
      </c>
      <c r="AW491" s="25">
        <v>5.6678537728706388E-2</v>
      </c>
      <c r="AX491" s="26">
        <v>-3.5006750135577927E-2</v>
      </c>
      <c r="AY491" s="26">
        <v>-2.0290867641438295E-2</v>
      </c>
      <c r="AZ491" s="18">
        <v>0.10383251525969228</v>
      </c>
      <c r="BA491" s="18">
        <v>-1.0746621379494795E-2</v>
      </c>
      <c r="BB491" s="18">
        <v>-9.6048986607457781E-3</v>
      </c>
      <c r="BC491" s="18">
        <v>5.1450563156426543E-2</v>
      </c>
      <c r="BD491" s="18">
        <v>-2.6836371520330249E-2</v>
      </c>
      <c r="BE491" s="18">
        <v>3.9239644581551894E-3</v>
      </c>
      <c r="BF491" s="18">
        <v>-5.0397680447448051E-2</v>
      </c>
      <c r="BG491" s="18">
        <v>-1.3532458288430166E-2</v>
      </c>
      <c r="BH491" s="18">
        <v>-5.4081084711691305E-2</v>
      </c>
      <c r="BI491" s="18">
        <v>-4.5384228887035971E-3</v>
      </c>
      <c r="BJ491" s="18">
        <v>-5.2331660975413807E-2</v>
      </c>
      <c r="BK491" s="18">
        <v>1.4590760872001396E-3</v>
      </c>
      <c r="BL491" s="18">
        <v>-1.7806832919373683E-3</v>
      </c>
      <c r="BM491" s="18">
        <v>-7.3600253469591204E-3</v>
      </c>
      <c r="BN491" s="18">
        <v>2.8855601680567167E-3</v>
      </c>
      <c r="BO491" s="18">
        <v>1.2676296832533324E-2</v>
      </c>
      <c r="BP491" s="18">
        <v>1.2142900515440674E-2</v>
      </c>
      <c r="BQ491" s="18">
        <v>2.4800768230901188E-2</v>
      </c>
      <c r="BR491" s="18">
        <v>4.2803777181758484E-2</v>
      </c>
      <c r="BS491" s="18">
        <v>1.5115973114231351E-2</v>
      </c>
      <c r="BT491" s="18">
        <v>-0.15525246029207179</v>
      </c>
      <c r="BU491" s="18">
        <v>-7.9166165661494092E-2</v>
      </c>
      <c r="BV491" s="18">
        <v>1.3740230970860801E-2</v>
      </c>
      <c r="BW491" s="18">
        <v>6.1694087488994853E-4</v>
      </c>
      <c r="BX491" s="18">
        <v>6.6156960862235326E-3</v>
      </c>
      <c r="BY491" s="18">
        <v>-4.6095863383945279E-2</v>
      </c>
      <c r="BZ491" s="18">
        <v>0.32227956929074542</v>
      </c>
      <c r="CA491" s="18">
        <v>-3.2026005558104698E-2</v>
      </c>
      <c r="CB491" s="18">
        <v>2.8203108701559895E-2</v>
      </c>
      <c r="CC491" s="18">
        <v>-3.2402620893147327E-2</v>
      </c>
      <c r="CD491" s="18">
        <v>-4.8564199197269314E-2</v>
      </c>
      <c r="CE491" s="18">
        <v>-3.2936925167575543E-2</v>
      </c>
      <c r="CF491" s="18">
        <v>-5.7307447243731546E-3</v>
      </c>
      <c r="CG491" s="18">
        <v>-5.2653647327259995E-2</v>
      </c>
      <c r="CH491" s="18">
        <v>-4.5049342029846257E-2</v>
      </c>
      <c r="CI491" s="18">
        <v>4.3893367134534844E-3</v>
      </c>
      <c r="CJ491" s="18">
        <v>5.3177532518297044E-3</v>
      </c>
      <c r="CK491" s="18">
        <v>0.11680402138274198</v>
      </c>
      <c r="CL491" s="18">
        <v>2.4214051246991442E-2</v>
      </c>
      <c r="CM491" s="18">
        <v>2.6024878473484864E-2</v>
      </c>
      <c r="CN491" s="19">
        <v>-8.1502395205859945E-2</v>
      </c>
    </row>
    <row r="492" spans="1:92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 t="str">
        <v>31.Change schedule</v>
      </c>
      <c r="AW492" s="25">
        <v>-5.1059257682373904E-2</v>
      </c>
      <c r="AX492" s="26">
        <v>2.3563388618803263E-2</v>
      </c>
      <c r="AY492" s="26">
        <v>3.1232532134061478E-2</v>
      </c>
      <c r="AZ492" s="18">
        <v>-9.8455387701881503E-3</v>
      </c>
      <c r="BA492" s="18">
        <v>-8.5080729109574343E-2</v>
      </c>
      <c r="BB492" s="18">
        <v>5.4564077575759096E-2</v>
      </c>
      <c r="BC492" s="18">
        <v>-8.313185319486549E-3</v>
      </c>
      <c r="BD492" s="18">
        <v>4.6614297471107458E-2</v>
      </c>
      <c r="BE492" s="18">
        <v>3.135411829018056E-2</v>
      </c>
      <c r="BF492" s="18">
        <v>1.9228186958859195E-2</v>
      </c>
      <c r="BG492" s="18">
        <v>1.0188850472767338E-2</v>
      </c>
      <c r="BH492" s="18">
        <v>-2.6377191336349193E-3</v>
      </c>
      <c r="BI492" s="18">
        <v>6.2555221332975808E-2</v>
      </c>
      <c r="BJ492" s="18">
        <v>6.5964791186834293E-2</v>
      </c>
      <c r="BK492" s="18">
        <v>-1.3439672278698911E-2</v>
      </c>
      <c r="BL492" s="18">
        <v>-4.5398008398725487E-2</v>
      </c>
      <c r="BM492" s="18">
        <v>-3.5231477546840112E-2</v>
      </c>
      <c r="BN492" s="18">
        <v>-0.11635890278736188</v>
      </c>
      <c r="BO492" s="18">
        <v>-2.1242235686630695E-3</v>
      </c>
      <c r="BP492" s="18">
        <v>9.2926774436629112E-3</v>
      </c>
      <c r="BQ492" s="18">
        <v>-6.9549683513592253E-4</v>
      </c>
      <c r="BR492" s="18">
        <v>-0.13755164874809478</v>
      </c>
      <c r="BS492" s="18">
        <v>1.5119726978311598E-2</v>
      </c>
      <c r="BT492" s="18">
        <v>-2.4211118904394008E-2</v>
      </c>
      <c r="BU492" s="18">
        <v>1.7088536437314505E-2</v>
      </c>
      <c r="BV492" s="18">
        <v>-2.7794138516373468E-2</v>
      </c>
      <c r="BW492" s="18">
        <v>9.0191238356346903E-3</v>
      </c>
      <c r="BX492" s="18">
        <v>1.6014702702371875E-2</v>
      </c>
      <c r="BY492" s="18">
        <v>-5.1673289365759489E-2</v>
      </c>
      <c r="BZ492" s="18">
        <v>-3.2026005558104698E-2</v>
      </c>
      <c r="CA492" s="18">
        <v>0.34703900334098403</v>
      </c>
      <c r="CB492" s="18">
        <v>5.0243282440499804E-2</v>
      </c>
      <c r="CC492" s="18">
        <v>-9.1787538326070228E-2</v>
      </c>
      <c r="CD492" s="18">
        <v>-7.2265051111431167E-2</v>
      </c>
      <c r="CE492" s="18">
        <v>-8.7615140171539374E-2</v>
      </c>
      <c r="CF492" s="18">
        <v>4.7667993180539596E-2</v>
      </c>
      <c r="CG492" s="18">
        <v>9.4813135456428999E-2</v>
      </c>
      <c r="CH492" s="18">
        <v>2.6172875995010392E-2</v>
      </c>
      <c r="CI492" s="18">
        <v>-1.2833321319742325E-2</v>
      </c>
      <c r="CJ492" s="18">
        <v>1.5664446838515367E-2</v>
      </c>
      <c r="CK492" s="18">
        <v>-2.8066869412500389E-3</v>
      </c>
      <c r="CL492" s="18">
        <v>-1.9939667852326037E-2</v>
      </c>
      <c r="CM492" s="18">
        <v>-5.0888010124441732E-2</v>
      </c>
      <c r="CN492" s="19">
        <v>-4.638307217829124E-3</v>
      </c>
    </row>
    <row r="493" spans="1:92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 t="str">
        <v>32.Stoppages because of work being rejected by consultant</v>
      </c>
      <c r="AW493" s="25">
        <v>-1.0766712418659785E-2</v>
      </c>
      <c r="AX493" s="26">
        <v>-8.5090850116393835E-2</v>
      </c>
      <c r="AY493" s="26">
        <v>-3.0479479109321417E-2</v>
      </c>
      <c r="AZ493" s="18">
        <v>-2.1422306146507919E-2</v>
      </c>
      <c r="BA493" s="18">
        <v>-4.7437002459958633E-2</v>
      </c>
      <c r="BB493" s="18">
        <v>5.5343246224756837E-2</v>
      </c>
      <c r="BC493" s="18">
        <v>9.2782844659787866E-2</v>
      </c>
      <c r="BD493" s="18">
        <v>-4.5135945221852491E-2</v>
      </c>
      <c r="BE493" s="18">
        <v>-5.7039333303744444E-3</v>
      </c>
      <c r="BF493" s="18">
        <v>-2.6309232695986673E-2</v>
      </c>
      <c r="BG493" s="18">
        <v>-2.3256959670280686E-2</v>
      </c>
      <c r="BH493" s="18">
        <v>5.2149768200993041E-4</v>
      </c>
      <c r="BI493" s="18">
        <v>4.4144959298525327E-2</v>
      </c>
      <c r="BJ493" s="18">
        <v>6.3940860053503773E-2</v>
      </c>
      <c r="BK493" s="18">
        <v>1.6227378010125554E-2</v>
      </c>
      <c r="BL493" s="18">
        <v>-2.3216734985249288E-2</v>
      </c>
      <c r="BM493" s="18">
        <v>4.4776407119657746E-2</v>
      </c>
      <c r="BN493" s="18">
        <v>-6.2408809796825337E-3</v>
      </c>
      <c r="BO493" s="18">
        <v>-2.6023971791275746E-2</v>
      </c>
      <c r="BP493" s="18">
        <v>-4.3381576709648928E-2</v>
      </c>
      <c r="BQ493" s="18">
        <v>-1.9828673492094051E-2</v>
      </c>
      <c r="BR493" s="18">
        <v>-2.7656391914072265E-2</v>
      </c>
      <c r="BS493" s="18">
        <v>-2.3283957995965276E-2</v>
      </c>
      <c r="BT493" s="18">
        <v>1.7177223834363875E-2</v>
      </c>
      <c r="BU493" s="18">
        <v>-3.6040987270388514E-2</v>
      </c>
      <c r="BV493" s="18">
        <v>-9.1065133117710861E-2</v>
      </c>
      <c r="BW493" s="18">
        <v>-4.1617825081126103E-3</v>
      </c>
      <c r="BX493" s="18">
        <v>6.9127253954976431E-3</v>
      </c>
      <c r="BY493" s="18">
        <v>4.3641309957342521E-2</v>
      </c>
      <c r="BZ493" s="18">
        <v>2.8203108701559895E-2</v>
      </c>
      <c r="CA493" s="18">
        <v>5.0243282440499804E-2</v>
      </c>
      <c r="CB493" s="18">
        <v>0.32682103825392084</v>
      </c>
      <c r="CC493" s="18">
        <v>-2.7640681047769733E-3</v>
      </c>
      <c r="CD493" s="18">
        <v>-0.13076424494610167</v>
      </c>
      <c r="CE493" s="18">
        <v>-8.2741611536579995E-2</v>
      </c>
      <c r="CF493" s="18">
        <v>5.0407223879136875E-2</v>
      </c>
      <c r="CG493" s="18">
        <v>-0.10099282977967663</v>
      </c>
      <c r="CH493" s="18">
        <v>8.5616201272660078E-2</v>
      </c>
      <c r="CI493" s="18">
        <v>-4.283460046697872E-2</v>
      </c>
      <c r="CJ493" s="18">
        <v>1.8294613117851577E-4</v>
      </c>
      <c r="CK493" s="18">
        <v>9.0351485424185418E-2</v>
      </c>
      <c r="CL493" s="18">
        <v>-1.8336296561188514E-2</v>
      </c>
      <c r="CM493" s="18">
        <v>6.6631168157602616E-3</v>
      </c>
      <c r="CN493" s="19">
        <v>8.213705422271983E-3</v>
      </c>
    </row>
    <row r="494" spans="1:92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 t="str">
        <v>33.Lowest bid price</v>
      </c>
      <c r="AW494" s="25">
        <v>-6.4048340314369456E-2</v>
      </c>
      <c r="AX494" s="26">
        <v>5.1672251701092575E-3</v>
      </c>
      <c r="AY494" s="26">
        <v>-1.675196770350082E-2</v>
      </c>
      <c r="AZ494" s="18">
        <v>-6.3431649627397724E-2</v>
      </c>
      <c r="BA494" s="18">
        <v>1.1197657408826611E-2</v>
      </c>
      <c r="BB494" s="18">
        <v>-7.9278209017293849E-2</v>
      </c>
      <c r="BC494" s="18">
        <v>-4.9434731820689304E-2</v>
      </c>
      <c r="BD494" s="18">
        <v>-6.0862585612621367E-2</v>
      </c>
      <c r="BE494" s="18">
        <v>3.9520501875395742E-2</v>
      </c>
      <c r="BF494" s="18">
        <v>9.9647089084250184E-2</v>
      </c>
      <c r="BG494" s="18">
        <v>4.1175292968058302E-2</v>
      </c>
      <c r="BH494" s="18">
        <v>7.2676455705517784E-2</v>
      </c>
      <c r="BI494" s="18">
        <v>-2.7629305829276279E-2</v>
      </c>
      <c r="BJ494" s="18">
        <v>-4.4562092488091204E-2</v>
      </c>
      <c r="BK494" s="18">
        <v>1.2252632715853709E-2</v>
      </c>
      <c r="BL494" s="18">
        <v>1.7347597267401885E-2</v>
      </c>
      <c r="BM494" s="18">
        <v>4.0115316135745281E-2</v>
      </c>
      <c r="BN494" s="18">
        <v>-5.622777337907392E-3</v>
      </c>
      <c r="BO494" s="18">
        <v>-3.791221212594309E-2</v>
      </c>
      <c r="BP494" s="18">
        <v>1.9016867682998637E-2</v>
      </c>
      <c r="BQ494" s="18">
        <v>9.3708458647113746E-3</v>
      </c>
      <c r="BR494" s="18">
        <v>-1.2951935935286762E-2</v>
      </c>
      <c r="BS494" s="18">
        <v>7.6435729552104203E-2</v>
      </c>
      <c r="BT494" s="18">
        <v>6.3657981560800242E-2</v>
      </c>
      <c r="BU494" s="18">
        <v>-6.4642989025287367E-2</v>
      </c>
      <c r="BV494" s="18">
        <v>-7.8178476286422258E-2</v>
      </c>
      <c r="BW494" s="18">
        <v>2.7434508172042515E-2</v>
      </c>
      <c r="BX494" s="18">
        <v>6.507487480768076E-2</v>
      </c>
      <c r="BY494" s="18">
        <v>7.4335313520156876E-2</v>
      </c>
      <c r="BZ494" s="18">
        <v>-3.2402620893147327E-2</v>
      </c>
      <c r="CA494" s="18">
        <v>-9.1787538326070228E-2</v>
      </c>
      <c r="CB494" s="18">
        <v>-2.7640681047769733E-3</v>
      </c>
      <c r="CC494" s="18">
        <v>0.25315186775504162</v>
      </c>
      <c r="CD494" s="18">
        <v>-6.1281759810958292E-3</v>
      </c>
      <c r="CE494" s="18">
        <v>-2.1302899651364449E-2</v>
      </c>
      <c r="CF494" s="18">
        <v>-1.5444534422179051E-2</v>
      </c>
      <c r="CG494" s="18">
        <v>-5.9616544651864833E-2</v>
      </c>
      <c r="CH494" s="18">
        <v>-5.1677225100694307E-2</v>
      </c>
      <c r="CI494" s="18">
        <v>3.0617558463740757E-2</v>
      </c>
      <c r="CJ494" s="18">
        <v>-7.6030816398067746E-4</v>
      </c>
      <c r="CK494" s="18">
        <v>-2.9093320618612376E-2</v>
      </c>
      <c r="CL494" s="18">
        <v>-2.0601333113648063E-2</v>
      </c>
      <c r="CM494" s="18">
        <v>7.6174905022950351E-2</v>
      </c>
      <c r="CN494" s="19">
        <v>-1.9178575935416886E-2</v>
      </c>
    </row>
    <row r="495" spans="1:92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 t="str">
        <v>34.Insufficient time for preparation of contract documents</v>
      </c>
      <c r="AW495" s="25">
        <v>-3.0416860428456732E-2</v>
      </c>
      <c r="AX495" s="26">
        <v>4.9701084723875022E-2</v>
      </c>
      <c r="AY495" s="26">
        <v>9.5239078732759275E-2</v>
      </c>
      <c r="AZ495" s="18">
        <v>6.1043146548533933E-4</v>
      </c>
      <c r="BA495" s="18">
        <v>1.9493097008726645E-2</v>
      </c>
      <c r="BB495" s="18">
        <v>-2.0973633087791876E-2</v>
      </c>
      <c r="BC495" s="18">
        <v>-6.3137200553709472E-2</v>
      </c>
      <c r="BD495" s="18">
        <v>-1.0214885651145256E-3</v>
      </c>
      <c r="BE495" s="18">
        <v>-1.0214724257276264E-2</v>
      </c>
      <c r="BF495" s="18">
        <v>-1.8685379311418393E-2</v>
      </c>
      <c r="BG495" s="18">
        <v>-1.9663959790022778E-3</v>
      </c>
      <c r="BH495" s="18">
        <v>-3.1765846433650657E-3</v>
      </c>
      <c r="BI495" s="18">
        <v>-4.4662385891835521E-2</v>
      </c>
      <c r="BJ495" s="18">
        <v>-5.2619132772246974E-2</v>
      </c>
      <c r="BK495" s="18">
        <v>1.8525667573118354E-2</v>
      </c>
      <c r="BL495" s="18">
        <v>-9.6206595919690052E-4</v>
      </c>
      <c r="BM495" s="18">
        <v>-1.4442053445152037E-2</v>
      </c>
      <c r="BN495" s="18">
        <v>3.326220770761118E-2</v>
      </c>
      <c r="BO495" s="18">
        <v>1.1465813420110271E-2</v>
      </c>
      <c r="BP495" s="18">
        <v>1.8560301458077022E-2</v>
      </c>
      <c r="BQ495" s="18">
        <v>4.6849462209664072E-2</v>
      </c>
      <c r="BR495" s="18">
        <v>3.3704811253588707E-3</v>
      </c>
      <c r="BS495" s="18">
        <v>-1.4093493032126869E-2</v>
      </c>
      <c r="BT495" s="18">
        <v>-3.9720868754116873E-3</v>
      </c>
      <c r="BU495" s="18">
        <v>1.3535164054037652E-3</v>
      </c>
      <c r="BV495" s="18">
        <v>-4.617951185220126E-3</v>
      </c>
      <c r="BW495" s="18">
        <v>-2.2489703293739116E-2</v>
      </c>
      <c r="BX495" s="18">
        <v>7.3423333437661609E-3</v>
      </c>
      <c r="BY495" s="18">
        <v>5.6661508814623091E-2</v>
      </c>
      <c r="BZ495" s="18">
        <v>-4.8564199197269314E-2</v>
      </c>
      <c r="CA495" s="18">
        <v>-7.2265051111431167E-2</v>
      </c>
      <c r="CB495" s="18">
        <v>-0.13076424494610167</v>
      </c>
      <c r="CC495" s="18">
        <v>-6.1281759810958292E-3</v>
      </c>
      <c r="CD495" s="18">
        <v>0.20210187169658178</v>
      </c>
      <c r="CE495" s="18">
        <v>3.1617334946803077E-2</v>
      </c>
      <c r="CF495" s="18">
        <v>1.7865976056081367E-2</v>
      </c>
      <c r="CG495" s="18">
        <v>2.8488574933722338E-2</v>
      </c>
      <c r="CH495" s="18">
        <v>-4.2423931747283011E-2</v>
      </c>
      <c r="CI495" s="18">
        <v>3.195529668175226E-2</v>
      </c>
      <c r="CJ495" s="18">
        <v>8.3415117654886406E-3</v>
      </c>
      <c r="CK495" s="18">
        <v>-9.8089273915395792E-2</v>
      </c>
      <c r="CL495" s="18">
        <v>3.6949240911630321E-2</v>
      </c>
      <c r="CM495" s="18">
        <v>-2.1213260613627827E-2</v>
      </c>
      <c r="CN495" s="19">
        <v>1.2039985783883489E-2</v>
      </c>
    </row>
    <row r="496" spans="1:92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 t="str">
        <v>35.Discrepancies in contract documents</v>
      </c>
      <c r="AW496" s="25">
        <v>2.8932972236647259E-2</v>
      </c>
      <c r="AX496" s="26">
        <v>5.9709298123571355E-2</v>
      </c>
      <c r="AY496" s="26">
        <v>4.9383870188570753E-2</v>
      </c>
      <c r="AZ496" s="18">
        <v>-1.2500232856672011E-3</v>
      </c>
      <c r="BA496" s="18">
        <v>6.0617923516943339E-2</v>
      </c>
      <c r="BB496" s="18">
        <v>-6.9347291356217589E-2</v>
      </c>
      <c r="BC496" s="18">
        <v>-3.2391664109746199E-2</v>
      </c>
      <c r="BD496" s="18">
        <v>-3.2997142970631388E-2</v>
      </c>
      <c r="BE496" s="18">
        <v>-2.8268569004956445E-2</v>
      </c>
      <c r="BF496" s="18">
        <v>-3.9375997192176548E-2</v>
      </c>
      <c r="BG496" s="18">
        <v>3.776805211814982E-2</v>
      </c>
      <c r="BH496" s="18">
        <v>-3.2324672250613362E-2</v>
      </c>
      <c r="BI496" s="18">
        <v>-5.5727937658028859E-3</v>
      </c>
      <c r="BJ496" s="18">
        <v>-4.6455423554678424E-2</v>
      </c>
      <c r="BK496" s="18">
        <v>-2.3416288435848337E-2</v>
      </c>
      <c r="BL496" s="18">
        <v>-1.2080529635354109E-2</v>
      </c>
      <c r="BM496" s="18">
        <v>1.1014355590774183E-2</v>
      </c>
      <c r="BN496" s="18">
        <v>4.306877368434843E-2</v>
      </c>
      <c r="BO496" s="18">
        <v>4.0244342461421168E-2</v>
      </c>
      <c r="BP496" s="18">
        <v>1.3810111313303786E-2</v>
      </c>
      <c r="BQ496" s="18">
        <v>2.1453703003646213E-2</v>
      </c>
      <c r="BR496" s="18">
        <v>3.6354287722082157E-2</v>
      </c>
      <c r="BS496" s="18">
        <v>-4.9980046745390971E-2</v>
      </c>
      <c r="BT496" s="18">
        <v>2.2537444965591874E-2</v>
      </c>
      <c r="BU496" s="18">
        <v>-4.3588179136196559E-2</v>
      </c>
      <c r="BV496" s="18">
        <v>2.6302826143737912E-2</v>
      </c>
      <c r="BW496" s="18">
        <v>-4.1776678071305584E-2</v>
      </c>
      <c r="BX496" s="18">
        <v>2.7560491274692789E-2</v>
      </c>
      <c r="BY496" s="18">
        <v>6.1578834255808346E-2</v>
      </c>
      <c r="BZ496" s="18">
        <v>-3.2936925167575543E-2</v>
      </c>
      <c r="CA496" s="18">
        <v>-8.7615140171539374E-2</v>
      </c>
      <c r="CB496" s="18">
        <v>-8.2741611536579995E-2</v>
      </c>
      <c r="CC496" s="18">
        <v>-2.1302899651364449E-2</v>
      </c>
      <c r="CD496" s="18">
        <v>3.1617334946803077E-2</v>
      </c>
      <c r="CE496" s="18">
        <v>0.21486813543306693</v>
      </c>
      <c r="CF496" s="18">
        <v>-9.6767938164146972E-2</v>
      </c>
      <c r="CG496" s="18">
        <v>-1.4538131676082366E-2</v>
      </c>
      <c r="CH496" s="18">
        <v>-4.4425676156477689E-2</v>
      </c>
      <c r="CI496" s="18">
        <v>5.1690156733549542E-3</v>
      </c>
      <c r="CJ496" s="18">
        <v>2.5360213438928469E-2</v>
      </c>
      <c r="CK496" s="18">
        <v>-3.0088273742566007E-2</v>
      </c>
      <c r="CL496" s="18">
        <v>-2.1222204436120995E-3</v>
      </c>
      <c r="CM496" s="18">
        <v>1.4623398934351717E-2</v>
      </c>
      <c r="CN496" s="19">
        <v>3.7189766858589129E-2</v>
      </c>
    </row>
    <row r="497" spans="1:92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 t="str">
        <v>36.Underestimation of time for completion of project</v>
      </c>
      <c r="AW497" s="25">
        <v>-8.2273820348481741E-2</v>
      </c>
      <c r="AX497" s="26">
        <v>-1.8011554369187055E-2</v>
      </c>
      <c r="AY497" s="26">
        <v>2.2974574710209056E-2</v>
      </c>
      <c r="AZ497" s="18">
        <v>-6.6425409990099438E-2</v>
      </c>
      <c r="BA497" s="18">
        <v>-1.7429697271342248E-2</v>
      </c>
      <c r="BB497" s="18">
        <v>1.9650833186261984E-2</v>
      </c>
      <c r="BC497" s="18">
        <v>-7.2779427030994492E-3</v>
      </c>
      <c r="BD497" s="18">
        <v>1.5972920980764083E-3</v>
      </c>
      <c r="BE497" s="18">
        <v>5.1722581556959579E-2</v>
      </c>
      <c r="BF497" s="18">
        <v>-1.3979867214748309E-2</v>
      </c>
      <c r="BG497" s="18">
        <v>-2.1540404735528262E-2</v>
      </c>
      <c r="BH497" s="18">
        <v>2.0612172997899469E-2</v>
      </c>
      <c r="BI497" s="18">
        <v>-2.4210040735983818E-2</v>
      </c>
      <c r="BJ497" s="18">
        <v>0.11430450503342908</v>
      </c>
      <c r="BK497" s="18">
        <v>-2.7086674700897706E-4</v>
      </c>
      <c r="BL497" s="18">
        <v>5.5906648629160324E-2</v>
      </c>
      <c r="BM497" s="18">
        <v>-1.7230489840191855E-2</v>
      </c>
      <c r="BN497" s="18">
        <v>9.1649598850211178E-2</v>
      </c>
      <c r="BO497" s="18">
        <v>7.2369963233522822E-2</v>
      </c>
      <c r="BP497" s="18">
        <v>6.4005008151285847E-2</v>
      </c>
      <c r="BQ497" s="18">
        <v>-5.2133161516079392E-2</v>
      </c>
      <c r="BR497" s="18">
        <v>-2.3796724878132707E-2</v>
      </c>
      <c r="BS497" s="18">
        <v>-3.5191350884565265E-3</v>
      </c>
      <c r="BT497" s="18">
        <v>-4.1986939216827751E-2</v>
      </c>
      <c r="BU497" s="18">
        <v>-5.9783045510064053E-2</v>
      </c>
      <c r="BV497" s="18">
        <v>7.7138400186721467E-5</v>
      </c>
      <c r="BW497" s="18">
        <v>-6.3574699085583275E-2</v>
      </c>
      <c r="BX497" s="18">
        <v>1.9477665899818392E-2</v>
      </c>
      <c r="BY497" s="18">
        <v>-2.8245048482865548E-2</v>
      </c>
      <c r="BZ497" s="18">
        <v>-5.7307447243731546E-3</v>
      </c>
      <c r="CA497" s="18">
        <v>4.7667993180539596E-2</v>
      </c>
      <c r="CB497" s="18">
        <v>5.0407223879136875E-2</v>
      </c>
      <c r="CC497" s="18">
        <v>-1.5444534422179051E-2</v>
      </c>
      <c r="CD497" s="18">
        <v>1.7865976056081367E-2</v>
      </c>
      <c r="CE497" s="18">
        <v>-9.6767938164146972E-2</v>
      </c>
      <c r="CF497" s="18">
        <v>0.28315883590169655</v>
      </c>
      <c r="CG497" s="18">
        <v>6.3895906102861999E-2</v>
      </c>
      <c r="CH497" s="18">
        <v>-4.4362000626093009E-2</v>
      </c>
      <c r="CI497" s="18">
        <v>-6.4269965484390346E-3</v>
      </c>
      <c r="CJ497" s="18">
        <v>-1.0969700706876636E-2</v>
      </c>
      <c r="CK497" s="18">
        <v>-4.347335011436132E-2</v>
      </c>
      <c r="CL497" s="18">
        <v>-6.5601929916212831E-2</v>
      </c>
      <c r="CM497" s="18">
        <v>-0.10320987229577394</v>
      </c>
      <c r="CN497" s="19">
        <v>3.354935961974248E-2</v>
      </c>
    </row>
    <row r="498" spans="1:92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 t="str">
        <v>37.Extension of time with cost claims</v>
      </c>
      <c r="AW498" s="25">
        <v>-6.9887157086017893E-2</v>
      </c>
      <c r="AX498" s="26">
        <v>-4.6864487035344127E-2</v>
      </c>
      <c r="AY498" s="26">
        <v>2.610016578041488E-2</v>
      </c>
      <c r="AZ498" s="18">
        <v>-5.9326650228685912E-2</v>
      </c>
      <c r="BA498" s="18">
        <v>7.1615072305763139E-2</v>
      </c>
      <c r="BB498" s="18">
        <v>6.9842595030908838E-2</v>
      </c>
      <c r="BC498" s="18">
        <v>-3.4341790217709722E-2</v>
      </c>
      <c r="BD498" s="18">
        <v>8.1975684499886195E-2</v>
      </c>
      <c r="BE498" s="18">
        <v>5.7944188611839503E-2</v>
      </c>
      <c r="BF498" s="18">
        <v>-6.3612121510215336E-3</v>
      </c>
      <c r="BG498" s="18">
        <v>3.7658908111396938E-2</v>
      </c>
      <c r="BH498" s="18">
        <v>-8.041314420925566E-4</v>
      </c>
      <c r="BI498" s="18">
        <v>-2.7850017929485063E-2</v>
      </c>
      <c r="BJ498" s="18">
        <v>6.2443557778481984E-2</v>
      </c>
      <c r="BK498" s="18">
        <v>-4.2138909678716197E-2</v>
      </c>
      <c r="BL498" s="18">
        <v>9.5087171066176424E-2</v>
      </c>
      <c r="BM498" s="18">
        <v>-0.10368873816246121</v>
      </c>
      <c r="BN498" s="18">
        <v>1.0730933095483272E-2</v>
      </c>
      <c r="BO498" s="18">
        <v>4.3915188596243299E-2</v>
      </c>
      <c r="BP498" s="18">
        <v>1.2119803420059888E-2</v>
      </c>
      <c r="BQ498" s="18">
        <v>1.0703721238965597E-2</v>
      </c>
      <c r="BR498" s="18">
        <v>-6.6440514452600546E-2</v>
      </c>
      <c r="BS498" s="18">
        <v>1.6602097487286624E-2</v>
      </c>
      <c r="BT498" s="18">
        <v>-6.6820400596898658E-2</v>
      </c>
      <c r="BU498" s="18">
        <v>2.6529323981170527E-2</v>
      </c>
      <c r="BV498" s="18">
        <v>9.2508066147773724E-2</v>
      </c>
      <c r="BW498" s="18">
        <v>-7.8188917346747405E-2</v>
      </c>
      <c r="BX498" s="18">
        <v>-4.0897094814037332E-2</v>
      </c>
      <c r="BY498" s="18">
        <v>-4.2368857492040279E-2</v>
      </c>
      <c r="BZ498" s="18">
        <v>-5.2653647327259995E-2</v>
      </c>
      <c r="CA498" s="18">
        <v>9.4813135456428999E-2</v>
      </c>
      <c r="CB498" s="18">
        <v>-0.10099282977967663</v>
      </c>
      <c r="CC498" s="18">
        <v>-5.9616544651864833E-2</v>
      </c>
      <c r="CD498" s="18">
        <v>2.8488574933722338E-2</v>
      </c>
      <c r="CE498" s="18">
        <v>-1.4538131676082366E-2</v>
      </c>
      <c r="CF498" s="18">
        <v>6.3895906102861999E-2</v>
      </c>
      <c r="CG498" s="18">
        <v>0.4126745224737437</v>
      </c>
      <c r="CH498" s="18">
        <v>-5.6560396280789405E-2</v>
      </c>
      <c r="CI498" s="18">
        <v>-6.2373727581759075E-2</v>
      </c>
      <c r="CJ498" s="18">
        <v>-3.2978497268337792E-2</v>
      </c>
      <c r="CK498" s="18">
        <v>-8.2219598759017271E-2</v>
      </c>
      <c r="CL498" s="18">
        <v>-5.698026645077825E-2</v>
      </c>
      <c r="CM498" s="18">
        <v>-0.13023111520284081</v>
      </c>
      <c r="CN498" s="19">
        <v>-3.6174509266098942E-2</v>
      </c>
    </row>
    <row r="499" spans="1:92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 t="str">
        <v>38.Scope and specification changes</v>
      </c>
      <c r="AW499" s="25">
        <v>7.0879999515929548E-3</v>
      </c>
      <c r="AX499" s="26">
        <v>-4.2942130239382537E-2</v>
      </c>
      <c r="AY499" s="26">
        <v>-8.4666672856237857E-3</v>
      </c>
      <c r="AZ499" s="18">
        <v>2.3090542952676929E-2</v>
      </c>
      <c r="BA499" s="18">
        <v>-3.9229860183077059E-2</v>
      </c>
      <c r="BB499" s="18">
        <v>6.5414307730161242E-2</v>
      </c>
      <c r="BC499" s="18">
        <v>2.4880118215290709E-2</v>
      </c>
      <c r="BD499" s="18">
        <v>7.6801552885346652E-2</v>
      </c>
      <c r="BE499" s="18">
        <v>-3.3770135413160818E-2</v>
      </c>
      <c r="BF499" s="18">
        <v>2.1919782827942241E-2</v>
      </c>
      <c r="BG499" s="18">
        <v>-4.6725047397829761E-2</v>
      </c>
      <c r="BH499" s="18">
        <v>1.6930105667062434E-2</v>
      </c>
      <c r="BI499" s="18">
        <v>-1.8371101402159223E-2</v>
      </c>
      <c r="BJ499" s="18">
        <v>-4.1047236930903674E-3</v>
      </c>
      <c r="BK499" s="18">
        <v>4.4042021003506598E-2</v>
      </c>
      <c r="BL499" s="18">
        <v>-2.1355284621308895E-2</v>
      </c>
      <c r="BM499" s="18">
        <v>3.8365818149577832E-2</v>
      </c>
      <c r="BN499" s="18">
        <v>-9.5445292399553572E-2</v>
      </c>
      <c r="BO499" s="18">
        <v>-3.7016090668780699E-2</v>
      </c>
      <c r="BP499" s="18">
        <v>-1.6461232412885871E-2</v>
      </c>
      <c r="BQ499" s="18">
        <v>5.1601658554159546E-3</v>
      </c>
      <c r="BR499" s="18">
        <v>-5.1963475557969707E-2</v>
      </c>
      <c r="BS499" s="18">
        <v>-3.2846393613173833E-2</v>
      </c>
      <c r="BT499" s="18">
        <v>1.4478471440924956E-2</v>
      </c>
      <c r="BU499" s="18">
        <v>6.4508048910351196E-2</v>
      </c>
      <c r="BV499" s="18">
        <v>-2.9113465477203948E-2</v>
      </c>
      <c r="BW499" s="18">
        <v>4.3522367344830615E-2</v>
      </c>
      <c r="BX499" s="18">
        <v>-5.9047880191511859E-2</v>
      </c>
      <c r="BY499" s="18">
        <v>1.8668035940499983E-2</v>
      </c>
      <c r="BZ499" s="18">
        <v>-4.5049342029846257E-2</v>
      </c>
      <c r="CA499" s="18">
        <v>2.6172875995010392E-2</v>
      </c>
      <c r="CB499" s="18">
        <v>8.5616201272660078E-2</v>
      </c>
      <c r="CC499" s="18">
        <v>-5.1677225100694307E-2</v>
      </c>
      <c r="CD499" s="18">
        <v>-4.2423931747283011E-2</v>
      </c>
      <c r="CE499" s="18">
        <v>-4.4425676156477689E-2</v>
      </c>
      <c r="CF499" s="18">
        <v>-4.4362000626093009E-2</v>
      </c>
      <c r="CG499" s="18">
        <v>-5.6560396280789405E-2</v>
      </c>
      <c r="CH499" s="18">
        <v>0.26348512597431561</v>
      </c>
      <c r="CI499" s="18">
        <v>-3.4450542813265761E-2</v>
      </c>
      <c r="CJ499" s="18">
        <v>-0.119648377460158</v>
      </c>
      <c r="CK499" s="18">
        <v>-6.6956446031754269E-3</v>
      </c>
      <c r="CL499" s="18">
        <v>6.1263916563867211E-2</v>
      </c>
      <c r="CM499" s="18">
        <v>3.5360984297831563E-2</v>
      </c>
      <c r="CN499" s="19">
        <v>-1.1224413450891119E-2</v>
      </c>
    </row>
    <row r="500" spans="1:92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 t="str">
        <v>39.Changes in client requirements</v>
      </c>
      <c r="AW500" s="25">
        <v>-2.4600538471930888E-2</v>
      </c>
      <c r="AX500" s="26">
        <v>5.7843403543472588E-2</v>
      </c>
      <c r="AY500" s="26">
        <v>-4.8068365346343261E-2</v>
      </c>
      <c r="AZ500" s="18">
        <v>2.2478791914495283E-2</v>
      </c>
      <c r="BA500" s="18">
        <v>2.7583089676488537E-2</v>
      </c>
      <c r="BB500" s="18">
        <v>-4.8765774528819944E-2</v>
      </c>
      <c r="BC500" s="18">
        <v>-1.7525646612353285E-2</v>
      </c>
      <c r="BD500" s="18">
        <v>-3.3894503970130496E-2</v>
      </c>
      <c r="BE500" s="18">
        <v>-4.9907029801095626E-3</v>
      </c>
      <c r="BF500" s="18">
        <v>5.2754275029623598E-2</v>
      </c>
      <c r="BG500" s="18">
        <v>-1.6060093649717722E-2</v>
      </c>
      <c r="BH500" s="18">
        <v>-1.5949849538190453E-3</v>
      </c>
      <c r="BI500" s="18">
        <v>-2.7180149845960677E-2</v>
      </c>
      <c r="BJ500" s="18">
        <v>-7.5292639474203671E-2</v>
      </c>
      <c r="BK500" s="18">
        <v>1.3386128346864479E-2</v>
      </c>
      <c r="BL500" s="18">
        <v>5.1134746208853415E-2</v>
      </c>
      <c r="BM500" s="18">
        <v>1.3221418680067959E-2</v>
      </c>
      <c r="BN500" s="18">
        <v>-4.6202308398690661E-5</v>
      </c>
      <c r="BO500" s="18">
        <v>-2.160982395676192E-2</v>
      </c>
      <c r="BP500" s="18">
        <v>3.5217247480881661E-2</v>
      </c>
      <c r="BQ500" s="18">
        <v>-3.3235247140526003E-2</v>
      </c>
      <c r="BR500" s="18">
        <v>-8.3151895636709272E-2</v>
      </c>
      <c r="BS500" s="18">
        <v>5.1390667779377619E-2</v>
      </c>
      <c r="BT500" s="18">
        <v>-3.1610951432211459E-3</v>
      </c>
      <c r="BU500" s="18">
        <v>1.5824011939242391E-2</v>
      </c>
      <c r="BV500" s="18">
        <v>-4.4121356336895207E-2</v>
      </c>
      <c r="BW500" s="18">
        <v>2.7817606293430552E-2</v>
      </c>
      <c r="BX500" s="18">
        <v>2.2787739951871111E-2</v>
      </c>
      <c r="BY500" s="18">
        <v>3.2874983595528984E-2</v>
      </c>
      <c r="BZ500" s="18">
        <v>4.3893367134534844E-3</v>
      </c>
      <c r="CA500" s="18">
        <v>-1.2833321319742325E-2</v>
      </c>
      <c r="CB500" s="18">
        <v>-4.283460046697872E-2</v>
      </c>
      <c r="CC500" s="18">
        <v>3.0617558463740757E-2</v>
      </c>
      <c r="CD500" s="18">
        <v>3.195529668175226E-2</v>
      </c>
      <c r="CE500" s="18">
        <v>5.1690156733549542E-3</v>
      </c>
      <c r="CF500" s="18">
        <v>-6.4269965484390346E-3</v>
      </c>
      <c r="CG500" s="18">
        <v>-6.2373727581759075E-2</v>
      </c>
      <c r="CH500" s="18">
        <v>-3.4450542813265761E-2</v>
      </c>
      <c r="CI500" s="18">
        <v>0.20934831412749744</v>
      </c>
      <c r="CJ500" s="18">
        <v>-5.1850869051516479E-2</v>
      </c>
      <c r="CK500" s="18">
        <v>-6.5376487601865096E-2</v>
      </c>
      <c r="CL500" s="18">
        <v>2.8699711834647802E-2</v>
      </c>
      <c r="CM500" s="18">
        <v>1.8198409308438482E-2</v>
      </c>
      <c r="CN500" s="19">
        <v>-3.9846277628206112E-2</v>
      </c>
    </row>
    <row r="501" spans="1:92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 t="str">
        <v>40.Frequency of variation orders and additional works</v>
      </c>
      <c r="AW501" s="25">
        <v>3.1314030069058002E-2</v>
      </c>
      <c r="AX501" s="26">
        <v>5.0231328309887364E-2</v>
      </c>
      <c r="AY501" s="26">
        <v>9.9998015844194946E-3</v>
      </c>
      <c r="AZ501" s="18">
        <v>2.7539290201510021E-2</v>
      </c>
      <c r="BA501" s="18">
        <v>-2.3405852882944056E-2</v>
      </c>
      <c r="BB501" s="18">
        <v>-3.5896663365221348E-3</v>
      </c>
      <c r="BC501" s="18">
        <v>-1.7894237661328888E-2</v>
      </c>
      <c r="BD501" s="18">
        <v>-3.680422968463945E-2</v>
      </c>
      <c r="BE501" s="18">
        <v>1.4765015650745505E-2</v>
      </c>
      <c r="BF501" s="18">
        <v>-4.516233794979585E-2</v>
      </c>
      <c r="BG501" s="18">
        <v>4.5301327758834525E-2</v>
      </c>
      <c r="BH501" s="18">
        <v>-7.4099588684689854E-2</v>
      </c>
      <c r="BI501" s="18">
        <v>5.6279397712592993E-2</v>
      </c>
      <c r="BJ501" s="18">
        <v>-4.936588073109538E-3</v>
      </c>
      <c r="BK501" s="18">
        <v>-1.2966237550177673E-2</v>
      </c>
      <c r="BL501" s="18">
        <v>-2.4535740063733991E-2</v>
      </c>
      <c r="BM501" s="18">
        <v>9.4241973097889675E-3</v>
      </c>
      <c r="BN501" s="18">
        <v>4.7676479981709263E-2</v>
      </c>
      <c r="BO501" s="18">
        <v>-3.3079439495196705E-2</v>
      </c>
      <c r="BP501" s="18">
        <v>6.6483619255567339E-3</v>
      </c>
      <c r="BQ501" s="18">
        <v>-4.4571849417571308E-2</v>
      </c>
      <c r="BR501" s="18">
        <v>7.194031383725652E-3</v>
      </c>
      <c r="BS501" s="18">
        <v>1.6295425970016049E-2</v>
      </c>
      <c r="BT501" s="18">
        <v>6.6318295921851789E-2</v>
      </c>
      <c r="BU501" s="18">
        <v>3.7850183082877978E-2</v>
      </c>
      <c r="BV501" s="18">
        <v>-9.6478342786481541E-3</v>
      </c>
      <c r="BW501" s="18">
        <v>-4.2065743930736033E-2</v>
      </c>
      <c r="BX501" s="18">
        <v>3.5837967279258531E-2</v>
      </c>
      <c r="BY501" s="18">
        <v>2.3173039588668121E-3</v>
      </c>
      <c r="BZ501" s="18">
        <v>5.3177532518297044E-3</v>
      </c>
      <c r="CA501" s="18">
        <v>1.5664446838515367E-2</v>
      </c>
      <c r="CB501" s="18">
        <v>1.8294613117851577E-4</v>
      </c>
      <c r="CC501" s="18">
        <v>-7.6030816398067746E-4</v>
      </c>
      <c r="CD501" s="18">
        <v>8.3415117654886406E-3</v>
      </c>
      <c r="CE501" s="18">
        <v>2.5360213438928469E-2</v>
      </c>
      <c r="CF501" s="18">
        <v>-1.0969700706876636E-2</v>
      </c>
      <c r="CG501" s="18">
        <v>-3.2978497268337792E-2</v>
      </c>
      <c r="CH501" s="18">
        <v>-0.119648377460158</v>
      </c>
      <c r="CI501" s="18">
        <v>-5.1850869051516479E-2</v>
      </c>
      <c r="CJ501" s="18">
        <v>0.24704161974627503</v>
      </c>
      <c r="CK501" s="18">
        <v>3.3571827703166579E-3</v>
      </c>
      <c r="CL501" s="18">
        <v>-4.1997260626800842E-3</v>
      </c>
      <c r="CM501" s="18">
        <v>-1.9839739607725178E-2</v>
      </c>
      <c r="CN501" s="19">
        <v>-4.2441946247159884E-2</v>
      </c>
    </row>
    <row r="502" spans="1:92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 t="str">
        <v>41.Rework due to error in execution</v>
      </c>
      <c r="AW502" s="25">
        <v>5.7285180093420207E-2</v>
      </c>
      <c r="AX502" s="26">
        <v>-3.9615224569133967E-2</v>
      </c>
      <c r="AY502" s="26">
        <v>-4.2543479336155432E-2</v>
      </c>
      <c r="AZ502" s="18">
        <v>2.3578107394860826E-2</v>
      </c>
      <c r="BA502" s="18">
        <v>-8.3481364828492666E-3</v>
      </c>
      <c r="BB502" s="18">
        <v>1.0046278248333984E-2</v>
      </c>
      <c r="BC502" s="18">
        <v>7.3556988271518076E-2</v>
      </c>
      <c r="BD502" s="18">
        <v>-1.5986541726407233E-2</v>
      </c>
      <c r="BE502" s="18">
        <v>-3.8286165572266662E-2</v>
      </c>
      <c r="BF502" s="18">
        <v>-6.6955272428116552E-2</v>
      </c>
      <c r="BG502" s="18">
        <v>-1.9541849263813638E-2</v>
      </c>
      <c r="BH502" s="18">
        <v>-5.6923572873114725E-2</v>
      </c>
      <c r="BI502" s="18">
        <v>3.4241374846831429E-2</v>
      </c>
      <c r="BJ502" s="18">
        <v>4.8956147272976869E-2</v>
      </c>
      <c r="BK502" s="18">
        <v>-2.425513941203844E-2</v>
      </c>
      <c r="BL502" s="18">
        <v>-5.1465949501258157E-2</v>
      </c>
      <c r="BM502" s="18">
        <v>-4.839203005453202E-2</v>
      </c>
      <c r="BN502" s="18">
        <v>6.7742638206975861E-2</v>
      </c>
      <c r="BO502" s="18">
        <v>8.5712484148977031E-3</v>
      </c>
      <c r="BP502" s="18">
        <v>-1.3130863063204434E-2</v>
      </c>
      <c r="BQ502" s="18">
        <v>-3.4083057902826563E-2</v>
      </c>
      <c r="BR502" s="18">
        <v>8.3542276668960427E-2</v>
      </c>
      <c r="BS502" s="18">
        <v>3.8924559278624704E-3</v>
      </c>
      <c r="BT502" s="18">
        <v>-6.2508182768168649E-2</v>
      </c>
      <c r="BU502" s="18">
        <v>2.237185274275319E-2</v>
      </c>
      <c r="BV502" s="18">
        <v>-1.9427207085953579E-2</v>
      </c>
      <c r="BW502" s="18">
        <v>-1.014229745680767E-2</v>
      </c>
      <c r="BX502" s="18">
        <v>1.6964827112495029E-4</v>
      </c>
      <c r="BY502" s="18">
        <v>-6.1487855675892572E-3</v>
      </c>
      <c r="BZ502" s="18">
        <v>0.11680402138274198</v>
      </c>
      <c r="CA502" s="18">
        <v>-2.8066869412500389E-3</v>
      </c>
      <c r="CB502" s="18">
        <v>9.0351485424185418E-2</v>
      </c>
      <c r="CC502" s="18">
        <v>-2.9093320618612376E-2</v>
      </c>
      <c r="CD502" s="18">
        <v>-9.8089273915395792E-2</v>
      </c>
      <c r="CE502" s="18">
        <v>-3.0088273742566007E-2</v>
      </c>
      <c r="CF502" s="18">
        <v>-4.347335011436132E-2</v>
      </c>
      <c r="CG502" s="18">
        <v>-8.2219598759017271E-2</v>
      </c>
      <c r="CH502" s="18">
        <v>-6.6956446031754269E-3</v>
      </c>
      <c r="CI502" s="18">
        <v>-6.5376487601865096E-2</v>
      </c>
      <c r="CJ502" s="18">
        <v>3.3571827703166579E-3</v>
      </c>
      <c r="CK502" s="18">
        <v>0.28749700700709702</v>
      </c>
      <c r="CL502" s="18">
        <v>-3.549202815457464E-2</v>
      </c>
      <c r="CM502" s="18">
        <v>2.6382874244710308E-3</v>
      </c>
      <c r="CN502" s="19">
        <v>4.4598766870441675E-2</v>
      </c>
    </row>
    <row r="503" spans="1:92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 t="str">
        <v>42.Weather conditions</v>
      </c>
      <c r="AW503" s="25">
        <v>-3.0908464486467668E-4</v>
      </c>
      <c r="AX503" s="26">
        <v>-1.2799338813711869E-2</v>
      </c>
      <c r="AY503" s="26">
        <v>5.816031763770127E-2</v>
      </c>
      <c r="AZ503" s="18">
        <v>5.6674295892138016E-2</v>
      </c>
      <c r="BA503" s="18">
        <v>-3.2186519181395534E-2</v>
      </c>
      <c r="BB503" s="18">
        <v>1.1457211598739359E-2</v>
      </c>
      <c r="BC503" s="18">
        <v>1.6613580974848718E-2</v>
      </c>
      <c r="BD503" s="18">
        <v>3.0441732580972491E-3</v>
      </c>
      <c r="BE503" s="18">
        <v>-3.0080678815264217E-2</v>
      </c>
      <c r="BF503" s="18">
        <v>2.0415343941853903E-2</v>
      </c>
      <c r="BG503" s="18">
        <v>-2.6332434163932772E-2</v>
      </c>
      <c r="BH503" s="18">
        <v>-1.2269969658997293E-2</v>
      </c>
      <c r="BI503" s="18">
        <v>-7.8739208447946574E-3</v>
      </c>
      <c r="BJ503" s="18">
        <v>-5.9545385524508825E-2</v>
      </c>
      <c r="BK503" s="18">
        <v>2.1193824982374432E-2</v>
      </c>
      <c r="BL503" s="18">
        <v>-2.6210413427648072E-2</v>
      </c>
      <c r="BM503" s="18">
        <v>3.8213036048894172E-2</v>
      </c>
      <c r="BN503" s="18">
        <v>-6.0430398337001173E-2</v>
      </c>
      <c r="BO503" s="18">
        <v>-1.9506321173842156E-2</v>
      </c>
      <c r="BP503" s="18">
        <v>-4.7776862155954336E-3</v>
      </c>
      <c r="BQ503" s="18">
        <v>1.6836744032230344E-2</v>
      </c>
      <c r="BR503" s="18">
        <v>9.9926365422347563E-3</v>
      </c>
      <c r="BS503" s="18">
        <v>-4.9377856436384704E-2</v>
      </c>
      <c r="BT503" s="18">
        <v>-2.7602470827229331E-3</v>
      </c>
      <c r="BU503" s="18">
        <v>2.0847648106652128E-2</v>
      </c>
      <c r="BV503" s="18">
        <v>-4.7083383802903722E-2</v>
      </c>
      <c r="BW503" s="18">
        <v>5.288458352572778E-2</v>
      </c>
      <c r="BX503" s="18">
        <v>-3.3031857860799319E-2</v>
      </c>
      <c r="BY503" s="18">
        <v>8.4828377011878509E-3</v>
      </c>
      <c r="BZ503" s="18">
        <v>2.4214051246991442E-2</v>
      </c>
      <c r="CA503" s="18">
        <v>-1.9939667852326037E-2</v>
      </c>
      <c r="CB503" s="18">
        <v>-1.8336296561188514E-2</v>
      </c>
      <c r="CC503" s="18">
        <v>-2.0601333113648063E-2</v>
      </c>
      <c r="CD503" s="18">
        <v>3.6949240911630321E-2</v>
      </c>
      <c r="CE503" s="18">
        <v>-2.1222204436120995E-3</v>
      </c>
      <c r="CF503" s="18">
        <v>-6.5601929916212831E-2</v>
      </c>
      <c r="CG503" s="18">
        <v>-5.698026645077825E-2</v>
      </c>
      <c r="CH503" s="18">
        <v>6.1263916563867211E-2</v>
      </c>
      <c r="CI503" s="18">
        <v>2.8699711834647802E-2</v>
      </c>
      <c r="CJ503" s="18">
        <v>-4.1997260626800842E-3</v>
      </c>
      <c r="CK503" s="18">
        <v>-3.549202815457464E-2</v>
      </c>
      <c r="CL503" s="18">
        <v>0.15775814195655147</v>
      </c>
      <c r="CM503" s="18">
        <v>-4.4929268202335004E-3</v>
      </c>
      <c r="CN503" s="19">
        <v>-4.347706628831377E-2</v>
      </c>
    </row>
    <row r="504" spans="1:92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 t="str">
        <v>43.Accidents during construction</v>
      </c>
      <c r="AW504" s="25">
        <v>2.8578930600534624E-2</v>
      </c>
      <c r="AX504" s="26">
        <v>-3.0948985545790675E-2</v>
      </c>
      <c r="AY504" s="26">
        <v>-9.6586526658878624E-3</v>
      </c>
      <c r="AZ504" s="18">
        <v>3.8727583153896905E-2</v>
      </c>
      <c r="BA504" s="18">
        <v>-3.0960323776988374E-2</v>
      </c>
      <c r="BB504" s="18">
        <v>-3.4704036663672277E-2</v>
      </c>
      <c r="BC504" s="18">
        <v>7.1775107395956605E-3</v>
      </c>
      <c r="BD504" s="18">
        <v>-3.3950400525478375E-2</v>
      </c>
      <c r="BE504" s="18">
        <v>1.561399757405213E-3</v>
      </c>
      <c r="BF504" s="18">
        <v>1.6602815115630526E-2</v>
      </c>
      <c r="BG504" s="18">
        <v>-3.8872192741412626E-3</v>
      </c>
      <c r="BH504" s="18">
        <v>8.1044590434820596E-3</v>
      </c>
      <c r="BI504" s="18">
        <v>-1.9004246429230598E-2</v>
      </c>
      <c r="BJ504" s="18">
        <v>-3.9239185815039143E-2</v>
      </c>
      <c r="BK504" s="18">
        <v>5.3664972660414055E-2</v>
      </c>
      <c r="BL504" s="18">
        <v>-5.9872248625884195E-2</v>
      </c>
      <c r="BM504" s="18">
        <v>1.596659287904649E-2</v>
      </c>
      <c r="BN504" s="18">
        <v>-8.5822953251497525E-2</v>
      </c>
      <c r="BO504" s="18">
        <v>-4.8524521579931895E-2</v>
      </c>
      <c r="BP504" s="18">
        <v>-2.4345494590538724E-2</v>
      </c>
      <c r="BQ504" s="18">
        <v>5.2512178697348144E-2</v>
      </c>
      <c r="BR504" s="18">
        <v>-2.8661070455048079E-3</v>
      </c>
      <c r="BS504" s="18">
        <v>-7.5129508810330703E-3</v>
      </c>
      <c r="BT504" s="18">
        <v>8.0486829841822094E-4</v>
      </c>
      <c r="BU504" s="18">
        <v>-7.9869180607808621E-3</v>
      </c>
      <c r="BV504" s="18">
        <v>9.9028301871640634E-3</v>
      </c>
      <c r="BW504" s="18">
        <v>8.1282557112467207E-2</v>
      </c>
      <c r="BX504" s="18">
        <v>4.8385784397305925E-2</v>
      </c>
      <c r="BY504" s="18">
        <v>2.6941320560081732E-2</v>
      </c>
      <c r="BZ504" s="18">
        <v>2.6024878473484864E-2</v>
      </c>
      <c r="CA504" s="18">
        <v>-5.0888010124441732E-2</v>
      </c>
      <c r="CB504" s="18">
        <v>6.6631168157602616E-3</v>
      </c>
      <c r="CC504" s="18">
        <v>7.6174905022950351E-2</v>
      </c>
      <c r="CD504" s="18">
        <v>-2.1213260613627827E-2</v>
      </c>
      <c r="CE504" s="18">
        <v>1.4623398934351717E-2</v>
      </c>
      <c r="CF504" s="18">
        <v>-0.10320987229577394</v>
      </c>
      <c r="CG504" s="18">
        <v>-0.13023111520284081</v>
      </c>
      <c r="CH504" s="18">
        <v>3.5360984297831563E-2</v>
      </c>
      <c r="CI504" s="18">
        <v>1.8198409308438482E-2</v>
      </c>
      <c r="CJ504" s="18">
        <v>-1.9839739607725178E-2</v>
      </c>
      <c r="CK504" s="18">
        <v>2.6382874244710308E-3</v>
      </c>
      <c r="CL504" s="18">
        <v>-4.4929268202335004E-3</v>
      </c>
      <c r="CM504" s="18">
        <v>0.20168127700186533</v>
      </c>
      <c r="CN504" s="19">
        <v>-5.4191094262933948E-2</v>
      </c>
    </row>
    <row r="505" spans="1:92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 t="str">
        <v>44.Delay in getting NOCs from different government authorities</v>
      </c>
      <c r="AW505" s="27">
        <v>-0.10017684202520577</v>
      </c>
      <c r="AX505" s="28">
        <v>3.570655638682585E-3</v>
      </c>
      <c r="AY505" s="28">
        <v>9.0449177341199671E-2</v>
      </c>
      <c r="AZ505" s="20">
        <v>-6.6686223286345131E-2</v>
      </c>
      <c r="BA505" s="20">
        <v>1.940552430492351E-2</v>
      </c>
      <c r="BB505" s="20">
        <v>-1.4927997033393148E-2</v>
      </c>
      <c r="BC505" s="20">
        <v>3.025658332399167E-2</v>
      </c>
      <c r="BD505" s="20">
        <v>-1.5279405058585938E-2</v>
      </c>
      <c r="BE505" s="20">
        <v>-4.042326186625364E-2</v>
      </c>
      <c r="BF505" s="20">
        <v>-2.5816428271341341E-4</v>
      </c>
      <c r="BG505" s="20">
        <v>-1.5112467054282847E-2</v>
      </c>
      <c r="BH505" s="20">
        <v>1.7722852954989626E-2</v>
      </c>
      <c r="BI505" s="20">
        <v>4.0277073436626315E-2</v>
      </c>
      <c r="BJ505" s="20">
        <v>4.337160529179801E-2</v>
      </c>
      <c r="BK505" s="20">
        <v>-4.4960991437848097E-2</v>
      </c>
      <c r="BL505" s="20">
        <v>-2.6919276423692295E-2</v>
      </c>
      <c r="BM505" s="20">
        <v>6.6886180780241222E-3</v>
      </c>
      <c r="BN505" s="20">
        <v>2.7365846961233536E-2</v>
      </c>
      <c r="BO505" s="20">
        <v>6.7158827343339556E-2</v>
      </c>
      <c r="BP505" s="20">
        <v>6.9805000212846136E-3</v>
      </c>
      <c r="BQ505" s="20">
        <v>-7.016503528601975E-3</v>
      </c>
      <c r="BR505" s="20">
        <v>4.1182692917252212E-2</v>
      </c>
      <c r="BS505" s="20">
        <v>-2.5729886192654476E-2</v>
      </c>
      <c r="BT505" s="20">
        <v>-4.2564858034132999E-2</v>
      </c>
      <c r="BU505" s="20">
        <v>-5.8038821293303955E-2</v>
      </c>
      <c r="BV505" s="20">
        <v>4.939345220488342E-2</v>
      </c>
      <c r="BW505" s="20">
        <v>-2.9672046499218396E-4</v>
      </c>
      <c r="BX505" s="20">
        <v>-3.090473972041724E-2</v>
      </c>
      <c r="BY505" s="20">
        <v>-4.4055907027709784E-2</v>
      </c>
      <c r="BZ505" s="20">
        <v>-8.1502395205859945E-2</v>
      </c>
      <c r="CA505" s="20">
        <v>-4.638307217829124E-3</v>
      </c>
      <c r="CB505" s="20">
        <v>8.213705422271983E-3</v>
      </c>
      <c r="CC505" s="20">
        <v>-1.9178575935416886E-2</v>
      </c>
      <c r="CD505" s="20">
        <v>1.2039985783883489E-2</v>
      </c>
      <c r="CE505" s="20">
        <v>3.7189766858589129E-2</v>
      </c>
      <c r="CF505" s="20">
        <v>3.354935961974248E-2</v>
      </c>
      <c r="CG505" s="20">
        <v>-3.6174509266098942E-2</v>
      </c>
      <c r="CH505" s="20">
        <v>-1.1224413450891119E-2</v>
      </c>
      <c r="CI505" s="20">
        <v>-3.9846277628206112E-2</v>
      </c>
      <c r="CJ505" s="20">
        <v>-4.2441946247159884E-2</v>
      </c>
      <c r="CK505" s="20">
        <v>4.4598766870441675E-2</v>
      </c>
      <c r="CL505" s="20">
        <v>-4.347706628831377E-2</v>
      </c>
      <c r="CM505" s="20">
        <v>-5.4191094262933948E-2</v>
      </c>
      <c r="CN505" s="21">
        <v>0.27405520384221382</v>
      </c>
    </row>
    <row r="506" spans="1:92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92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 t="s">
        <v>210</v>
      </c>
      <c r="AW507" s="3"/>
      <c r="AX507" s="3"/>
      <c r="AY507" s="3"/>
    </row>
    <row r="508" spans="1:92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92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>
        <v>1</v>
      </c>
      <c r="AX509" s="3">
        <f>AW509+1</f>
        <v>2</v>
      </c>
      <c r="AY509" s="3">
        <f t="shared" ref="AY509:BG509" si="18">AX509+1</f>
        <v>3</v>
      </c>
      <c r="AZ509" s="3">
        <f t="shared" si="18"/>
        <v>4</v>
      </c>
      <c r="BA509" s="3">
        <f t="shared" si="18"/>
        <v>5</v>
      </c>
      <c r="BB509" s="3">
        <f t="shared" si="18"/>
        <v>6</v>
      </c>
      <c r="BC509" s="3">
        <f t="shared" si="18"/>
        <v>7</v>
      </c>
      <c r="BD509" s="3">
        <f t="shared" si="18"/>
        <v>8</v>
      </c>
      <c r="BE509" s="3">
        <f t="shared" si="18"/>
        <v>9</v>
      </c>
      <c r="BF509" s="3">
        <f t="shared" si="18"/>
        <v>10</v>
      </c>
      <c r="BG509" s="3">
        <f t="shared" si="18"/>
        <v>11</v>
      </c>
    </row>
    <row r="510" spans="1:92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 t="str">
        <f t="array" ref="AV510:AV553">TRANSPOSE(B1:AS1)</f>
        <v>1.Delay in delivering material to construction site</v>
      </c>
      <c r="AW510" s="34">
        <f t="array" ref="AW510:BG553">MMULT(AW365:BG408,MINVERSE(MMULT(TRANSPOSE(AW365:BG408),AW365:BG408)))</f>
        <v>4.8847138814189547E-2</v>
      </c>
      <c r="AX510" s="35">
        <v>-1.9411461514233033E-2</v>
      </c>
      <c r="AY510" s="35">
        <v>-3.7677036274646011E-2</v>
      </c>
      <c r="AZ510" s="16">
        <v>1.5894931365117947E-2</v>
      </c>
      <c r="BA510" s="16">
        <v>-2.3895481256659381E-2</v>
      </c>
      <c r="BB510" s="16">
        <v>3.0692955660744585E-2</v>
      </c>
      <c r="BC510" s="16">
        <v>-2.46918702995781E-2</v>
      </c>
      <c r="BD510" s="16">
        <v>-4.693594316035167E-2</v>
      </c>
      <c r="BE510" s="16">
        <v>-0.24053550739617358</v>
      </c>
      <c r="BF510" s="16">
        <v>-7.1931076058316112E-3</v>
      </c>
      <c r="BG510" s="17">
        <v>-0.12031628857538462</v>
      </c>
    </row>
    <row r="511" spans="1:92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 t="str">
        <v>2.Monopoly of material by some suppliers</v>
      </c>
      <c r="AW511" s="25">
        <v>4.0423198733587858E-2</v>
      </c>
      <c r="AX511" s="26">
        <v>7.9961281714028595E-2</v>
      </c>
      <c r="AY511" s="26">
        <v>2.6934739328370913E-2</v>
      </c>
      <c r="AZ511" s="18">
        <v>-2.7673460042262395E-2</v>
      </c>
      <c r="BA511" s="18">
        <v>9.3259300910215295E-2</v>
      </c>
      <c r="BB511" s="18">
        <v>0.12251203820859898</v>
      </c>
      <c r="BC511" s="18">
        <v>4.0718834822892395E-2</v>
      </c>
      <c r="BD511" s="18">
        <v>5.321400122649482E-2</v>
      </c>
      <c r="BE511" s="18">
        <v>-0.28583999638582258</v>
      </c>
      <c r="BF511" s="18">
        <v>2.8397623254468381E-2</v>
      </c>
      <c r="BG511" s="19">
        <v>-7.4334147419968549E-2</v>
      </c>
    </row>
    <row r="512" spans="1:92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 t="str">
        <v>3.Prices fluctuation</v>
      </c>
      <c r="AW512" s="25">
        <v>-5.7065107840455515E-2</v>
      </c>
      <c r="AX512" s="26">
        <v>-3.8311178783903319E-2</v>
      </c>
      <c r="AY512" s="26">
        <v>0.17318947632307216</v>
      </c>
      <c r="AZ512" s="18">
        <v>-1.3135056322700168E-2</v>
      </c>
      <c r="BA512" s="18">
        <v>0.13209447645474326</v>
      </c>
      <c r="BB512" s="18">
        <v>-0.20640022255133722</v>
      </c>
      <c r="BC512" s="18">
        <v>9.590403336290524E-3</v>
      </c>
      <c r="BD512" s="18">
        <v>9.8710544037008546E-2</v>
      </c>
      <c r="BE512" s="18">
        <v>-0.20424286579910331</v>
      </c>
      <c r="BF512" s="18">
        <v>-0.14025154342460369</v>
      </c>
      <c r="BG512" s="19">
        <v>0.2795321118051009</v>
      </c>
    </row>
    <row r="513" spans="1:59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 t="str">
        <v>4.Types of material availability at local market</v>
      </c>
      <c r="AW513" s="25">
        <v>6.1351824619664593E-3</v>
      </c>
      <c r="AX513" s="26">
        <v>-3.5749966389052673E-2</v>
      </c>
      <c r="AY513" s="26">
        <v>6.8484019363134543E-2</v>
      </c>
      <c r="AZ513" s="18">
        <v>-6.6658898586529639E-2</v>
      </c>
      <c r="BA513" s="18">
        <v>-4.9526689604669841E-2</v>
      </c>
      <c r="BB513" s="18">
        <v>-0.1189322276566715</v>
      </c>
      <c r="BC513" s="18">
        <v>1.2499279608273895E-2</v>
      </c>
      <c r="BD513" s="18">
        <v>2.0138130413462713E-2</v>
      </c>
      <c r="BE513" s="18">
        <v>-0.25247052965291927</v>
      </c>
      <c r="BF513" s="18">
        <v>-8.777301029035138E-2</v>
      </c>
      <c r="BG513" s="19">
        <v>9.7399120247354573E-2</v>
      </c>
    </row>
    <row r="514" spans="1:59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 t="str">
        <v>5.Lack of consultant’s knowledge of available materials</v>
      </c>
      <c r="AW514" s="25">
        <v>-3.2868233087813385E-3</v>
      </c>
      <c r="AX514" s="26">
        <v>0.10811380408397354</v>
      </c>
      <c r="AY514" s="26">
        <v>5.6041775048092178E-2</v>
      </c>
      <c r="AZ514" s="18">
        <v>-4.0202618025578767E-3</v>
      </c>
      <c r="BA514" s="18">
        <v>-9.5589206387949217E-3</v>
      </c>
      <c r="BB514" s="18">
        <v>-8.5024754317072654E-2</v>
      </c>
      <c r="BC514" s="18">
        <v>-6.1921984725989421E-2</v>
      </c>
      <c r="BD514" s="18">
        <v>9.7049499478114504E-2</v>
      </c>
      <c r="BE514" s="18">
        <v>-0.1267762902139615</v>
      </c>
      <c r="BF514" s="18">
        <v>-1.7546517823176035E-2</v>
      </c>
      <c r="BG514" s="19">
        <v>4.9107151444661698E-2</v>
      </c>
    </row>
    <row r="515" spans="1:59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 t="str">
        <v>6.Low productivity</v>
      </c>
      <c r="AW515" s="25">
        <v>-0.17302871418072446</v>
      </c>
      <c r="AX515" s="26">
        <v>-6.2106138157970014E-3</v>
      </c>
      <c r="AY515" s="26">
        <v>-3.2859767393128604E-2</v>
      </c>
      <c r="AZ515" s="18">
        <v>-2.9473574282077256E-2</v>
      </c>
      <c r="BA515" s="18">
        <v>1.5158683214494087E-2</v>
      </c>
      <c r="BB515" s="18">
        <v>7.1527072146531992E-2</v>
      </c>
      <c r="BC515" s="18">
        <v>-2.2597027102534115E-2</v>
      </c>
      <c r="BD515" s="18">
        <v>3.3545734922893599E-3</v>
      </c>
      <c r="BE515" s="18">
        <v>2.9442362075044307E-2</v>
      </c>
      <c r="BF515" s="18">
        <v>-8.5265097617648195E-2</v>
      </c>
      <c r="BG515" s="19">
        <v>-6.2715335802819447E-2</v>
      </c>
    </row>
    <row r="516" spans="1:59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 t="str">
        <v>7.Poor work execution</v>
      </c>
      <c r="AW516" s="25">
        <v>-0.12481821507252969</v>
      </c>
      <c r="AX516" s="26">
        <v>-1.4099344614626383E-2</v>
      </c>
      <c r="AY516" s="26">
        <v>-1.9046411260603743E-2</v>
      </c>
      <c r="AZ516" s="18">
        <v>-1.6554797786837182E-2</v>
      </c>
      <c r="BA516" s="18">
        <v>-5.4071105950127929E-2</v>
      </c>
      <c r="BB516" s="18">
        <v>6.6479442344324041E-2</v>
      </c>
      <c r="BC516" s="18">
        <v>1.0474692104483355E-3</v>
      </c>
      <c r="BD516" s="18">
        <v>-2.5382870304834149E-2</v>
      </c>
      <c r="BE516" s="18">
        <v>-4.4307845445514929E-2</v>
      </c>
      <c r="BF516" s="18">
        <v>-0.12961195000426179</v>
      </c>
      <c r="BG516" s="19">
        <v>4.2159905952496246E-2</v>
      </c>
    </row>
    <row r="517" spans="1:59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 t="str">
        <v>8.Shortage of laborers</v>
      </c>
      <c r="AW517" s="25">
        <v>-0.14327840367497499</v>
      </c>
      <c r="AX517" s="26">
        <v>-3.1131811770611539E-2</v>
      </c>
      <c r="AY517" s="26">
        <v>-2.7696378442441483E-2</v>
      </c>
      <c r="AZ517" s="18">
        <v>-4.5479677892772991E-2</v>
      </c>
      <c r="BA517" s="18">
        <v>-8.4678582031966612E-2</v>
      </c>
      <c r="BB517" s="18">
        <v>-3.7254272306853402E-2</v>
      </c>
      <c r="BC517" s="18">
        <v>-7.0066943640974197E-3</v>
      </c>
      <c r="BD517" s="18">
        <v>0.15176993722671386</v>
      </c>
      <c r="BE517" s="18">
        <v>3.6953473140968564E-2</v>
      </c>
      <c r="BF517" s="18">
        <v>2.932685385111073E-2</v>
      </c>
      <c r="BG517" s="19">
        <v>-0.12376564904461698</v>
      </c>
    </row>
    <row r="518" spans="1:59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 t="str">
        <v>9.Mistakes happens during construction phase</v>
      </c>
      <c r="AW518" s="25">
        <v>-0.1280132468803675</v>
      </c>
      <c r="AX518" s="26">
        <v>5.9067571908356382E-2</v>
      </c>
      <c r="AY518" s="26">
        <v>-2.2298391097068059E-2</v>
      </c>
      <c r="AZ518" s="18">
        <v>-1.6695413070204009E-3</v>
      </c>
      <c r="BA518" s="18">
        <v>6.6489528521292293E-2</v>
      </c>
      <c r="BB518" s="18">
        <v>7.9039426018093564E-3</v>
      </c>
      <c r="BC518" s="18">
        <v>-0.12127183404801725</v>
      </c>
      <c r="BD518" s="18">
        <v>-2.9451359263272366E-2</v>
      </c>
      <c r="BE518" s="18">
        <v>3.09778329975323E-2</v>
      </c>
      <c r="BF518" s="18">
        <v>-4.4510718255655141E-2</v>
      </c>
      <c r="BG518" s="19">
        <v>-9.7079204570461167E-2</v>
      </c>
    </row>
    <row r="519" spans="1:59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 t="str">
        <v>10.Unavailability of equipment</v>
      </c>
      <c r="AW519" s="25">
        <v>-5.7459360467685919E-2</v>
      </c>
      <c r="AX519" s="26">
        <v>-3.7382748492172754E-2</v>
      </c>
      <c r="AY519" s="26">
        <v>-2.6314780652195779E-2</v>
      </c>
      <c r="AZ519" s="18">
        <v>-5.9776842178459605E-3</v>
      </c>
      <c r="BA519" s="18">
        <v>0.120664212863763</v>
      </c>
      <c r="BB519" s="18">
        <v>-8.4477412669250851E-2</v>
      </c>
      <c r="BC519" s="18">
        <v>8.4022588521369762E-2</v>
      </c>
      <c r="BD519" s="18">
        <v>-4.0794207650512518E-2</v>
      </c>
      <c r="BE519" s="18">
        <v>-3.6854682220651816E-2</v>
      </c>
      <c r="BF519" s="18">
        <v>-4.9206371015499004E-2</v>
      </c>
      <c r="BG519" s="19">
        <v>-0.26909599111097626</v>
      </c>
    </row>
    <row r="520" spans="1:59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 t="str">
        <v>11.Lack of engineering experience</v>
      </c>
      <c r="AW520" s="25">
        <v>-0.20506979283836754</v>
      </c>
      <c r="AX520" s="26">
        <v>-6.1125694930305438E-2</v>
      </c>
      <c r="AY520" s="26">
        <v>4.8877814473278901E-2</v>
      </c>
      <c r="AZ520" s="18">
        <v>-6.9545690566679197E-2</v>
      </c>
      <c r="BA520" s="18">
        <v>4.6875109698989816E-2</v>
      </c>
      <c r="BB520" s="18">
        <v>6.7873242131518158E-2</v>
      </c>
      <c r="BC520" s="18">
        <v>0.10512537832035722</v>
      </c>
      <c r="BD520" s="18">
        <v>5.7718919291629901E-2</v>
      </c>
      <c r="BE520" s="18">
        <v>8.2171233984038819E-2</v>
      </c>
      <c r="BF520" s="18">
        <v>6.188721848813971E-2</v>
      </c>
      <c r="BG520" s="19">
        <v>7.1662174286859698E-2</v>
      </c>
    </row>
    <row r="521" spans="1:59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 t="str">
        <v>12.Construction cost underestimation</v>
      </c>
      <c r="AW521" s="25">
        <v>-0.17228505680349737</v>
      </c>
      <c r="AX521" s="26">
        <v>-4.53274102707487E-2</v>
      </c>
      <c r="AY521" s="26">
        <v>2.7143439476612352E-2</v>
      </c>
      <c r="AZ521" s="18">
        <v>7.6601339538301297E-2</v>
      </c>
      <c r="BA521" s="18">
        <v>4.5930993595864451E-2</v>
      </c>
      <c r="BB521" s="18">
        <v>-4.7690004108508939E-3</v>
      </c>
      <c r="BC521" s="18">
        <v>-6.8927376130225176E-2</v>
      </c>
      <c r="BD521" s="18">
        <v>3.8817593691412661E-2</v>
      </c>
      <c r="BE521" s="18">
        <v>0.14738369937891929</v>
      </c>
      <c r="BF521" s="18">
        <v>0.13350598008215114</v>
      </c>
      <c r="BG521" s="19">
        <v>1.3333460353294489E-2</v>
      </c>
    </row>
    <row r="522" spans="1:59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 t="str">
        <v>13.Poor site management</v>
      </c>
      <c r="AW522" s="25">
        <v>-0.20724642637322349</v>
      </c>
      <c r="AX522" s="26">
        <v>-4.2492170094206055E-2</v>
      </c>
      <c r="AY522" s="26">
        <v>2.3770344592568316E-2</v>
      </c>
      <c r="AZ522" s="18">
        <v>2.4377137467528928E-3</v>
      </c>
      <c r="BA522" s="18">
        <v>-2.4581480266462015E-2</v>
      </c>
      <c r="BB522" s="18">
        <v>7.2473309046389794E-2</v>
      </c>
      <c r="BC522" s="18">
        <v>3.1496064103495154E-2</v>
      </c>
      <c r="BD522" s="18">
        <v>0.10148566032387533</v>
      </c>
      <c r="BE522" s="18">
        <v>0.12379319214000457</v>
      </c>
      <c r="BF522" s="18">
        <v>4.0264137740180853E-2</v>
      </c>
      <c r="BG522" s="19">
        <v>0.17290079315184176</v>
      </c>
    </row>
    <row r="523" spans="1:59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 t="str">
        <v>14.Delayed payment for completed work</v>
      </c>
      <c r="AW523" s="25">
        <v>-1.211772097549565E-2</v>
      </c>
      <c r="AX523" s="26">
        <v>-2.0983286465810061E-2</v>
      </c>
      <c r="AY523" s="26">
        <v>-4.7918304746849667E-2</v>
      </c>
      <c r="AZ523" s="18">
        <v>1.9035644374093358E-2</v>
      </c>
      <c r="BA523" s="18">
        <v>-9.2009758794917476E-2</v>
      </c>
      <c r="BB523" s="18">
        <v>5.7129108758907331E-2</v>
      </c>
      <c r="BC523" s="18">
        <v>0.24657195235406509</v>
      </c>
      <c r="BD523" s="18">
        <v>0.23976823036481917</v>
      </c>
      <c r="BE523" s="18">
        <v>7.1472461902529079E-4</v>
      </c>
      <c r="BF523" s="18">
        <v>3.3146042040751757E-2</v>
      </c>
      <c r="BG523" s="19">
        <v>5.1054058602301028E-2</v>
      </c>
    </row>
    <row r="524" spans="1:59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 t="str">
        <v>15.Cash flow problem during construction</v>
      </c>
      <c r="AW524" s="25">
        <v>-2.5780852346687921E-3</v>
      </c>
      <c r="AX524" s="26">
        <v>2.2184626542164951E-2</v>
      </c>
      <c r="AY524" s="26">
        <v>4.6901404591397564E-2</v>
      </c>
      <c r="AZ524" s="18">
        <v>-2.9752684422749139E-2</v>
      </c>
      <c r="BA524" s="18">
        <v>1.0640691787167179E-2</v>
      </c>
      <c r="BB524" s="18">
        <v>7.8181408092038898E-2</v>
      </c>
      <c r="BC524" s="18">
        <v>0.35348293797195135</v>
      </c>
      <c r="BD524" s="18">
        <v>3.306462483966989E-2</v>
      </c>
      <c r="BE524" s="18">
        <v>-2.1528057718852776E-2</v>
      </c>
      <c r="BF524" s="18">
        <v>-9.6624534696470865E-2</v>
      </c>
      <c r="BG524" s="19">
        <v>-4.5226965381286476E-2</v>
      </c>
    </row>
    <row r="525" spans="1:59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 t="str">
        <v>16.High rate of interest</v>
      </c>
      <c r="AW525" s="25">
        <v>-7.2677237387907906E-2</v>
      </c>
      <c r="AX525" s="26">
        <v>2.2109510217843305E-2</v>
      </c>
      <c r="AY525" s="26">
        <v>0.14999697645521332</v>
      </c>
      <c r="AZ525" s="18">
        <v>-5.5214013533375766E-2</v>
      </c>
      <c r="BA525" s="18">
        <v>-6.0244945325109822E-2</v>
      </c>
      <c r="BB525" s="18">
        <v>-4.1044005367608459E-2</v>
      </c>
      <c r="BC525" s="18">
        <v>0.19583274038258267</v>
      </c>
      <c r="BD525" s="18">
        <v>9.9509656533612267E-2</v>
      </c>
      <c r="BE525" s="18">
        <v>0.16761631106427671</v>
      </c>
      <c r="BF525" s="18">
        <v>0.19658881704518905</v>
      </c>
      <c r="BG525" s="19">
        <v>-2.5336407416462738E-2</v>
      </c>
    </row>
    <row r="526" spans="1:59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 t="str">
        <v>17.Contractor’s financial difficulties</v>
      </c>
      <c r="AW526" s="25">
        <v>3.5267620829329251E-2</v>
      </c>
      <c r="AX526" s="26">
        <v>-8.9290072703304135E-2</v>
      </c>
      <c r="AY526" s="26">
        <v>7.9028695237404092E-2</v>
      </c>
      <c r="AZ526" s="18">
        <v>-5.9859931814233644E-2</v>
      </c>
      <c r="BA526" s="18">
        <v>0.10697012805753171</v>
      </c>
      <c r="BB526" s="18">
        <v>-7.6008284509911109E-2</v>
      </c>
      <c r="BC526" s="18">
        <v>0.35437360283414532</v>
      </c>
      <c r="BD526" s="18">
        <v>-0.12473454832569963</v>
      </c>
      <c r="BE526" s="18">
        <v>-4.2059271569586228E-2</v>
      </c>
      <c r="BF526" s="18">
        <v>-7.4526440463522581E-2</v>
      </c>
      <c r="BG526" s="19">
        <v>2.7312836938666794E-2</v>
      </c>
    </row>
    <row r="527" spans="1:59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 t="str">
        <v>18.Increase in salaries of skilled laborers</v>
      </c>
      <c r="AW527" s="25">
        <v>-1.8734004753953069E-2</v>
      </c>
      <c r="AX527" s="26">
        <v>-0.11764644276048813</v>
      </c>
      <c r="AY527" s="26">
        <v>4.8415250081713247E-2</v>
      </c>
      <c r="AZ527" s="18">
        <v>1.8329328224597488E-3</v>
      </c>
      <c r="BA527" s="18">
        <v>5.6388984910052828E-2</v>
      </c>
      <c r="BB527" s="18">
        <v>-0.3951425171078905</v>
      </c>
      <c r="BC527" s="18">
        <v>-1.2081165367154845E-3</v>
      </c>
      <c r="BD527" s="18">
        <v>0.19639267487239176</v>
      </c>
      <c r="BE527" s="18">
        <v>-1.1501142229331037E-3</v>
      </c>
      <c r="BF527" s="18">
        <v>0.12546940674561746</v>
      </c>
      <c r="BG527" s="19">
        <v>4.2167164199297141E-2</v>
      </c>
    </row>
    <row r="528" spans="1:59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 t="str">
        <v>19.Change design</v>
      </c>
      <c r="AW528" s="25">
        <v>-5.1619140725428808E-2</v>
      </c>
      <c r="AX528" s="26">
        <v>0.26658549845486668</v>
      </c>
      <c r="AY528" s="26">
        <v>4.6292441794252619E-2</v>
      </c>
      <c r="AZ528" s="18">
        <v>5.5863702399795774E-2</v>
      </c>
      <c r="BA528" s="18">
        <v>-6.6126533319530806E-2</v>
      </c>
      <c r="BB528" s="18">
        <v>0.19258073060458561</v>
      </c>
      <c r="BC528" s="18">
        <v>-5.27445230628674E-2</v>
      </c>
      <c r="BD528" s="18">
        <v>0.16614964225518503</v>
      </c>
      <c r="BE528" s="18">
        <v>-3.6750844901910894E-3</v>
      </c>
      <c r="BF528" s="18">
        <v>-4.320365849194107E-2</v>
      </c>
      <c r="BG528" s="19">
        <v>2.9121033051749061E-2</v>
      </c>
    </row>
    <row r="529" spans="1:59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 t="str">
        <v>20.Errors and omission in design</v>
      </c>
      <c r="AW529" s="25">
        <v>2.4827703634847785E-2</v>
      </c>
      <c r="AX529" s="26">
        <v>0.30374686080962077</v>
      </c>
      <c r="AY529" s="26">
        <v>-7.328030265006379E-3</v>
      </c>
      <c r="AZ529" s="18">
        <v>-5.4123222857188381E-2</v>
      </c>
      <c r="BA529" s="18">
        <v>-1.3469289784213167E-3</v>
      </c>
      <c r="BB529" s="18">
        <v>0.11149154607028924</v>
      </c>
      <c r="BC529" s="18">
        <v>-3.5427668528854379E-2</v>
      </c>
      <c r="BD529" s="18">
        <v>7.1725596206376765E-2</v>
      </c>
      <c r="BE529" s="18">
        <v>-1.4399900873003364E-2</v>
      </c>
      <c r="BF529" s="18">
        <v>-2.9363180259072801E-2</v>
      </c>
      <c r="BG529" s="19">
        <v>-5.3686876147772705E-2</v>
      </c>
    </row>
    <row r="530" spans="1:59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 t="str">
        <v>21.Incomplete design drawings and specifications at tendering stage</v>
      </c>
      <c r="AW530" s="25">
        <v>2.2492288191013517E-2</v>
      </c>
      <c r="AX530" s="26">
        <v>0.22497526550973038</v>
      </c>
      <c r="AY530" s="26">
        <v>4.3184669068791849E-2</v>
      </c>
      <c r="AZ530" s="18">
        <v>0.11177642932970543</v>
      </c>
      <c r="BA530" s="18">
        <v>0.14674749782448493</v>
      </c>
      <c r="BB530" s="18">
        <v>7.6861028403677617E-2</v>
      </c>
      <c r="BC530" s="18">
        <v>5.6204232001164915E-2</v>
      </c>
      <c r="BD530" s="18">
        <v>8.8793607016426954E-2</v>
      </c>
      <c r="BE530" s="18">
        <v>7.6181053338244924E-4</v>
      </c>
      <c r="BF530" s="18">
        <v>-1.9418181547177796E-2</v>
      </c>
      <c r="BG530" s="19">
        <v>-1.4764350047520983E-2</v>
      </c>
    </row>
    <row r="531" spans="1:59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 t="str">
        <v>22.Delay in preparation and approval of drawing</v>
      </c>
      <c r="AW531" s="25">
        <v>9.8802343648813157E-2</v>
      </c>
      <c r="AX531" s="26">
        <v>0.13688594758067266</v>
      </c>
      <c r="AY531" s="26">
        <v>-9.318415920455142E-2</v>
      </c>
      <c r="AZ531" s="18">
        <v>9.3128896613908663E-2</v>
      </c>
      <c r="BA531" s="18">
        <v>3.9904235714199911E-2</v>
      </c>
      <c r="BB531" s="18">
        <v>-0.11592056693589445</v>
      </c>
      <c r="BC531" s="18">
        <v>-7.9596561596334534E-2</v>
      </c>
      <c r="BD531" s="18">
        <v>-5.1741871146812075E-3</v>
      </c>
      <c r="BE531" s="18">
        <v>-1.2724509898249916E-2</v>
      </c>
      <c r="BF531" s="18">
        <v>-5.702763291666945E-2</v>
      </c>
      <c r="BG531" s="19">
        <v>-8.2305791281132745E-2</v>
      </c>
    </row>
    <row r="532" spans="1:59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 t="str">
        <v>23.Inaccurate quantity take-off</v>
      </c>
      <c r="AW532" s="25">
        <v>8.0153545876050974E-2</v>
      </c>
      <c r="AX532" s="26">
        <v>0.14311527513902958</v>
      </c>
      <c r="AY532" s="26">
        <v>1.3503187664919761E-2</v>
      </c>
      <c r="AZ532" s="18">
        <v>-2.8124060654275362E-2</v>
      </c>
      <c r="BA532" s="18">
        <v>0.217161554652537</v>
      </c>
      <c r="BB532" s="18">
        <v>-0.12046254208747498</v>
      </c>
      <c r="BC532" s="18">
        <v>-3.9162411745164875E-2</v>
      </c>
      <c r="BD532" s="18">
        <v>-0.1358857539016218</v>
      </c>
      <c r="BE532" s="18">
        <v>-1.2498410490459279E-2</v>
      </c>
      <c r="BF532" s="18">
        <v>1.8738955950833264E-2</v>
      </c>
      <c r="BG532" s="19">
        <v>7.4505088512941214E-2</v>
      </c>
    </row>
    <row r="533" spans="1:59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 t="str">
        <v>24.Long period from planning of project to construction</v>
      </c>
      <c r="AW533" s="25">
        <v>8.7896534519095251E-3</v>
      </c>
      <c r="AX533" s="26">
        <v>-1.9763112108388749E-2</v>
      </c>
      <c r="AY533" s="26">
        <v>-4.4028120320348557E-2</v>
      </c>
      <c r="AZ533" s="18">
        <v>-8.6494908933570213E-3</v>
      </c>
      <c r="BA533" s="18">
        <v>-5.556538099770976E-3</v>
      </c>
      <c r="BB533" s="18">
        <v>-2.0243750167735636E-3</v>
      </c>
      <c r="BC533" s="18">
        <v>-1.3736316097086391E-2</v>
      </c>
      <c r="BD533" s="18">
        <v>-7.1271604112082901E-3</v>
      </c>
      <c r="BE533" s="18">
        <v>5.0131170980110933E-3</v>
      </c>
      <c r="BF533" s="18">
        <v>2.9370892514051096E-2</v>
      </c>
      <c r="BG533" s="19">
        <v>0.51614645254255542</v>
      </c>
    </row>
    <row r="534" spans="1:59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 t="str">
        <v>25.Delays in issuing information to the contractor during construction stage</v>
      </c>
      <c r="AW534" s="25">
        <v>-1.1069514632440658E-2</v>
      </c>
      <c r="AX534" s="26">
        <v>0.16334548635913249</v>
      </c>
      <c r="AY534" s="26">
        <v>-0.17391805257439269</v>
      </c>
      <c r="AZ534" s="18">
        <v>-0.14169570682942004</v>
      </c>
      <c r="BA534" s="18">
        <v>-0.11275418751457197</v>
      </c>
      <c r="BB534" s="18">
        <v>3.6998197655484573E-2</v>
      </c>
      <c r="BC534" s="18">
        <v>-5.5855446256897048E-2</v>
      </c>
      <c r="BD534" s="18">
        <v>5.1373725795944333E-2</v>
      </c>
      <c r="BE534" s="18">
        <v>1.1441505225305643E-2</v>
      </c>
      <c r="BF534" s="18">
        <v>-7.7870165491239068E-2</v>
      </c>
      <c r="BG534" s="19">
        <v>8.1364240460633938E-2</v>
      </c>
    </row>
    <row r="535" spans="1:59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 t="str">
        <v>26.No practical use of earned value management system</v>
      </c>
      <c r="AW535" s="25">
        <v>2.955556396793263E-2</v>
      </c>
      <c r="AX535" s="26">
        <v>4.8687472354769275E-3</v>
      </c>
      <c r="AY535" s="26">
        <v>2.407375882870761E-2</v>
      </c>
      <c r="AZ535" s="18">
        <v>-2.4532792959680409E-2</v>
      </c>
      <c r="BA535" s="18">
        <v>-2.9061981721585292E-4</v>
      </c>
      <c r="BB535" s="18">
        <v>-0.28744444068811403</v>
      </c>
      <c r="BC535" s="18">
        <v>-1.6717378320445078E-2</v>
      </c>
      <c r="BD535" s="18">
        <v>-0.12193929291933828</v>
      </c>
      <c r="BE535" s="18">
        <v>2.7814046396287839E-3</v>
      </c>
      <c r="BF535" s="18">
        <v>-0.13291144878372121</v>
      </c>
      <c r="BG535" s="19">
        <v>4.4977356349733461E-2</v>
      </c>
    </row>
    <row r="536" spans="1:59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 t="str">
        <v>27.Lack of cost planning/monitoring during pre and post contract stage</v>
      </c>
      <c r="AW536" s="25">
        <v>8.9737724525456603E-3</v>
      </c>
      <c r="AX536" s="26">
        <v>7.2339782696824659E-2</v>
      </c>
      <c r="AY536" s="26">
        <v>-0.1058742998422699</v>
      </c>
      <c r="AZ536" s="18">
        <v>-2.2535148427065676E-2</v>
      </c>
      <c r="BA536" s="18">
        <v>4.4122496922627014E-2</v>
      </c>
      <c r="BB536" s="18">
        <v>1.8309455679626279E-3</v>
      </c>
      <c r="BC536" s="18">
        <v>1.234046473972358E-2</v>
      </c>
      <c r="BD536" s="18">
        <v>-0.18519927708403133</v>
      </c>
      <c r="BE536" s="18">
        <v>-4.1003684396867933E-2</v>
      </c>
      <c r="BF536" s="18">
        <v>-0.18421911724351539</v>
      </c>
      <c r="BG536" s="19">
        <v>-7.3995919766851256E-3</v>
      </c>
    </row>
    <row r="537" spans="1:59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 t="str">
        <v>28.Poor communication between client, consultant and contractor</v>
      </c>
      <c r="AW537" s="25">
        <v>-2.851575643585539E-2</v>
      </c>
      <c r="AX537" s="26">
        <v>-2.3666285389491309E-2</v>
      </c>
      <c r="AY537" s="26">
        <v>-0.14539006444161645</v>
      </c>
      <c r="AZ537" s="18">
        <v>-3.0693459619653387E-2</v>
      </c>
      <c r="BA537" s="18">
        <v>0.17132527193696462</v>
      </c>
      <c r="BB537" s="18">
        <v>-0.15443289856918288</v>
      </c>
      <c r="BC537" s="18">
        <v>3.6281334751433823E-2</v>
      </c>
      <c r="BD537" s="18">
        <v>-4.0993437431009472E-2</v>
      </c>
      <c r="BE537" s="18">
        <v>4.2743127904049365E-3</v>
      </c>
      <c r="BF537" s="18">
        <v>-5.2015229817104776E-2</v>
      </c>
      <c r="BG537" s="19">
        <v>-0.14361271193530706</v>
      </c>
    </row>
    <row r="538" spans="1:59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 t="str">
        <v>29.Insufficient coordination between local authority who is responsible about road projects and service authorities</v>
      </c>
      <c r="AW538" s="25">
        <v>-5.8058721618749712E-2</v>
      </c>
      <c r="AX538" s="26">
        <v>-6.6536218303819058E-3</v>
      </c>
      <c r="AY538" s="26">
        <v>-0.33153887570455787</v>
      </c>
      <c r="AZ538" s="18">
        <v>-2.4103564143611422E-2</v>
      </c>
      <c r="BA538" s="18">
        <v>0.17285369319282676</v>
      </c>
      <c r="BB538" s="18">
        <v>-3.0706257185987226E-2</v>
      </c>
      <c r="BC538" s="18">
        <v>-6.4104840725102086E-2</v>
      </c>
      <c r="BD538" s="18">
        <v>1.1594820200654381E-3</v>
      </c>
      <c r="BE538" s="18">
        <v>4.4964820038570906E-2</v>
      </c>
      <c r="BF538" s="18">
        <v>-9.9722857032259818E-2</v>
      </c>
      <c r="BG538" s="19">
        <v>-2.9369468452406441E-2</v>
      </c>
    </row>
    <row r="539" spans="1:59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 t="str">
        <v>30.Delays in decisions making by the approval authorities</v>
      </c>
      <c r="AW539" s="25">
        <v>-2.1953625554330624E-2</v>
      </c>
      <c r="AX539" s="26">
        <v>-5.6177378672891617E-2</v>
      </c>
      <c r="AY539" s="26">
        <v>-0.25403005194782691</v>
      </c>
      <c r="AZ539" s="18">
        <v>-2.3099439655135754E-3</v>
      </c>
      <c r="BA539" s="18">
        <v>-0.13403779860413753</v>
      </c>
      <c r="BB539" s="18">
        <v>3.4892208419503995E-2</v>
      </c>
      <c r="BC539" s="18">
        <v>-6.7986684774361417E-3</v>
      </c>
      <c r="BD539" s="18">
        <v>9.26337454362815E-2</v>
      </c>
      <c r="BE539" s="18">
        <v>9.2180005004567508E-2</v>
      </c>
      <c r="BF539" s="18">
        <v>3.9249540123027594E-2</v>
      </c>
      <c r="BG539" s="19">
        <v>0.24030733137211077</v>
      </c>
    </row>
    <row r="540" spans="1:59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 t="str">
        <v>31.Change schedule</v>
      </c>
      <c r="AW540" s="25">
        <v>7.6576785252229107E-2</v>
      </c>
      <c r="AX540" s="26">
        <v>-8.7476268320525481E-3</v>
      </c>
      <c r="AY540" s="26">
        <v>5.7386103657532037E-3</v>
      </c>
      <c r="AZ540" s="18">
        <v>-2.5049552844840377E-2</v>
      </c>
      <c r="BA540" s="18">
        <v>-0.23550724142588525</v>
      </c>
      <c r="BB540" s="18">
        <v>-0.25908535940351146</v>
      </c>
      <c r="BC540" s="18">
        <v>-2.7880246943271677E-2</v>
      </c>
      <c r="BD540" s="18">
        <v>5.4172074847067325E-3</v>
      </c>
      <c r="BE540" s="18">
        <v>5.1322089670469209E-2</v>
      </c>
      <c r="BF540" s="18">
        <v>4.3654327709563873E-2</v>
      </c>
      <c r="BG540" s="19">
        <v>1.8729997777112338E-2</v>
      </c>
    </row>
    <row r="541" spans="1:59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 t="str">
        <v>32.Stoppages because of work being rejected by consultant</v>
      </c>
      <c r="AW541" s="25">
        <v>9.1262108928293714E-2</v>
      </c>
      <c r="AX541" s="26">
        <v>0.16432222453132458</v>
      </c>
      <c r="AY541" s="26">
        <v>5.3431344829343648E-2</v>
      </c>
      <c r="AZ541" s="18">
        <v>-6.507488883544589E-2</v>
      </c>
      <c r="BA541" s="18">
        <v>-0.11706717604366136</v>
      </c>
      <c r="BB541" s="18">
        <v>-6.4580691788867592E-2</v>
      </c>
      <c r="BC541" s="18">
        <v>-6.726209185691702E-2</v>
      </c>
      <c r="BD541" s="18">
        <v>-2.9933984294427677E-2</v>
      </c>
      <c r="BE541" s="18">
        <v>-0.11493484765182328</v>
      </c>
      <c r="BF541" s="18">
        <v>2.4741436654882529E-2</v>
      </c>
      <c r="BG541" s="19">
        <v>-0.1301036520406865</v>
      </c>
    </row>
    <row r="542" spans="1:59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 t="str">
        <v>33.Lowest bid price</v>
      </c>
      <c r="AW542" s="25">
        <v>6.6921551277769595E-2</v>
      </c>
      <c r="AX542" s="26">
        <v>-1.5903636960810024E-2</v>
      </c>
      <c r="AY542" s="26">
        <v>2.7026433173313283E-2</v>
      </c>
      <c r="AZ542" s="18">
        <v>2.5363592939852981E-2</v>
      </c>
      <c r="BA542" s="18">
        <v>-0.4694124791567022</v>
      </c>
      <c r="BB542" s="18">
        <v>-1.3895296251964307E-2</v>
      </c>
      <c r="BC542" s="18">
        <v>-5.7427090776784456E-2</v>
      </c>
      <c r="BD542" s="18">
        <v>1.9717705251907219E-2</v>
      </c>
      <c r="BE542" s="18">
        <v>-0.16060536801675199</v>
      </c>
      <c r="BF542" s="18">
        <v>-0.13906169612149019</v>
      </c>
      <c r="BG542" s="19">
        <v>6.0764106758292302E-2</v>
      </c>
    </row>
    <row r="543" spans="1:59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 t="str">
        <v>34.Insufficient time for preparation of contract documents</v>
      </c>
      <c r="AW543" s="25">
        <v>-3.2526323210794461E-2</v>
      </c>
      <c r="AX543" s="26">
        <v>-3.6126879009743693E-2</v>
      </c>
      <c r="AY543" s="26">
        <v>9.0890460844627208E-2</v>
      </c>
      <c r="AZ543" s="18">
        <v>-1.9584958434815506E-2</v>
      </c>
      <c r="BA543" s="18">
        <v>-0.34878977825243507</v>
      </c>
      <c r="BB543" s="18">
        <v>1.7488678138789373E-2</v>
      </c>
      <c r="BC543" s="18">
        <v>7.7309340712590879E-2</v>
      </c>
      <c r="BD543" s="18">
        <v>-0.14351203319875158</v>
      </c>
      <c r="BE543" s="18">
        <v>0.13589807292963377</v>
      </c>
      <c r="BF543" s="18">
        <v>4.6364932461775352E-2</v>
      </c>
      <c r="BG543" s="19">
        <v>-6.2555761510079355E-2</v>
      </c>
    </row>
    <row r="544" spans="1:59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 t="str">
        <v>35.Discrepancies in contract documents</v>
      </c>
      <c r="AW544" s="25">
        <v>-1.9486670445467945E-2</v>
      </c>
      <c r="AX544" s="26">
        <v>-3.956448051807622E-2</v>
      </c>
      <c r="AY544" s="26">
        <v>-3.4215447989235084E-3</v>
      </c>
      <c r="AZ544" s="18">
        <v>-2.6755936425667873E-2</v>
      </c>
      <c r="BA544" s="18">
        <v>-0.25782559972861613</v>
      </c>
      <c r="BB544" s="18">
        <v>4.2354514536330851E-2</v>
      </c>
      <c r="BC544" s="18">
        <v>-8.5826913068892522E-4</v>
      </c>
      <c r="BD544" s="18">
        <v>-0.29522076254482477</v>
      </c>
      <c r="BE544" s="18">
        <v>0.11540342231198185</v>
      </c>
      <c r="BF544" s="18">
        <v>-2.4318403961668858E-2</v>
      </c>
      <c r="BG544" s="19">
        <v>-4.3772837953325983E-2</v>
      </c>
    </row>
    <row r="545" spans="1:59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 t="str">
        <v>36.Underestimation of time for completion of project</v>
      </c>
      <c r="AW545" s="25">
        <v>2.5583982702660185E-2</v>
      </c>
      <c r="AX545" s="26">
        <v>-6.9779237841508066E-2</v>
      </c>
      <c r="AY545" s="26">
        <v>-5.2120135666697417E-2</v>
      </c>
      <c r="AZ545" s="18">
        <v>2.9895083627549866E-2</v>
      </c>
      <c r="BA545" s="18">
        <v>4.1677897637098574E-2</v>
      </c>
      <c r="BB545" s="18">
        <v>9.5824262724510334E-2</v>
      </c>
      <c r="BC545" s="18">
        <v>-9.7061536833454531E-2</v>
      </c>
      <c r="BD545" s="18">
        <v>-0.34188284549528047</v>
      </c>
      <c r="BE545" s="18">
        <v>-8.3931079933097008E-2</v>
      </c>
      <c r="BF545" s="18">
        <v>4.6545016206586853E-2</v>
      </c>
      <c r="BG545" s="19">
        <v>9.6343169373812459E-2</v>
      </c>
    </row>
    <row r="546" spans="1:59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 t="str">
        <v>37.Extension of time with cost claims</v>
      </c>
      <c r="AW546" s="25">
        <v>0.1458656166084116</v>
      </c>
      <c r="AX546" s="26">
        <v>-6.7692341839656167E-2</v>
      </c>
      <c r="AY546" s="26">
        <v>-8.9520437263928471E-2</v>
      </c>
      <c r="AZ546" s="18">
        <v>0.1561478533528099</v>
      </c>
      <c r="BA546" s="18">
        <v>9.9189714267597373E-2</v>
      </c>
      <c r="BB546" s="18">
        <v>9.3296290616731198E-2</v>
      </c>
      <c r="BC546" s="18">
        <v>4.8655249299734291E-2</v>
      </c>
      <c r="BD546" s="18">
        <v>-0.16150278297608756</v>
      </c>
      <c r="BE546" s="18">
        <v>-0.19818007978071864</v>
      </c>
      <c r="BF546" s="18">
        <v>0.10333846310767687</v>
      </c>
      <c r="BG546" s="19">
        <v>6.9826542279237125E-2</v>
      </c>
    </row>
    <row r="547" spans="1:59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 t="str">
        <v>38.Scope and specification changes</v>
      </c>
      <c r="AW547" s="25">
        <v>5.5844195456788419E-2</v>
      </c>
      <c r="AX547" s="26">
        <v>-4.6375663224942486E-2</v>
      </c>
      <c r="AY547" s="26">
        <v>3.183006434592104E-2</v>
      </c>
      <c r="AZ547" s="18">
        <v>0.33350639738325688</v>
      </c>
      <c r="BA547" s="18">
        <v>-1.8926953208975182E-3</v>
      </c>
      <c r="BB547" s="18">
        <v>-3.2362572309428975E-2</v>
      </c>
      <c r="BC547" s="18">
        <v>-6.4403962806571513E-2</v>
      </c>
      <c r="BD547" s="18">
        <v>-6.0847085146865293E-2</v>
      </c>
      <c r="BE547" s="18">
        <v>-9.7198371863561565E-3</v>
      </c>
      <c r="BF547" s="18">
        <v>1.5582237680229451E-2</v>
      </c>
      <c r="BG547" s="19">
        <v>6.1459346011561632E-2</v>
      </c>
    </row>
    <row r="548" spans="1:59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 t="str">
        <v>39.Changes in client requirements</v>
      </c>
      <c r="AW548" s="25">
        <v>-9.9672775748288461E-3</v>
      </c>
      <c r="AX548" s="26">
        <v>-5.5223803990772605E-2</v>
      </c>
      <c r="AY548" s="26">
        <v>2.3370676937388202E-2</v>
      </c>
      <c r="AZ548" s="18">
        <v>0.32836988126613642</v>
      </c>
      <c r="BA548" s="18">
        <v>2.2930651121305046E-2</v>
      </c>
      <c r="BB548" s="18">
        <v>5.1990303847503132E-2</v>
      </c>
      <c r="BC548" s="18">
        <v>-5.7831760480482261E-3</v>
      </c>
      <c r="BD548" s="18">
        <v>1.4415029679866976E-2</v>
      </c>
      <c r="BE548" s="18">
        <v>-3.2499785835424046E-2</v>
      </c>
      <c r="BF548" s="18">
        <v>-3.8080858965647217E-2</v>
      </c>
      <c r="BG548" s="19">
        <v>9.8591660950654955E-2</v>
      </c>
    </row>
    <row r="549" spans="1:59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 t="str">
        <v>40.Frequency of variation orders and additional works</v>
      </c>
      <c r="AW549" s="25">
        <v>3.2515110883083932E-2</v>
      </c>
      <c r="AX549" s="26">
        <v>2.3789813887135997E-2</v>
      </c>
      <c r="AY549" s="26">
        <v>-2.2151753569990221E-3</v>
      </c>
      <c r="AZ549" s="18">
        <v>0.34900825343889819</v>
      </c>
      <c r="BA549" s="18">
        <v>5.895578672815989E-2</v>
      </c>
      <c r="BB549" s="18">
        <v>0.11018777777640941</v>
      </c>
      <c r="BC549" s="18">
        <v>-3.4467407964281133E-2</v>
      </c>
      <c r="BD549" s="18">
        <v>-3.4807941777062416E-2</v>
      </c>
      <c r="BE549" s="18">
        <v>3.8578051881479933E-2</v>
      </c>
      <c r="BF549" s="18">
        <v>6.4512354016388565E-2</v>
      </c>
      <c r="BG549" s="19">
        <v>-0.17155815928763049</v>
      </c>
    </row>
    <row r="550" spans="1:59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 t="str">
        <v>41.Rework due to error in execution</v>
      </c>
      <c r="AW550" s="25">
        <v>-4.3802859067721349E-2</v>
      </c>
      <c r="AX550" s="26">
        <v>-7.5448979108669795E-2</v>
      </c>
      <c r="AY550" s="26">
        <v>0.22774745363003041</v>
      </c>
      <c r="AZ550" s="18">
        <v>0.10065635197107063</v>
      </c>
      <c r="BA550" s="18">
        <v>6.9554894113628835E-2</v>
      </c>
      <c r="BB550" s="18">
        <v>7.4811378346428911E-2</v>
      </c>
      <c r="BC550" s="18">
        <v>0.15260285119834172</v>
      </c>
      <c r="BD550" s="18">
        <v>-0.27151635866772394</v>
      </c>
      <c r="BE550" s="18">
        <v>2.6275282492297537E-2</v>
      </c>
      <c r="BF550" s="18">
        <v>4.4352921333292605E-2</v>
      </c>
      <c r="BG550" s="19">
        <v>2.8836808693830485E-2</v>
      </c>
    </row>
    <row r="551" spans="1:59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 t="str">
        <v>42.Weather conditions</v>
      </c>
      <c r="AW551" s="25">
        <v>5.1702262476740452E-2</v>
      </c>
      <c r="AX551" s="26">
        <v>1.0408471112476583E-2</v>
      </c>
      <c r="AY551" s="26">
        <v>-6.3698757353764138E-2</v>
      </c>
      <c r="AZ551" s="18">
        <v>-4.5877759570920072E-2</v>
      </c>
      <c r="BA551" s="18">
        <v>7.4640004665140536E-2</v>
      </c>
      <c r="BB551" s="18">
        <v>-6.5752161878619445E-2</v>
      </c>
      <c r="BC551" s="18">
        <v>-6.4405553250266132E-2</v>
      </c>
      <c r="BD551" s="18">
        <v>-3.2521298323759523E-2</v>
      </c>
      <c r="BE551" s="18">
        <v>2.6339429988106327E-2</v>
      </c>
      <c r="BF551" s="18">
        <v>0.38386083041267816</v>
      </c>
      <c r="BG551" s="19">
        <v>-5.2362253474049061E-2</v>
      </c>
    </row>
    <row r="552" spans="1:59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 t="str">
        <v>43.Accidents during construction</v>
      </c>
      <c r="AW552" s="25">
        <v>1.2152390158633468E-2</v>
      </c>
      <c r="AX552" s="26">
        <v>-5.2231643686992152E-2</v>
      </c>
      <c r="AY552" s="26">
        <v>1.7669283702403768E-2</v>
      </c>
      <c r="AZ552" s="18">
        <v>3.89332421545013E-2</v>
      </c>
      <c r="BA552" s="18">
        <v>7.0468670214406198E-2</v>
      </c>
      <c r="BB552" s="18">
        <v>1.6633055277102897E-2</v>
      </c>
      <c r="BC552" s="18">
        <v>-5.6942425320558182E-2</v>
      </c>
      <c r="BD552" s="18">
        <v>6.7916223832459516E-2</v>
      </c>
      <c r="BE552" s="18">
        <v>-1.2873002939232998E-2</v>
      </c>
      <c r="BF552" s="18">
        <v>0.47384777926101113</v>
      </c>
      <c r="BG552" s="19">
        <v>9.2094243746120116E-2</v>
      </c>
    </row>
    <row r="553" spans="1:59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 t="str">
        <v>44.Delay in getting NOCs from different government authorities</v>
      </c>
      <c r="AW553" s="27">
        <v>6.7919931156796357E-2</v>
      </c>
      <c r="AX553" s="28">
        <v>-4.1248835315363615E-2</v>
      </c>
      <c r="AY553" s="28">
        <v>-0.27847438808300329</v>
      </c>
      <c r="AZ553" s="20">
        <v>3.3993349311049997E-2</v>
      </c>
      <c r="BA553" s="20">
        <v>2.1258470196079526E-2</v>
      </c>
      <c r="BB553" s="20">
        <v>8.4883180938404496E-2</v>
      </c>
      <c r="BC553" s="20">
        <v>-2.7736941543596485E-2</v>
      </c>
      <c r="BD553" s="20">
        <v>1.9460216485025897E-2</v>
      </c>
      <c r="BE553" s="20">
        <v>-7.1818712689633704E-2</v>
      </c>
      <c r="BF553" s="20">
        <v>0.17893548826918054</v>
      </c>
      <c r="BG553" s="21">
        <v>-2.665369651077466E-2</v>
      </c>
    </row>
    <row r="554" spans="1:59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9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 t="s">
        <v>211</v>
      </c>
      <c r="AW555" s="3"/>
      <c r="AX555" s="3"/>
      <c r="AY555" s="3"/>
    </row>
    <row r="556" spans="1:59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9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>
        <v>1</v>
      </c>
      <c r="AX557" s="3">
        <f>AW557+1</f>
        <v>2</v>
      </c>
      <c r="AY557" s="3">
        <f t="shared" ref="AY557:BG557" si="19">AX557+1</f>
        <v>3</v>
      </c>
      <c r="AZ557" s="3">
        <f t="shared" si="19"/>
        <v>4</v>
      </c>
      <c r="BA557" s="3">
        <f t="shared" si="19"/>
        <v>5</v>
      </c>
      <c r="BB557" s="3">
        <f t="shared" si="19"/>
        <v>6</v>
      </c>
      <c r="BC557" s="3">
        <f t="shared" si="19"/>
        <v>7</v>
      </c>
      <c r="BD557" s="3">
        <f t="shared" si="19"/>
        <v>8</v>
      </c>
      <c r="BE557" s="3">
        <f t="shared" si="19"/>
        <v>9</v>
      </c>
      <c r="BF557" s="3">
        <f t="shared" si="19"/>
        <v>10</v>
      </c>
      <c r="BG557" s="3">
        <f t="shared" si="19"/>
        <v>11</v>
      </c>
    </row>
    <row r="558" spans="1:59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 t="str">
        <f t="array" ref="AV558:AV601">TRANSPOSE(B1:AS1)</f>
        <v>1.Delay in delivering material to construction site</v>
      </c>
      <c r="AW558" s="34">
        <f t="array" ref="AW558:BG601">TRANSPOSE(MMULT(MINVERSE(MMULT(TRANSPOSE(AW365:BG408),MMULT(MINVERSE([1]!DIAGONAL(BJ316:BJ359)),AW365:BG408))),MMULT(TRANSPOSE(AW365:BG408),MINVERSE([1]!DIAGONAL(BJ316:BJ359)))))</f>
        <v>4.8181286077818533E-2</v>
      </c>
      <c r="AX558" s="35">
        <v>-1.5907558824844903E-2</v>
      </c>
      <c r="AY558" s="35">
        <v>-3.2962349735248982E-2</v>
      </c>
      <c r="AZ558" s="16">
        <v>2.3423280609097319E-2</v>
      </c>
      <c r="BA558" s="16">
        <v>-1.8323319272166821E-2</v>
      </c>
      <c r="BB558" s="16">
        <v>3.4201514925675289E-2</v>
      </c>
      <c r="BC558" s="16">
        <v>-2.2851965245073685E-2</v>
      </c>
      <c r="BD558" s="16">
        <v>-5.0451932627571021E-2</v>
      </c>
      <c r="BE558" s="16">
        <v>-0.21949727074511624</v>
      </c>
      <c r="BF558" s="16">
        <v>-5.7171205291490831E-3</v>
      </c>
      <c r="BG558" s="17">
        <v>-0.11635975930306219</v>
      </c>
    </row>
    <row r="559" spans="1:59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 t="str">
        <v>2.Monopoly of material by some suppliers</v>
      </c>
      <c r="AW559" s="25">
        <v>4.7561574183406313E-2</v>
      </c>
      <c r="AX559" s="26">
        <v>7.8679759279396133E-2</v>
      </c>
      <c r="AY559" s="26">
        <v>3.1314385245680657E-2</v>
      </c>
      <c r="AZ559" s="18">
        <v>-1.7507208294311408E-2</v>
      </c>
      <c r="BA559" s="18">
        <v>0.10218234673504173</v>
      </c>
      <c r="BB559" s="18">
        <v>0.14700172002799397</v>
      </c>
      <c r="BC559" s="18">
        <v>3.1020408292283648E-2</v>
      </c>
      <c r="BD559" s="18">
        <v>3.0425060602147138E-2</v>
      </c>
      <c r="BE559" s="18">
        <v>-0.32328824007533197</v>
      </c>
      <c r="BF559" s="18">
        <v>2.6378039616918932E-2</v>
      </c>
      <c r="BG559" s="19">
        <v>-9.5275834192907347E-2</v>
      </c>
    </row>
    <row r="560" spans="1:59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 t="str">
        <v>3.Prices fluctuation</v>
      </c>
      <c r="AW560" s="25">
        <v>-4.5441984205352115E-2</v>
      </c>
      <c r="AX560" s="26">
        <v>-3.3784830661765838E-2</v>
      </c>
      <c r="AY560" s="26">
        <v>0.16933146152754866</v>
      </c>
      <c r="AZ560" s="18">
        <v>-1.6994473500943758E-2</v>
      </c>
      <c r="BA560" s="18">
        <v>0.11539694915345314</v>
      </c>
      <c r="BB560" s="18">
        <v>-0.21338688742032272</v>
      </c>
      <c r="BC560" s="18">
        <v>8.1340886531804674E-3</v>
      </c>
      <c r="BD560" s="18">
        <v>8.7615172252123452E-2</v>
      </c>
      <c r="BE560" s="18">
        <v>-0.18831378053268788</v>
      </c>
      <c r="BF560" s="18">
        <v>-0.11615290284631555</v>
      </c>
      <c r="BG560" s="19">
        <v>0.27392978141583058</v>
      </c>
    </row>
    <row r="561" spans="1:59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 t="str">
        <v>4.Types of material availability at local market</v>
      </c>
      <c r="AW561" s="25">
        <v>1.4089973269628787E-2</v>
      </c>
      <c r="AX561" s="26">
        <v>-3.4565955762241043E-2</v>
      </c>
      <c r="AY561" s="26">
        <v>7.7756587650413989E-2</v>
      </c>
      <c r="AZ561" s="18">
        <v>-6.7068702290773011E-2</v>
      </c>
      <c r="BA561" s="18">
        <v>-5.5601833210483724E-2</v>
      </c>
      <c r="BB561" s="18">
        <v>-0.14427805674983163</v>
      </c>
      <c r="BC561" s="18">
        <v>3.8088192303992281E-3</v>
      </c>
      <c r="BD561" s="18">
        <v>1.9781975031528343E-2</v>
      </c>
      <c r="BE561" s="18">
        <v>-0.28177700587161497</v>
      </c>
      <c r="BF561" s="18">
        <v>-8.7185065275178247E-2</v>
      </c>
      <c r="BG561" s="19">
        <v>0.11332620241507232</v>
      </c>
    </row>
    <row r="562" spans="1:59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 t="str">
        <v>5.Lack of consultant’s knowledge of available materials</v>
      </c>
      <c r="AW562" s="25">
        <v>3.3497003839732175E-3</v>
      </c>
      <c r="AX562" s="26">
        <v>7.8871325672202383E-2</v>
      </c>
      <c r="AY562" s="26">
        <v>4.4375770753337491E-2</v>
      </c>
      <c r="AZ562" s="18">
        <v>-5.815267653287882E-3</v>
      </c>
      <c r="BA562" s="18">
        <v>-1.4042922586625572E-2</v>
      </c>
      <c r="BB562" s="18">
        <v>-8.1074875128425483E-2</v>
      </c>
      <c r="BC562" s="18">
        <v>-4.3213840880144849E-2</v>
      </c>
      <c r="BD562" s="18">
        <v>7.1128786196707774E-2</v>
      </c>
      <c r="BE562" s="18">
        <v>-9.6852820975635814E-2</v>
      </c>
      <c r="BF562" s="18">
        <v>-2.0482569902867301E-2</v>
      </c>
      <c r="BG562" s="19">
        <v>3.6482583393596016E-2</v>
      </c>
    </row>
    <row r="563" spans="1:59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 t="str">
        <v>6.Low productivity</v>
      </c>
      <c r="AW563" s="25">
        <v>-0.16788785135710413</v>
      </c>
      <c r="AX563" s="26">
        <v>-4.5522940151693121E-3</v>
      </c>
      <c r="AY563" s="26">
        <v>-3.3495403406019982E-2</v>
      </c>
      <c r="AZ563" s="18">
        <v>-3.6370729116359926E-2</v>
      </c>
      <c r="BA563" s="18">
        <v>1.9820356156466924E-2</v>
      </c>
      <c r="BB563" s="18">
        <v>7.9722007607552478E-2</v>
      </c>
      <c r="BC563" s="18">
        <v>-2.0644478763313146E-2</v>
      </c>
      <c r="BD563" s="18">
        <v>1.5334201274407946E-3</v>
      </c>
      <c r="BE563" s="18">
        <v>2.3557182618395192E-2</v>
      </c>
      <c r="BF563" s="18">
        <v>-8.6952022227232445E-2</v>
      </c>
      <c r="BG563" s="19">
        <v>-8.0107120339425103E-2</v>
      </c>
    </row>
    <row r="564" spans="1:59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 t="str">
        <v>7.Poor work execution</v>
      </c>
      <c r="AW564" s="25">
        <v>-0.12712193269316271</v>
      </c>
      <c r="AX564" s="26">
        <v>-1.6757719679445515E-2</v>
      </c>
      <c r="AY564" s="26">
        <v>-2.8057010773551733E-2</v>
      </c>
      <c r="AZ564" s="18">
        <v>-2.0759122282175212E-2</v>
      </c>
      <c r="BA564" s="18">
        <v>-5.9018872737620631E-2</v>
      </c>
      <c r="BB564" s="18">
        <v>7.9369307678841011E-2</v>
      </c>
      <c r="BC564" s="18">
        <v>-5.3093942974483501E-3</v>
      </c>
      <c r="BD564" s="18">
        <v>-3.7769546844222616E-2</v>
      </c>
      <c r="BE564" s="18">
        <v>-6.5473224964265067E-2</v>
      </c>
      <c r="BF564" s="18">
        <v>-0.13614968370573491</v>
      </c>
      <c r="BG564" s="19">
        <v>5.8094367925299623E-2</v>
      </c>
    </row>
    <row r="565" spans="1:59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 t="str">
        <v>8.Shortage of laborers</v>
      </c>
      <c r="AW565" s="25">
        <v>-0.13223535553589139</v>
      </c>
      <c r="AX565" s="26">
        <v>-2.3810887679559623E-2</v>
      </c>
      <c r="AY565" s="26">
        <v>-2.5796266296786094E-2</v>
      </c>
      <c r="AZ565" s="18">
        <v>-5.4800087783613366E-2</v>
      </c>
      <c r="BA565" s="18">
        <v>-9.6507269344117061E-2</v>
      </c>
      <c r="BB565" s="18">
        <v>-5.8377023474908571E-2</v>
      </c>
      <c r="BC565" s="18">
        <v>-8.830272535234154E-3</v>
      </c>
      <c r="BD565" s="18">
        <v>0.17023957948113186</v>
      </c>
      <c r="BE565" s="18">
        <v>3.3301827200324471E-2</v>
      </c>
      <c r="BF565" s="18">
        <v>1.7696155574775382E-2</v>
      </c>
      <c r="BG565" s="19">
        <v>-0.15079204223044329</v>
      </c>
    </row>
    <row r="566" spans="1:59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 t="str">
        <v>9.Mistakes happens during construction phase</v>
      </c>
      <c r="AW566" s="25">
        <v>-0.13410021994377669</v>
      </c>
      <c r="AX566" s="26">
        <v>7.6721937963078468E-2</v>
      </c>
      <c r="AY566" s="26">
        <v>-1.4999882666483146E-2</v>
      </c>
      <c r="AZ566" s="18">
        <v>-8.1344309890058648E-3</v>
      </c>
      <c r="BA566" s="18">
        <v>7.8920686812881641E-2</v>
      </c>
      <c r="BB566" s="18">
        <v>2.773805117428006E-3</v>
      </c>
      <c r="BC566" s="18">
        <v>-0.12113422852943981</v>
      </c>
      <c r="BD566" s="18">
        <v>-3.3334771635045335E-2</v>
      </c>
      <c r="BE566" s="18">
        <v>2.4951069531344676E-2</v>
      </c>
      <c r="BF566" s="18">
        <v>-6.6277608338463176E-2</v>
      </c>
      <c r="BG566" s="19">
        <v>-0.13654322507396255</v>
      </c>
    </row>
    <row r="567" spans="1:59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 t="str">
        <v>10.Unavailability of equipment</v>
      </c>
      <c r="AW567" s="25">
        <v>-4.8373302930116435E-2</v>
      </c>
      <c r="AX567" s="26">
        <v>-3.1249920796698576E-2</v>
      </c>
      <c r="AY567" s="26">
        <v>-1.759665994990442E-2</v>
      </c>
      <c r="AZ567" s="18">
        <v>8.4141646250598121E-4</v>
      </c>
      <c r="BA567" s="18">
        <v>0.12521179365467439</v>
      </c>
      <c r="BB567" s="18">
        <v>-9.7259580380877605E-2</v>
      </c>
      <c r="BC567" s="18">
        <v>7.1168708957782281E-2</v>
      </c>
      <c r="BD567" s="18">
        <v>-4.034908373543579E-2</v>
      </c>
      <c r="BE567" s="18">
        <v>-4.5647258007182598E-2</v>
      </c>
      <c r="BF567" s="18">
        <v>-4.780594423915311E-2</v>
      </c>
      <c r="BG567" s="19">
        <v>-0.31428830933754009</v>
      </c>
    </row>
    <row r="568" spans="1:59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 t="str">
        <v>11.Lack of engineering experience</v>
      </c>
      <c r="AW568" s="25">
        <v>-0.26511377485129278</v>
      </c>
      <c r="AX568" s="26">
        <v>-8.8474483454438174E-2</v>
      </c>
      <c r="AY568" s="26">
        <v>7.061775509854859E-2</v>
      </c>
      <c r="AZ568" s="18">
        <v>-0.10163615648823063</v>
      </c>
      <c r="BA568" s="18">
        <v>6.9211850039752318E-2</v>
      </c>
      <c r="BB568" s="18">
        <v>9.8474267988788056E-2</v>
      </c>
      <c r="BC568" s="18">
        <v>0.13624301163629735</v>
      </c>
      <c r="BD568" s="18">
        <v>7.1267761453222056E-2</v>
      </c>
      <c r="BE568" s="18">
        <v>0.10619745419146547</v>
      </c>
      <c r="BF568" s="18">
        <v>7.1462583215743836E-2</v>
      </c>
      <c r="BG568" s="19">
        <v>0.11238498236126956</v>
      </c>
    </row>
    <row r="569" spans="1:59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 t="str">
        <v>12.Construction cost underestimation</v>
      </c>
      <c r="AW569" s="25">
        <v>-0.21290209622773232</v>
      </c>
      <c r="AX569" s="26">
        <v>-5.8688530417221905E-2</v>
      </c>
      <c r="AY569" s="26">
        <v>4.6576275139787779E-2</v>
      </c>
      <c r="AZ569" s="18">
        <v>9.7912175497224418E-2</v>
      </c>
      <c r="BA569" s="18">
        <v>6.0499347007233022E-2</v>
      </c>
      <c r="BB569" s="18">
        <v>-1.8416377407796742E-2</v>
      </c>
      <c r="BC569" s="18">
        <v>-6.5923904248324186E-2</v>
      </c>
      <c r="BD569" s="18">
        <v>5.6363437104073176E-2</v>
      </c>
      <c r="BE569" s="18">
        <v>0.19106397036077238</v>
      </c>
      <c r="BF569" s="18">
        <v>0.14633399254723617</v>
      </c>
      <c r="BG569" s="19">
        <v>1.4017862222689151E-2</v>
      </c>
    </row>
    <row r="570" spans="1:59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 t="str">
        <v>13.Poor site management</v>
      </c>
      <c r="AW570" s="25">
        <v>-0.20298754106394604</v>
      </c>
      <c r="AX570" s="26">
        <v>-4.8306607059353662E-2</v>
      </c>
      <c r="AY570" s="26">
        <v>1.9446240225335178E-2</v>
      </c>
      <c r="AZ570" s="18">
        <v>-6.3845599644404725E-3</v>
      </c>
      <c r="BA570" s="18">
        <v>-2.7935662937779705E-2</v>
      </c>
      <c r="BB570" s="18">
        <v>7.2170590037812052E-2</v>
      </c>
      <c r="BC570" s="18">
        <v>3.3034949031455992E-2</v>
      </c>
      <c r="BD570" s="18">
        <v>0.10681538864300583</v>
      </c>
      <c r="BE570" s="18">
        <v>0.12872777475224698</v>
      </c>
      <c r="BF570" s="18">
        <v>3.5611752640834868E-2</v>
      </c>
      <c r="BG570" s="19">
        <v>0.21127227026986181</v>
      </c>
    </row>
    <row r="571" spans="1:59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 t="str">
        <v>14.Delayed payment for completed work</v>
      </c>
      <c r="AW571" s="25">
        <v>-1.1140240348570682E-2</v>
      </c>
      <c r="AX571" s="26">
        <v>-3.0180646877096113E-2</v>
      </c>
      <c r="AY571" s="26">
        <v>-8.3190489848618862E-2</v>
      </c>
      <c r="AZ571" s="18">
        <v>2.4034277748649975E-2</v>
      </c>
      <c r="BA571" s="18">
        <v>-0.11461666387882237</v>
      </c>
      <c r="BB571" s="18">
        <v>4.8035480439193097E-2</v>
      </c>
      <c r="BC571" s="18">
        <v>0.22239815391930759</v>
      </c>
      <c r="BD571" s="18">
        <v>0.27418675522875857</v>
      </c>
      <c r="BE571" s="18">
        <v>9.5364446008488306E-3</v>
      </c>
      <c r="BF571" s="18">
        <v>5.7013548279980904E-2</v>
      </c>
      <c r="BG571" s="19">
        <v>7.1488091405222984E-2</v>
      </c>
    </row>
    <row r="572" spans="1:59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 t="str">
        <v>15.Cash flow problem during construction</v>
      </c>
      <c r="AW572" s="25">
        <v>-2.6109778834725833E-3</v>
      </c>
      <c r="AX572" s="26">
        <v>2.5853702978180532E-2</v>
      </c>
      <c r="AY572" s="26">
        <v>5.6504475294856575E-2</v>
      </c>
      <c r="AZ572" s="18">
        <v>-3.1327422905384643E-2</v>
      </c>
      <c r="BA572" s="18">
        <v>2.9198754542501707E-2</v>
      </c>
      <c r="BB572" s="18">
        <v>0.11402664474274374</v>
      </c>
      <c r="BC572" s="18">
        <v>0.45621354998090352</v>
      </c>
      <c r="BD572" s="18">
        <v>3.029614878458705E-2</v>
      </c>
      <c r="BE572" s="18">
        <v>-2.5473984117715398E-2</v>
      </c>
      <c r="BF572" s="18">
        <v>-0.10163961863215737</v>
      </c>
      <c r="BG572" s="19">
        <v>-7.164072341202285E-2</v>
      </c>
    </row>
    <row r="573" spans="1:59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 t="str">
        <v>16.High rate of interest</v>
      </c>
      <c r="AW573" s="25">
        <v>-6.7970485105878942E-2</v>
      </c>
      <c r="AX573" s="26">
        <v>2.479730875593493E-2</v>
      </c>
      <c r="AY573" s="26">
        <v>0.15299548341457606</v>
      </c>
      <c r="AZ573" s="18">
        <v>-5.6875591011655832E-2</v>
      </c>
      <c r="BA573" s="18">
        <v>-6.5249143265116771E-2</v>
      </c>
      <c r="BB573" s="18">
        <v>-6.591014346556566E-2</v>
      </c>
      <c r="BC573" s="18">
        <v>0.16578744624830186</v>
      </c>
      <c r="BD573" s="18">
        <v>0.10402845239514402</v>
      </c>
      <c r="BE573" s="18">
        <v>0.16605745220532092</v>
      </c>
      <c r="BF573" s="18">
        <v>0.16344492467473398</v>
      </c>
      <c r="BG573" s="19">
        <v>-3.0226345588861312E-2</v>
      </c>
    </row>
    <row r="574" spans="1:59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 t="str">
        <v>17.Contractor’s financial difficulties</v>
      </c>
      <c r="AW574" s="25">
        <v>3.6411959210102235E-2</v>
      </c>
      <c r="AX574" s="26">
        <v>-0.10145808474542409</v>
      </c>
      <c r="AY574" s="26">
        <v>8.278936765453164E-2</v>
      </c>
      <c r="AZ574" s="18">
        <v>-4.7201441439555333E-2</v>
      </c>
      <c r="BA574" s="18">
        <v>0.12962212489095318</v>
      </c>
      <c r="BB574" s="18">
        <v>-8.831360451240676E-2</v>
      </c>
      <c r="BC574" s="18">
        <v>0.32548955424802156</v>
      </c>
      <c r="BD574" s="18">
        <v>-0.15201219837454594</v>
      </c>
      <c r="BE574" s="18">
        <v>-4.4728434275435359E-2</v>
      </c>
      <c r="BF574" s="18">
        <v>-5.4112801337121652E-2</v>
      </c>
      <c r="BG574" s="19">
        <v>4.6224610949373184E-2</v>
      </c>
    </row>
    <row r="575" spans="1:59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 t="str">
        <v>18.Increase in salaries of skilled laborers</v>
      </c>
      <c r="AW575" s="25">
        <v>-1.3807237767188889E-2</v>
      </c>
      <c r="AX575" s="26">
        <v>-8.5069258101089062E-2</v>
      </c>
      <c r="AY575" s="26">
        <v>4.9482441165094808E-2</v>
      </c>
      <c r="AZ575" s="18">
        <v>-4.889512708556875E-3</v>
      </c>
      <c r="BA575" s="18">
        <v>2.7720440526306171E-2</v>
      </c>
      <c r="BB575" s="18">
        <v>-0.36721848862247936</v>
      </c>
      <c r="BC575" s="18">
        <v>1.4179702546775353E-3</v>
      </c>
      <c r="BD575" s="18">
        <v>0.18433279104026917</v>
      </c>
      <c r="BE575" s="18">
        <v>-9.171120088025303E-4</v>
      </c>
      <c r="BF575" s="18">
        <v>7.7212911905308573E-2</v>
      </c>
      <c r="BG575" s="19">
        <v>3.3313822960837555E-2</v>
      </c>
    </row>
    <row r="576" spans="1:59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 t="str">
        <v>19.Change design</v>
      </c>
      <c r="AW576" s="25">
        <v>-4.7915065055616733E-2</v>
      </c>
      <c r="AX576" s="26">
        <v>0.29702963745385758</v>
      </c>
      <c r="AY576" s="26">
        <v>4.902211761319409E-2</v>
      </c>
      <c r="AZ576" s="18">
        <v>5.1870423150775571E-2</v>
      </c>
      <c r="BA576" s="18">
        <v>-8.0649339347201462E-2</v>
      </c>
      <c r="BB576" s="18">
        <v>0.20324173983827204</v>
      </c>
      <c r="BC576" s="18">
        <v>-6.6450097388159005E-2</v>
      </c>
      <c r="BD576" s="18">
        <v>0.17989494656192012</v>
      </c>
      <c r="BE576" s="18">
        <v>-6.1704475987397686E-3</v>
      </c>
      <c r="BF576" s="18">
        <v>-4.8265515037762108E-2</v>
      </c>
      <c r="BG576" s="19">
        <v>3.1401342094319634E-2</v>
      </c>
    </row>
    <row r="577" spans="1:59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 t="str">
        <v>20.Errors and omission in design</v>
      </c>
      <c r="AW577" s="25">
        <v>2.9752531420269832E-2</v>
      </c>
      <c r="AX577" s="26">
        <v>0.33945290531705663</v>
      </c>
      <c r="AY577" s="26">
        <v>-9.9607680884639584E-3</v>
      </c>
      <c r="AZ577" s="18">
        <v>-6.5632881524055928E-2</v>
      </c>
      <c r="BA577" s="18">
        <v>-1.0731024610878544E-2</v>
      </c>
      <c r="BB577" s="18">
        <v>0.11048957135501167</v>
      </c>
      <c r="BC577" s="18">
        <v>-5.1065665417168532E-2</v>
      </c>
      <c r="BD577" s="18">
        <v>7.6731404372581968E-2</v>
      </c>
      <c r="BE577" s="18">
        <v>-1.5651433084190085E-2</v>
      </c>
      <c r="BF577" s="18">
        <v>-4.2037971519837555E-2</v>
      </c>
      <c r="BG577" s="19">
        <v>-6.4944065606546489E-2</v>
      </c>
    </row>
    <row r="578" spans="1:59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 t="str">
        <v>21.Incomplete design drawings and specifications at tendering stage</v>
      </c>
      <c r="AW578" s="25">
        <v>2.8834008473288691E-2</v>
      </c>
      <c r="AX578" s="26">
        <v>0.23717521979636533</v>
      </c>
      <c r="AY578" s="26">
        <v>4.6009490022115476E-2</v>
      </c>
      <c r="AZ578" s="18">
        <v>0.12131839822282532</v>
      </c>
      <c r="BA578" s="18">
        <v>0.15719296792113857</v>
      </c>
      <c r="BB578" s="18">
        <v>6.4573518383081341E-2</v>
      </c>
      <c r="BC578" s="18">
        <v>4.0173182971657E-2</v>
      </c>
      <c r="BD578" s="18">
        <v>8.1682649346530301E-2</v>
      </c>
      <c r="BE578" s="18">
        <v>1.501708108988184E-3</v>
      </c>
      <c r="BF578" s="18">
        <v>-1.8296269982979056E-2</v>
      </c>
      <c r="BG578" s="19">
        <v>-1.7692116783817782E-2</v>
      </c>
    </row>
    <row r="579" spans="1:59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 t="str">
        <v>22.Delay in preparation and approval of drawing</v>
      </c>
      <c r="AW579" s="25">
        <v>6.1963410654312989E-2</v>
      </c>
      <c r="AX579" s="26">
        <v>8.7104399175441632E-2</v>
      </c>
      <c r="AY579" s="26">
        <v>-6.0377846194088085E-2</v>
      </c>
      <c r="AZ579" s="18">
        <v>5.7884912517332972E-2</v>
      </c>
      <c r="BA579" s="18">
        <v>1.8363080880290938E-2</v>
      </c>
      <c r="BB579" s="18">
        <v>-8.8755094005898885E-2</v>
      </c>
      <c r="BC579" s="18">
        <v>-5.0552739484591214E-2</v>
      </c>
      <c r="BD579" s="18">
        <v>2.0989532963756373E-3</v>
      </c>
      <c r="BE579" s="18">
        <v>-8.0195519931791845E-3</v>
      </c>
      <c r="BF579" s="18">
        <v>-3.4905512909337764E-2</v>
      </c>
      <c r="BG579" s="19">
        <v>-5.3217270732949046E-2</v>
      </c>
    </row>
    <row r="580" spans="1:59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 t="str">
        <v>23.Inaccurate quantity take-off</v>
      </c>
      <c r="AW580" s="25">
        <v>7.6395136506487923E-2</v>
      </c>
      <c r="AX580" s="26">
        <v>0.13855031641198168</v>
      </c>
      <c r="AY580" s="26">
        <v>2.0049067962656191E-2</v>
      </c>
      <c r="AZ580" s="18">
        <v>-2.1598524901151783E-2</v>
      </c>
      <c r="BA580" s="18">
        <v>0.20685720156876508</v>
      </c>
      <c r="BB580" s="18">
        <v>-0.12850911766270889</v>
      </c>
      <c r="BC580" s="18">
        <v>-3.2364694309793114E-2</v>
      </c>
      <c r="BD580" s="18">
        <v>-0.13714083603781632</v>
      </c>
      <c r="BE580" s="18">
        <v>-1.643008444761589E-2</v>
      </c>
      <c r="BF580" s="18">
        <v>-2.889582482961256E-4</v>
      </c>
      <c r="BG580" s="19">
        <v>9.2960587821166091E-2</v>
      </c>
    </row>
    <row r="581" spans="1:59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 t="str">
        <v>24.Long period from planning of project to construction</v>
      </c>
      <c r="AW581" s="25">
        <v>9.994771956902071E-3</v>
      </c>
      <c r="AX581" s="26">
        <v>-2.1593514344869953E-2</v>
      </c>
      <c r="AY581" s="26">
        <v>-4.9761742693285455E-2</v>
      </c>
      <c r="AZ581" s="18">
        <v>-6.0167239392631888E-3</v>
      </c>
      <c r="BA581" s="18">
        <v>-7.3495834839068831E-3</v>
      </c>
      <c r="BB581" s="18">
        <v>-3.0377237984004213E-4</v>
      </c>
      <c r="BC581" s="18">
        <v>-1.0529955680258843E-2</v>
      </c>
      <c r="BD581" s="18">
        <v>-1.3153619867853874E-2</v>
      </c>
      <c r="BE581" s="18">
        <v>2.2105495001340514E-3</v>
      </c>
      <c r="BF581" s="18">
        <v>2.0508776851161009E-2</v>
      </c>
      <c r="BG581" s="19">
        <v>0.44226174905234639</v>
      </c>
    </row>
    <row r="582" spans="1:59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 t="str">
        <v>25.Delays in issuing information to the contractor during construction stage</v>
      </c>
      <c r="AW582" s="25">
        <v>-4.307843694007633E-3</v>
      </c>
      <c r="AX582" s="26">
        <v>0.14568865607960707</v>
      </c>
      <c r="AY582" s="26">
        <v>-0.17300564085973116</v>
      </c>
      <c r="AZ582" s="18">
        <v>-0.12982178703732347</v>
      </c>
      <c r="BA582" s="18">
        <v>-0.11281980941436716</v>
      </c>
      <c r="BB582" s="18">
        <v>2.2303077319600254E-2</v>
      </c>
      <c r="BC582" s="18">
        <v>-5.9787816361841786E-2</v>
      </c>
      <c r="BD582" s="18">
        <v>5.3142107215423645E-2</v>
      </c>
      <c r="BE582" s="18">
        <v>1.1955051875245565E-2</v>
      </c>
      <c r="BF582" s="18">
        <v>-6.8625082136652624E-2</v>
      </c>
      <c r="BG582" s="19">
        <v>9.5897446951759932E-2</v>
      </c>
    </row>
    <row r="583" spans="1:59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 t="str">
        <v>26.No practical use of earned value management system</v>
      </c>
      <c r="AW583" s="25">
        <v>3.0615808719551101E-2</v>
      </c>
      <c r="AX583" s="26">
        <v>1.4123519660454551E-2</v>
      </c>
      <c r="AY583" s="26">
        <v>2.8772589299646413E-2</v>
      </c>
      <c r="AZ583" s="18">
        <v>-2.3116953699606077E-2</v>
      </c>
      <c r="BA583" s="18">
        <v>-5.8012155390578706E-3</v>
      </c>
      <c r="BB583" s="18">
        <v>-0.29862891694424093</v>
      </c>
      <c r="BC583" s="18">
        <v>-1.8909760660741706E-2</v>
      </c>
      <c r="BD583" s="18">
        <v>-9.432315389440013E-2</v>
      </c>
      <c r="BE583" s="18">
        <v>3.694173449747401E-4</v>
      </c>
      <c r="BF583" s="18">
        <v>-0.11762591749210949</v>
      </c>
      <c r="BG583" s="19">
        <v>5.3153203206786279E-2</v>
      </c>
    </row>
    <row r="584" spans="1:59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 t="str">
        <v>27.Lack of cost planning/monitoring during pre and post contract stage</v>
      </c>
      <c r="AW584" s="25">
        <v>2.0076107736136474E-2</v>
      </c>
      <c r="AX584" s="26">
        <v>7.3877441722533757E-2</v>
      </c>
      <c r="AY584" s="26">
        <v>-0.11822821783625231</v>
      </c>
      <c r="AZ584" s="18">
        <v>-1.4304639255836223E-2</v>
      </c>
      <c r="BA584" s="18">
        <v>4.9775510227992911E-2</v>
      </c>
      <c r="BB584" s="18">
        <v>1.266407355054414E-3</v>
      </c>
      <c r="BC584" s="18">
        <v>-2.229551298208603E-3</v>
      </c>
      <c r="BD584" s="18">
        <v>-0.19706947808706321</v>
      </c>
      <c r="BE584" s="18">
        <v>-4.9176597463609355E-2</v>
      </c>
      <c r="BF584" s="18">
        <v>-0.16627340255442635</v>
      </c>
      <c r="BG584" s="19">
        <v>7.4483014444021098E-3</v>
      </c>
    </row>
    <row r="585" spans="1:59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 t="str">
        <v>28.Poor communication between client, consultant and contractor</v>
      </c>
      <c r="AW585" s="25">
        <v>-1.8739736484296519E-2</v>
      </c>
      <c r="AX585" s="26">
        <v>-1.6524440424603767E-2</v>
      </c>
      <c r="AY585" s="26">
        <v>-0.14198808685192665</v>
      </c>
      <c r="AZ585" s="18">
        <v>-2.3497157912982583E-2</v>
      </c>
      <c r="BA585" s="18">
        <v>0.15799798103546442</v>
      </c>
      <c r="BB585" s="18">
        <v>-0.16285915015517299</v>
      </c>
      <c r="BC585" s="18">
        <v>2.3788643693038108E-2</v>
      </c>
      <c r="BD585" s="18">
        <v>-3.247236565615709E-2</v>
      </c>
      <c r="BE585" s="18">
        <v>1.1140808472127374E-3</v>
      </c>
      <c r="BF585" s="18">
        <v>-4.9955091685147529E-2</v>
      </c>
      <c r="BG585" s="19">
        <v>-0.14679168668475692</v>
      </c>
    </row>
    <row r="586" spans="1:59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 t="str">
        <v>29.Insufficient coordination between local authority who is responsible about road projects and service authorities</v>
      </c>
      <c r="AW586" s="25">
        <v>-4.8933395136011817E-2</v>
      </c>
      <c r="AX586" s="26">
        <v>-6.3248792248871899E-3</v>
      </c>
      <c r="AY586" s="26">
        <v>-0.37536475386322227</v>
      </c>
      <c r="AZ586" s="18">
        <v>-2.2510054977143697E-2</v>
      </c>
      <c r="BA586" s="18">
        <v>0.17320082971745715</v>
      </c>
      <c r="BB586" s="18">
        <v>-2.88209745989512E-2</v>
      </c>
      <c r="BC586" s="18">
        <v>-6.9093820593075755E-2</v>
      </c>
      <c r="BD586" s="18">
        <v>5.716762537300973E-3</v>
      </c>
      <c r="BE586" s="18">
        <v>4.9527908571741268E-2</v>
      </c>
      <c r="BF586" s="18">
        <v>-9.38217295708451E-2</v>
      </c>
      <c r="BG586" s="19">
        <v>-1.5950252621527741E-2</v>
      </c>
    </row>
    <row r="587" spans="1:59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 t="str">
        <v>30.Delays in decisions making by the approval authorities</v>
      </c>
      <c r="AW587" s="25">
        <v>-9.6072958143925951E-3</v>
      </c>
      <c r="AX587" s="26">
        <v>-4.4606315105599509E-2</v>
      </c>
      <c r="AY587" s="26">
        <v>-0.21963329234906143</v>
      </c>
      <c r="AZ587" s="18">
        <v>-2.2485312684558177E-3</v>
      </c>
      <c r="BA587" s="18">
        <v>-0.10965087266805941</v>
      </c>
      <c r="BB587" s="18">
        <v>2.5989368267260209E-2</v>
      </c>
      <c r="BC587" s="18">
        <v>-1.4474374422661831E-2</v>
      </c>
      <c r="BD587" s="18">
        <v>7.2996398548695718E-2</v>
      </c>
      <c r="BE587" s="18">
        <v>7.1404446968855173E-2</v>
      </c>
      <c r="BF587" s="18">
        <v>3.2217299064286803E-2</v>
      </c>
      <c r="BG587" s="19">
        <v>0.21854967020073576</v>
      </c>
    </row>
    <row r="588" spans="1:59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 t="str">
        <v>31.Change schedule</v>
      </c>
      <c r="AW588" s="25">
        <v>5.2475677078543656E-2</v>
      </c>
      <c r="AX588" s="26">
        <v>2.8721438338314728E-3</v>
      </c>
      <c r="AY588" s="26">
        <v>2.601912150524415E-3</v>
      </c>
      <c r="AZ588" s="18">
        <v>-2.0442655137697791E-2</v>
      </c>
      <c r="BA588" s="18">
        <v>-0.17467520169473855</v>
      </c>
      <c r="BB588" s="18">
        <v>-0.21130677491712113</v>
      </c>
      <c r="BC588" s="18">
        <v>-2.313282827550165E-2</v>
      </c>
      <c r="BD588" s="18">
        <v>2.4321997391883156E-2</v>
      </c>
      <c r="BE588" s="18">
        <v>3.5782511710371681E-2</v>
      </c>
      <c r="BF588" s="18">
        <v>1.8885924701705605E-2</v>
      </c>
      <c r="BG588" s="19">
        <v>1.8560125750237678E-2</v>
      </c>
    </row>
    <row r="589" spans="1:59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 t="str">
        <v>32.Stoppages because of work being rejected by consultant</v>
      </c>
      <c r="AW589" s="25">
        <v>6.71098275762438E-2</v>
      </c>
      <c r="AX589" s="26">
        <v>0.12601808655691543</v>
      </c>
      <c r="AY589" s="26">
        <v>4.6346102505955111E-2</v>
      </c>
      <c r="AZ589" s="18">
        <v>-4.6902827114682473E-2</v>
      </c>
      <c r="BA589" s="18">
        <v>-9.2594704777535078E-2</v>
      </c>
      <c r="BB589" s="18">
        <v>-6.350949616675293E-2</v>
      </c>
      <c r="BC589" s="18">
        <v>-4.9400270317480614E-2</v>
      </c>
      <c r="BD589" s="18">
        <v>-1.7185637633671355E-2</v>
      </c>
      <c r="BE589" s="18">
        <v>-9.2107926006889496E-2</v>
      </c>
      <c r="BF589" s="18">
        <v>3.1543850922715428E-3</v>
      </c>
      <c r="BG589" s="19">
        <v>-0.10919378887657984</v>
      </c>
    </row>
    <row r="590" spans="1:59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 t="str">
        <v>33.Lowest bid price</v>
      </c>
      <c r="AW590" s="25">
        <v>6.8563259518572298E-2</v>
      </c>
      <c r="AX590" s="26">
        <v>-9.4833431081000896E-3</v>
      </c>
      <c r="AY590" s="26">
        <v>1.4642163308738106E-2</v>
      </c>
      <c r="AZ590" s="18">
        <v>2.0592912539258601E-2</v>
      </c>
      <c r="BA590" s="18">
        <v>-0.44935137474228326</v>
      </c>
      <c r="BB590" s="18">
        <v>-3.3375090892473966E-2</v>
      </c>
      <c r="BC590" s="18">
        <v>-6.4957124136903369E-2</v>
      </c>
      <c r="BD590" s="18">
        <v>3.0349685611813212E-2</v>
      </c>
      <c r="BE590" s="18">
        <v>-0.16092023765985511</v>
      </c>
      <c r="BF590" s="18">
        <v>-0.11022296209235143</v>
      </c>
      <c r="BG590" s="19">
        <v>6.2997749157067601E-2</v>
      </c>
    </row>
    <row r="591" spans="1:59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 t="str">
        <v>34.Insufficient time for preparation of contract documents</v>
      </c>
      <c r="AW591" s="25">
        <v>-2.7477574607556596E-2</v>
      </c>
      <c r="AX591" s="26">
        <v>-3.3978683652765254E-2</v>
      </c>
      <c r="AY591" s="26">
        <v>0.1054883817957436</v>
      </c>
      <c r="AZ591" s="18">
        <v>-2.2122494213471216E-2</v>
      </c>
      <c r="BA591" s="18">
        <v>-0.41008371530927634</v>
      </c>
      <c r="BB591" s="18">
        <v>7.7319305835560001E-3</v>
      </c>
      <c r="BC591" s="18">
        <v>7.5031711203701335E-2</v>
      </c>
      <c r="BD591" s="18">
        <v>-0.16099578211162544</v>
      </c>
      <c r="BE591" s="18">
        <v>0.15254296966144748</v>
      </c>
      <c r="BF591" s="18">
        <v>4.6773281766566546E-2</v>
      </c>
      <c r="BG591" s="19">
        <v>-8.0161048643445365E-2</v>
      </c>
    </row>
    <row r="592" spans="1:59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 t="str">
        <v>35.Discrepancies in contract documents</v>
      </c>
      <c r="AW592" s="25">
        <v>-8.6127698993176717E-3</v>
      </c>
      <c r="AX592" s="26">
        <v>-3.7732987799242022E-2</v>
      </c>
      <c r="AY592" s="26">
        <v>-1.0661115472728886E-2</v>
      </c>
      <c r="AZ592" s="18">
        <v>-2.2745929510701993E-2</v>
      </c>
      <c r="BA592" s="18">
        <v>-0.27764693929836692</v>
      </c>
      <c r="BB592" s="18">
        <v>5.616396302967043E-2</v>
      </c>
      <c r="BC592" s="18">
        <v>-1.9990867660365647E-3</v>
      </c>
      <c r="BD592" s="18">
        <v>-0.32988413438891911</v>
      </c>
      <c r="BE592" s="18">
        <v>0.1160830381412682</v>
      </c>
      <c r="BF592" s="18">
        <v>-2.7571985320523486E-2</v>
      </c>
      <c r="BG592" s="19">
        <v>-4.2154260054703373E-2</v>
      </c>
    </row>
    <row r="593" spans="1:59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 t="str">
        <v>36.Underestimation of time for completion of project</v>
      </c>
      <c r="AW593" s="25">
        <v>3.2978259040885513E-2</v>
      </c>
      <c r="AX593" s="26">
        <v>-6.2978597527047805E-2</v>
      </c>
      <c r="AY593" s="26">
        <v>-4.9452184081838844E-2</v>
      </c>
      <c r="AZ593" s="18">
        <v>4.0542052662593663E-2</v>
      </c>
      <c r="BA593" s="18">
        <v>4.80375815411015E-2</v>
      </c>
      <c r="BB593" s="18">
        <v>0.1159639095175245</v>
      </c>
      <c r="BC593" s="18">
        <v>-6.2393084866508235E-2</v>
      </c>
      <c r="BD593" s="18">
        <v>-0.31392346587196629</v>
      </c>
      <c r="BE593" s="18">
        <v>-9.2767877225728865E-2</v>
      </c>
      <c r="BF593" s="18">
        <v>3.0653794177815982E-2</v>
      </c>
      <c r="BG593" s="19">
        <v>0.10450939932542844</v>
      </c>
    </row>
    <row r="594" spans="1:59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 t="str">
        <v>37.Extension of time with cost claims</v>
      </c>
      <c r="AW594" s="25">
        <v>8.8831416821021567E-2</v>
      </c>
      <c r="AX594" s="26">
        <v>-4.5449274099802012E-2</v>
      </c>
      <c r="AY594" s="26">
        <v>-6.3915905583608448E-2</v>
      </c>
      <c r="AZ594" s="18">
        <v>0.10593418081695806</v>
      </c>
      <c r="BA594" s="18">
        <v>6.3344882755533058E-2</v>
      </c>
      <c r="BB594" s="18">
        <v>7.2614466991802518E-2</v>
      </c>
      <c r="BC594" s="18">
        <v>2.2409703963415722E-2</v>
      </c>
      <c r="BD594" s="18">
        <v>-0.11485580234744276</v>
      </c>
      <c r="BE594" s="18">
        <v>-0.12774959501285865</v>
      </c>
      <c r="BF594" s="18">
        <v>6.0847295164705745E-2</v>
      </c>
      <c r="BG594" s="19">
        <v>5.418401786902842E-2</v>
      </c>
    </row>
    <row r="595" spans="1:59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 t="str">
        <v>38.Scope and specification changes</v>
      </c>
      <c r="AW595" s="25">
        <v>6.2031179020660958E-2</v>
      </c>
      <c r="AX595" s="26">
        <v>-4.375890511382198E-2</v>
      </c>
      <c r="AY595" s="26">
        <v>2.4526395347020679E-2</v>
      </c>
      <c r="AZ595" s="18">
        <v>0.30889318006231575</v>
      </c>
      <c r="BA595" s="18">
        <v>3.5066896581135024E-3</v>
      </c>
      <c r="BB595" s="18">
        <v>-4.0024071849862973E-2</v>
      </c>
      <c r="BC595" s="18">
        <v>-5.0661451366871862E-2</v>
      </c>
      <c r="BD595" s="18">
        <v>-6.5255869183373547E-2</v>
      </c>
      <c r="BE595" s="18">
        <v>-2.0351006208549235E-2</v>
      </c>
      <c r="BF595" s="18">
        <v>2.0370604005393152E-2</v>
      </c>
      <c r="BG595" s="19">
        <v>6.2339626508329894E-2</v>
      </c>
    </row>
    <row r="596" spans="1:59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 t="str">
        <v>39.Changes in client requirements</v>
      </c>
      <c r="AW596" s="25">
        <v>7.3852189806622275E-3</v>
      </c>
      <c r="AX596" s="26">
        <v>-7.0117632474112734E-2</v>
      </c>
      <c r="AY596" s="26">
        <v>1.5607467316851125E-2</v>
      </c>
      <c r="AZ596" s="18">
        <v>0.38145855634237213</v>
      </c>
      <c r="BA596" s="18">
        <v>3.6093948750906081E-2</v>
      </c>
      <c r="BB596" s="18">
        <v>5.307891643549971E-2</v>
      </c>
      <c r="BC596" s="18">
        <v>-9.2487469560814054E-3</v>
      </c>
      <c r="BD596" s="18">
        <v>-3.6753504471090668E-3</v>
      </c>
      <c r="BE596" s="18">
        <v>-5.0387432232168537E-2</v>
      </c>
      <c r="BF596" s="18">
        <v>-2.0200168817315938E-2</v>
      </c>
      <c r="BG596" s="19">
        <v>0.12461913170770514</v>
      </c>
    </row>
    <row r="597" spans="1:59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 t="str">
        <v>40.Frequency of variation orders and additional works</v>
      </c>
      <c r="AW597" s="25">
        <v>4.3511022454217521E-2</v>
      </c>
      <c r="AX597" s="26">
        <v>1.9914199581272166E-2</v>
      </c>
      <c r="AY597" s="26">
        <v>-5.227503244825531E-3</v>
      </c>
      <c r="AZ597" s="18">
        <v>0.3466241325924011</v>
      </c>
      <c r="BA597" s="18">
        <v>6.616249526578917E-2</v>
      </c>
      <c r="BB597" s="18">
        <v>0.11051610372237204</v>
      </c>
      <c r="BC597" s="18">
        <v>-2.8665812420721845E-2</v>
      </c>
      <c r="BD597" s="18">
        <v>-5.0804930374579858E-2</v>
      </c>
      <c r="BE597" s="18">
        <v>2.6810671985126149E-2</v>
      </c>
      <c r="BF597" s="18">
        <v>6.5563122349245648E-2</v>
      </c>
      <c r="BG597" s="19">
        <v>-0.19431514029967814</v>
      </c>
    </row>
    <row r="598" spans="1:59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 t="str">
        <v>41.Rework due to error in execution</v>
      </c>
      <c r="AW598" s="25">
        <v>-2.7196397457558807E-2</v>
      </c>
      <c r="AX598" s="26">
        <v>-6.673669290445236E-2</v>
      </c>
      <c r="AY598" s="26">
        <v>0.20230923515975405</v>
      </c>
      <c r="AZ598" s="18">
        <v>9.5743166775589542E-2</v>
      </c>
      <c r="BA598" s="18">
        <v>7.8649821491545549E-2</v>
      </c>
      <c r="BB598" s="18">
        <v>7.6564179062159718E-2</v>
      </c>
      <c r="BC598" s="18">
        <v>0.12111795079293299</v>
      </c>
      <c r="BD598" s="18">
        <v>-0.2514540229973265</v>
      </c>
      <c r="BE598" s="18">
        <v>7.4189833109535377E-3</v>
      </c>
      <c r="BF598" s="18">
        <v>3.6191229303307794E-2</v>
      </c>
      <c r="BG598" s="19">
        <v>2.6541226758387104E-2</v>
      </c>
    </row>
    <row r="599" spans="1:59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 t="str">
        <v>42.Weather conditions</v>
      </c>
      <c r="AW599" s="25">
        <v>8.5553799136899755E-2</v>
      </c>
      <c r="AX599" s="26">
        <v>2.0788560335771929E-2</v>
      </c>
      <c r="AY599" s="26">
        <v>-9.8729143191319382E-2</v>
      </c>
      <c r="AZ599" s="18">
        <v>-5.4558202376457629E-2</v>
      </c>
      <c r="BA599" s="18">
        <v>9.2391217604051806E-2</v>
      </c>
      <c r="BB599" s="18">
        <v>-9.509016344632297E-2</v>
      </c>
      <c r="BC599" s="18">
        <v>-7.0111124277156933E-2</v>
      </c>
      <c r="BD599" s="18">
        <v>-5.2934913071007866E-2</v>
      </c>
      <c r="BE599" s="18">
        <v>1.5465966015208287E-2</v>
      </c>
      <c r="BF599" s="18">
        <v>0.48066748061570891</v>
      </c>
      <c r="BG599" s="19">
        <v>-7.6827179364463649E-2</v>
      </c>
    </row>
    <row r="600" spans="1:59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 t="str">
        <v>43.Accidents during construction</v>
      </c>
      <c r="AW600" s="25">
        <v>2.3785324401902969E-2</v>
      </c>
      <c r="AX600" s="26">
        <v>-6.5916031775987094E-2</v>
      </c>
      <c r="AY600" s="26">
        <v>1.9018514055936249E-2</v>
      </c>
      <c r="AZ600" s="18">
        <v>5.6595846861238704E-2</v>
      </c>
      <c r="BA600" s="18">
        <v>7.1033346060398114E-2</v>
      </c>
      <c r="BB600" s="18">
        <v>3.4478552588950578E-2</v>
      </c>
      <c r="BC600" s="18">
        <v>-3.8877942768554795E-2</v>
      </c>
      <c r="BD600" s="18">
        <v>6.4319736921874468E-2</v>
      </c>
      <c r="BE600" s="18">
        <v>-4.025791861236383E-2</v>
      </c>
      <c r="BF600" s="18">
        <v>0.47800424567892164</v>
      </c>
      <c r="BG600" s="19">
        <v>0.12550210850567028</v>
      </c>
    </row>
    <row r="601" spans="1:59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 t="str">
        <v>44.Delay in getting NOCs from different government authorities</v>
      </c>
      <c r="AW601" s="27">
        <v>6.6697516864157633E-2</v>
      </c>
      <c r="AX601" s="28">
        <v>-4.0062858935548243E-2</v>
      </c>
      <c r="AY601" s="28">
        <v>-0.27207287129443269</v>
      </c>
      <c r="AZ601" s="20">
        <v>4.2911580739952E-2</v>
      </c>
      <c r="BA601" s="20">
        <v>1.0648305550894207E-2</v>
      </c>
      <c r="BB601" s="20">
        <v>9.4606833081613551E-2</v>
      </c>
      <c r="BC601" s="20">
        <v>-2.8219255112521088E-2</v>
      </c>
      <c r="BD601" s="20">
        <v>6.4281314132866273E-3</v>
      </c>
      <c r="BE601" s="20">
        <v>-7.3260605503439241E-2</v>
      </c>
      <c r="BF601" s="20">
        <v>0.14184683864190895</v>
      </c>
      <c r="BG601" s="21">
        <v>-1.1678688025650048E-2</v>
      </c>
    </row>
    <row r="602" spans="1:59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9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 t="s">
        <v>212</v>
      </c>
      <c r="AW603" s="3"/>
      <c r="AX603" s="3"/>
      <c r="AY603" s="3"/>
    </row>
    <row r="604" spans="1:59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9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4">
        <f t="array" ref="AW605:BG615">MMULT(MMULT(TRANSPOSE(AW365:BG408),MMULT(MINVERSE([1]!DIAGONAL(BJ316:BJ359)),AW20:CN63)),MMULT(MINVERSE([1]!DIAGONAL(BJ316:BJ359)),AW365:BG408))</f>
        <v>1589.7303923966786</v>
      </c>
      <c r="AX605" s="35">
        <v>-824.39257551024718</v>
      </c>
      <c r="AY605" s="35">
        <v>460.56725201782331</v>
      </c>
      <c r="AZ605" s="16">
        <v>-448.62042100429113</v>
      </c>
      <c r="BA605" s="16">
        <v>317.95843351994938</v>
      </c>
      <c r="BB605" s="16">
        <v>507.48353953155987</v>
      </c>
      <c r="BC605" s="16">
        <v>-465.8291660008851</v>
      </c>
      <c r="BD605" s="16">
        <v>512.34726252796611</v>
      </c>
      <c r="BE605" s="16">
        <v>660.4516032750405</v>
      </c>
      <c r="BF605" s="16">
        <v>-485.94529957141083</v>
      </c>
      <c r="BG605" s="17">
        <v>-29.853319650788528</v>
      </c>
    </row>
    <row r="606" spans="1:59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25">
        <v>-824.39257551024684</v>
      </c>
      <c r="AX606" s="26">
        <v>657.24174245032395</v>
      </c>
      <c r="AY606" s="26">
        <v>-291.74985023987529</v>
      </c>
      <c r="AZ606" s="18">
        <v>286.67333244851221</v>
      </c>
      <c r="BA606" s="18">
        <v>-192.55431480876385</v>
      </c>
      <c r="BB606" s="18">
        <v>-337.04832073800782</v>
      </c>
      <c r="BC606" s="18">
        <v>375.53313889666401</v>
      </c>
      <c r="BD606" s="18">
        <v>-328.17402457475225</v>
      </c>
      <c r="BE606" s="18">
        <v>-320.11413280741658</v>
      </c>
      <c r="BF606" s="18">
        <v>310.97924428643228</v>
      </c>
      <c r="BG606" s="19">
        <v>53.245776101947072</v>
      </c>
    </row>
    <row r="607" spans="1:59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25">
        <v>460.56725201782325</v>
      </c>
      <c r="AX607" s="26">
        <v>-291.74985023987523</v>
      </c>
      <c r="AY607" s="26">
        <v>237.71907040918364</v>
      </c>
      <c r="AZ607" s="18">
        <v>-167.78900692049368</v>
      </c>
      <c r="BA607" s="18">
        <v>115.79712052507944</v>
      </c>
      <c r="BB607" s="18">
        <v>188.76717833425965</v>
      </c>
      <c r="BC607" s="18">
        <v>-235.61388558219957</v>
      </c>
      <c r="BD607" s="18">
        <v>163.40221328767501</v>
      </c>
      <c r="BE607" s="18">
        <v>196.08973206273942</v>
      </c>
      <c r="BF607" s="18">
        <v>-155.93987689571776</v>
      </c>
      <c r="BG607" s="19">
        <v>-13.789640613082801</v>
      </c>
    </row>
    <row r="608" spans="1:59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25">
        <v>-448.62042100429107</v>
      </c>
      <c r="AX608" s="26">
        <v>286.67333244851216</v>
      </c>
      <c r="AY608" s="26">
        <v>-167.78900692049362</v>
      </c>
      <c r="AZ608" s="18">
        <v>246.99184057589602</v>
      </c>
      <c r="BA608" s="18">
        <v>-114.27240109428899</v>
      </c>
      <c r="BB608" s="18">
        <v>-187.74585517581681</v>
      </c>
      <c r="BC608" s="18">
        <v>198.01314191820521</v>
      </c>
      <c r="BD608" s="18">
        <v>-139.77777261777786</v>
      </c>
      <c r="BE608" s="18">
        <v>-168.14932128765511</v>
      </c>
      <c r="BF608" s="18">
        <v>125.4572969942564</v>
      </c>
      <c r="BG608" s="19">
        <v>13.413845482377727</v>
      </c>
    </row>
    <row r="609" spans="1:59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25">
        <v>317.95843351994932</v>
      </c>
      <c r="AX609" s="26">
        <v>-192.55431480876382</v>
      </c>
      <c r="AY609" s="26">
        <v>115.79712052507941</v>
      </c>
      <c r="AZ609" s="18">
        <v>-114.27240109428898</v>
      </c>
      <c r="BA609" s="18">
        <v>104.91114117004007</v>
      </c>
      <c r="BB609" s="18">
        <v>119.76964895859497</v>
      </c>
      <c r="BC609" s="18">
        <v>-133.62991451596423</v>
      </c>
      <c r="BD609" s="18">
        <v>111.40933301215152</v>
      </c>
      <c r="BE609" s="18">
        <v>143.35519356950866</v>
      </c>
      <c r="BF609" s="18">
        <v>-112.61363668612486</v>
      </c>
      <c r="BG609" s="19">
        <v>-4.8812859433125535</v>
      </c>
    </row>
    <row r="610" spans="1:59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25">
        <v>507.48353953155976</v>
      </c>
      <c r="AX610" s="26">
        <v>-337.04832073800793</v>
      </c>
      <c r="AY610" s="26">
        <v>188.76717833425971</v>
      </c>
      <c r="AZ610" s="18">
        <v>-187.74585517581681</v>
      </c>
      <c r="BA610" s="18">
        <v>119.76964895859498</v>
      </c>
      <c r="BB610" s="18">
        <v>235.16186180372233</v>
      </c>
      <c r="BC610" s="18">
        <v>-214.97358080032271</v>
      </c>
      <c r="BD610" s="18">
        <v>189.58196884025242</v>
      </c>
      <c r="BE610" s="18">
        <v>199.95678423348465</v>
      </c>
      <c r="BF610" s="18">
        <v>-176.26673016077891</v>
      </c>
      <c r="BG610" s="19">
        <v>-16.654363220974147</v>
      </c>
    </row>
    <row r="611" spans="1:59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25">
        <v>-465.82916600088515</v>
      </c>
      <c r="AX611" s="26">
        <v>375.53313889666413</v>
      </c>
      <c r="AY611" s="26">
        <v>-235.61388558219957</v>
      </c>
      <c r="AZ611" s="18">
        <v>198.01314191820532</v>
      </c>
      <c r="BA611" s="18">
        <v>-133.62991451596415</v>
      </c>
      <c r="BB611" s="18">
        <v>-214.97358080032268</v>
      </c>
      <c r="BC611" s="18">
        <v>360.39135625238544</v>
      </c>
      <c r="BD611" s="18">
        <v>-183.13785159404773</v>
      </c>
      <c r="BE611" s="18">
        <v>-202.21068040045739</v>
      </c>
      <c r="BF611" s="18">
        <v>179.86387118529174</v>
      </c>
      <c r="BG611" s="19">
        <v>25.916522362949358</v>
      </c>
    </row>
    <row r="612" spans="1:59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25">
        <v>512.34726252796622</v>
      </c>
      <c r="AX612" s="26">
        <v>-328.17402457475225</v>
      </c>
      <c r="AY612" s="26">
        <v>163.40221328767495</v>
      </c>
      <c r="AZ612" s="18">
        <v>-139.77777261777791</v>
      </c>
      <c r="BA612" s="18">
        <v>111.40933301215148</v>
      </c>
      <c r="BB612" s="18">
        <v>189.58196884025242</v>
      </c>
      <c r="BC612" s="18">
        <v>-183.13785159404767</v>
      </c>
      <c r="BD612" s="18">
        <v>225.54638359344756</v>
      </c>
      <c r="BE612" s="18">
        <v>201.48767185854641</v>
      </c>
      <c r="BF612" s="18">
        <v>-183.76132542020409</v>
      </c>
      <c r="BG612" s="19">
        <v>-23.510985421887547</v>
      </c>
    </row>
    <row r="613" spans="1:59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25">
        <v>660.45160327504084</v>
      </c>
      <c r="AX613" s="26">
        <v>-320.11413280741658</v>
      </c>
      <c r="AY613" s="26">
        <v>196.08973206273936</v>
      </c>
      <c r="AZ613" s="18">
        <v>-168.14932128765511</v>
      </c>
      <c r="BA613" s="18">
        <v>143.35519356950869</v>
      </c>
      <c r="BB613" s="18">
        <v>199.95678423348457</v>
      </c>
      <c r="BC613" s="18">
        <v>-202.21068040045731</v>
      </c>
      <c r="BD613" s="18">
        <v>201.48767185854638</v>
      </c>
      <c r="BE613" s="18">
        <v>354.40659398876295</v>
      </c>
      <c r="BF613" s="18">
        <v>-223.06669473513205</v>
      </c>
      <c r="BG613" s="19">
        <v>-2.7852029166214356</v>
      </c>
    </row>
    <row r="614" spans="1:59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25">
        <v>-485.94529957141054</v>
      </c>
      <c r="AX614" s="26">
        <v>310.97924428643222</v>
      </c>
      <c r="AY614" s="26">
        <v>-155.93987689571782</v>
      </c>
      <c r="AZ614" s="18">
        <v>125.45729699425641</v>
      </c>
      <c r="BA614" s="18">
        <v>-112.61363668612489</v>
      </c>
      <c r="BB614" s="18">
        <v>-176.26673016077879</v>
      </c>
      <c r="BC614" s="18">
        <v>179.86387118529171</v>
      </c>
      <c r="BD614" s="18">
        <v>-183.76132542020412</v>
      </c>
      <c r="BE614" s="18">
        <v>-223.06669473513207</v>
      </c>
      <c r="BF614" s="18">
        <v>227.76431939801509</v>
      </c>
      <c r="BG614" s="19">
        <v>14.55221004760892</v>
      </c>
    </row>
    <row r="615" spans="1:59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27">
        <v>-29.853319650788553</v>
      </c>
      <c r="AX615" s="28">
        <v>53.245776101947051</v>
      </c>
      <c r="AY615" s="28">
        <v>-13.789640613082803</v>
      </c>
      <c r="AZ615" s="20">
        <v>13.413845482377726</v>
      </c>
      <c r="BA615" s="20">
        <v>-4.8812859433125526</v>
      </c>
      <c r="BB615" s="20">
        <v>-16.654363220974144</v>
      </c>
      <c r="BC615" s="20">
        <v>25.916522362949348</v>
      </c>
      <c r="BD615" s="20">
        <v>-23.510985421887533</v>
      </c>
      <c r="BE615" s="20">
        <v>-2.785202916621432</v>
      </c>
      <c r="BF615" s="20">
        <v>14.552210047608925</v>
      </c>
      <c r="BG615" s="21">
        <v>33.079494893273377</v>
      </c>
    </row>
    <row r="616" spans="1:59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9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>
        <v>1</v>
      </c>
      <c r="AX617" s="3">
        <f>AW617+1</f>
        <v>2</v>
      </c>
      <c r="AY617" s="3">
        <f t="shared" ref="AY617:BG617" si="20">AX617+1</f>
        <v>3</v>
      </c>
      <c r="AZ617" s="3">
        <f t="shared" si="20"/>
        <v>4</v>
      </c>
      <c r="BA617" s="3">
        <f t="shared" si="20"/>
        <v>5</v>
      </c>
      <c r="BB617" s="3">
        <f t="shared" si="20"/>
        <v>6</v>
      </c>
      <c r="BC617" s="3">
        <f t="shared" si="20"/>
        <v>7</v>
      </c>
      <c r="BD617" s="3">
        <f t="shared" si="20"/>
        <v>8</v>
      </c>
      <c r="BE617" s="3">
        <f t="shared" si="20"/>
        <v>9</v>
      </c>
      <c r="BF617" s="3">
        <f t="shared" si="20"/>
        <v>10</v>
      </c>
      <c r="BG617" s="3">
        <f t="shared" si="20"/>
        <v>11</v>
      </c>
    </row>
    <row r="618" spans="1:59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 t="str">
        <f t="array" ref="AV618:AV661">TRANSPOSE(B1:AS1)</f>
        <v>1.Delay in delivering material to construction site</v>
      </c>
      <c r="AW618" s="34">
        <f t="array" ref="AW618:BG661">TRANSPOSE(MMULT(MINVERSE([1]!MSQRT(AW605:BG615)),MMULT(TRANSPOSE(AW365:BG408),MINVERSE([1]!DIAGONAL(BJ316:BJ359)))))</f>
        <v>4.7501216806469806E-2</v>
      </c>
      <c r="AX618" s="35">
        <v>-1.5836579218064629E-2</v>
      </c>
      <c r="AY618" s="35">
        <v>-3.2794234594957852E-2</v>
      </c>
      <c r="AZ618" s="16">
        <v>2.2939517731364586E-2</v>
      </c>
      <c r="BA618" s="16">
        <v>-1.8774392208302564E-2</v>
      </c>
      <c r="BB618" s="16">
        <v>3.4081038995394906E-2</v>
      </c>
      <c r="BC618" s="16">
        <v>-2.2773913363629723E-2</v>
      </c>
      <c r="BD618" s="16">
        <v>-4.9704716713139446E-2</v>
      </c>
      <c r="BE618" s="16">
        <v>-0.21865292690607702</v>
      </c>
      <c r="BF618" s="16">
        <v>-6.0790397980152872E-3</v>
      </c>
      <c r="BG618" s="17">
        <v>-0.11606182026984928</v>
      </c>
    </row>
    <row r="619" spans="1:59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 t="str">
        <v>2.Monopoly of material by some suppliers</v>
      </c>
      <c r="AW619" s="25">
        <v>4.6873858285268286E-2</v>
      </c>
      <c r="AX619" s="26">
        <v>7.8652230504824172E-2</v>
      </c>
      <c r="AY619" s="26">
        <v>3.1442558451544846E-2</v>
      </c>
      <c r="AZ619" s="18">
        <v>-1.8084301191623759E-2</v>
      </c>
      <c r="BA619" s="18">
        <v>0.10116340303225146</v>
      </c>
      <c r="BB619" s="18">
        <v>0.14664291539514829</v>
      </c>
      <c r="BC619" s="18">
        <v>3.0963544151032592E-2</v>
      </c>
      <c r="BD619" s="18">
        <v>3.1031408647556193E-2</v>
      </c>
      <c r="BE619" s="18">
        <v>-0.3220847016461228</v>
      </c>
      <c r="BF619" s="18">
        <v>2.6035202902261717E-2</v>
      </c>
      <c r="BG619" s="19">
        <v>-9.5097689705635396E-2</v>
      </c>
    </row>
    <row r="620" spans="1:59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 t="str">
        <v>3.Prices fluctuation</v>
      </c>
      <c r="AW620" s="25">
        <v>-4.525812311536944E-2</v>
      </c>
      <c r="AX620" s="26">
        <v>-3.3530916893466767E-2</v>
      </c>
      <c r="AY620" s="26">
        <v>0.1691869431224835</v>
      </c>
      <c r="AZ620" s="18">
        <v>-1.7143516603983902E-2</v>
      </c>
      <c r="BA620" s="18">
        <v>0.11475223598271818</v>
      </c>
      <c r="BB620" s="18">
        <v>-0.21334031293744166</v>
      </c>
      <c r="BC620" s="18">
        <v>8.1056832796251067E-3</v>
      </c>
      <c r="BD620" s="18">
        <v>8.7291472953519939E-2</v>
      </c>
      <c r="BE620" s="18">
        <v>-0.18796240417876064</v>
      </c>
      <c r="BF620" s="18">
        <v>-0.11609433714236356</v>
      </c>
      <c r="BG620" s="19">
        <v>0.27276083604829743</v>
      </c>
    </row>
    <row r="621" spans="1:59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 t="str">
        <v>4.Types of material availability at local market</v>
      </c>
      <c r="AW621" s="25">
        <v>1.3769079214303917E-2</v>
      </c>
      <c r="AX621" s="26">
        <v>-3.4399486454109347E-2</v>
      </c>
      <c r="AY621" s="26">
        <v>7.7717773311352822E-2</v>
      </c>
      <c r="AZ621" s="18">
        <v>-6.7265808129436819E-2</v>
      </c>
      <c r="BA621" s="18">
        <v>-5.5794575989897816E-2</v>
      </c>
      <c r="BB621" s="18">
        <v>-0.1442776145291739</v>
      </c>
      <c r="BC621" s="18">
        <v>3.8553172864281716E-3</v>
      </c>
      <c r="BD621" s="18">
        <v>2.007530182558543E-2</v>
      </c>
      <c r="BE621" s="18">
        <v>-0.28113114469724587</v>
      </c>
      <c r="BF621" s="18">
        <v>-8.7339451757287384E-2</v>
      </c>
      <c r="BG621" s="19">
        <v>0.11280962071620516</v>
      </c>
    </row>
    <row r="622" spans="1:59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 t="str">
        <v>5.Lack of consultant’s knowledge of available materials</v>
      </c>
      <c r="AW622" s="25">
        <v>3.3067727909522025E-3</v>
      </c>
      <c r="AX622" s="26">
        <v>7.8591056373250048E-2</v>
      </c>
      <c r="AY622" s="26">
        <v>4.4320742495064833E-2</v>
      </c>
      <c r="AZ622" s="18">
        <v>-5.7661191091316804E-3</v>
      </c>
      <c r="BA622" s="18">
        <v>-1.4017434522954224E-2</v>
      </c>
      <c r="BB622" s="18">
        <v>-8.0944960615710354E-2</v>
      </c>
      <c r="BC622" s="18">
        <v>-4.3020546359671827E-2</v>
      </c>
      <c r="BD622" s="18">
        <v>7.0928422598636104E-2</v>
      </c>
      <c r="BE622" s="18">
        <v>-9.6719017974840477E-2</v>
      </c>
      <c r="BF622" s="18">
        <v>-2.0347934182797817E-2</v>
      </c>
      <c r="BG622" s="19">
        <v>3.6561050138035858E-2</v>
      </c>
    </row>
    <row r="623" spans="1:59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 t="str">
        <v>6.Low productivity</v>
      </c>
      <c r="AW623" s="25">
        <v>-0.16719384066928805</v>
      </c>
      <c r="AX623" s="26">
        <v>-4.8644794855951037E-3</v>
      </c>
      <c r="AY623" s="26">
        <v>-3.3632631636192664E-2</v>
      </c>
      <c r="AZ623" s="18">
        <v>-3.5895643304229126E-2</v>
      </c>
      <c r="BA623" s="18">
        <v>2.0069069501550463E-2</v>
      </c>
      <c r="BB623" s="18">
        <v>7.9556407684004474E-2</v>
      </c>
      <c r="BC623" s="18">
        <v>-2.0699634987892675E-2</v>
      </c>
      <c r="BD623" s="18">
        <v>8.0956469514739324E-4</v>
      </c>
      <c r="BE623" s="18">
        <v>2.3013566255349043E-2</v>
      </c>
      <c r="BF623" s="18">
        <v>-8.6201923733442681E-2</v>
      </c>
      <c r="BG623" s="19">
        <v>-7.9798971280862052E-2</v>
      </c>
    </row>
    <row r="624" spans="1:59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 t="str">
        <v>7.Poor work execution</v>
      </c>
      <c r="AW624" s="25">
        <v>-0.1266823296059349</v>
      </c>
      <c r="AX624" s="26">
        <v>-1.6850758970827582E-2</v>
      </c>
      <c r="AY624" s="26">
        <v>-2.8120551023608636E-2</v>
      </c>
      <c r="AZ624" s="18">
        <v>-2.0502961064505814E-2</v>
      </c>
      <c r="BA624" s="18">
        <v>-5.8718460099246285E-2</v>
      </c>
      <c r="BB624" s="18">
        <v>7.9045831232682343E-2</v>
      </c>
      <c r="BC624" s="18">
        <v>-5.3817316151094077E-3</v>
      </c>
      <c r="BD624" s="18">
        <v>-3.8120158344706813E-2</v>
      </c>
      <c r="BE624" s="18">
        <v>-6.5662695210820451E-2</v>
      </c>
      <c r="BF624" s="18">
        <v>-0.13550144848389975</v>
      </c>
      <c r="BG624" s="19">
        <v>5.7766439449421281E-2</v>
      </c>
    </row>
    <row r="625" spans="1:59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 t="str">
        <v>8.Shortage of laborers</v>
      </c>
      <c r="AW625" s="25">
        <v>-0.13154900983304543</v>
      </c>
      <c r="AX625" s="26">
        <v>-2.4230261167663313E-2</v>
      </c>
      <c r="AY625" s="26">
        <v>-2.6009991009021759E-2</v>
      </c>
      <c r="AZ625" s="18">
        <v>-5.4102865059389174E-2</v>
      </c>
      <c r="BA625" s="18">
        <v>-9.5887445172441202E-2</v>
      </c>
      <c r="BB625" s="18">
        <v>-5.8141929163948392E-2</v>
      </c>
      <c r="BC625" s="18">
        <v>-8.8333876196217617E-3</v>
      </c>
      <c r="BD625" s="18">
        <v>0.16925480333802265</v>
      </c>
      <c r="BE625" s="18">
        <v>3.2503412108392457E-2</v>
      </c>
      <c r="BF625" s="18">
        <v>1.8231913003372395E-2</v>
      </c>
      <c r="BG625" s="19">
        <v>-0.15002102377103343</v>
      </c>
    </row>
    <row r="626" spans="1:59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 t="str">
        <v>9.Mistakes happens during construction phase</v>
      </c>
      <c r="AW626" s="25">
        <v>-0.13365966407701213</v>
      </c>
      <c r="AX626" s="26">
        <v>7.6132049640793564E-2</v>
      </c>
      <c r="AY626" s="26">
        <v>-1.5121758550133563E-2</v>
      </c>
      <c r="AZ626" s="18">
        <v>-7.764799614449671E-3</v>
      </c>
      <c r="BA626" s="18">
        <v>7.905170732448133E-2</v>
      </c>
      <c r="BB626" s="18">
        <v>2.8726315966827094E-3</v>
      </c>
      <c r="BC626" s="18">
        <v>-0.12085752957606841</v>
      </c>
      <c r="BD626" s="18">
        <v>-3.3930841109691773E-2</v>
      </c>
      <c r="BE626" s="18">
        <v>2.4547512281993422E-2</v>
      </c>
      <c r="BF626" s="18">
        <v>-6.5642757624397932E-2</v>
      </c>
      <c r="BG626" s="19">
        <v>-0.13576397338827167</v>
      </c>
    </row>
    <row r="627" spans="1:59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 t="str">
        <v>10.Unavailability of equipment</v>
      </c>
      <c r="AW627" s="25">
        <v>-4.845208571128827E-2</v>
      </c>
      <c r="AX627" s="26">
        <v>-3.1478473294556435E-2</v>
      </c>
      <c r="AY627" s="26">
        <v>-1.7610540202507352E-2</v>
      </c>
      <c r="AZ627" s="18">
        <v>7.8583094914756063E-4</v>
      </c>
      <c r="BA627" s="18">
        <v>0.12474519524653047</v>
      </c>
      <c r="BB627" s="18">
        <v>-9.7095843936674309E-2</v>
      </c>
      <c r="BC627" s="18">
        <v>7.1063162558933815E-2</v>
      </c>
      <c r="BD627" s="18">
        <v>-4.0340533031688226E-2</v>
      </c>
      <c r="BE627" s="18">
        <v>-4.5599400822379829E-2</v>
      </c>
      <c r="BF627" s="18">
        <v>-4.7783172851672266E-2</v>
      </c>
      <c r="BG627" s="19">
        <v>-0.31296861903595602</v>
      </c>
    </row>
    <row r="628" spans="1:59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 t="str">
        <v>11.Lack of engineering experience</v>
      </c>
      <c r="AW628" s="25">
        <v>-0.26404528080553408</v>
      </c>
      <c r="AX628" s="26">
        <v>-8.8053892845301657E-2</v>
      </c>
      <c r="AY628" s="26">
        <v>7.0267574539113975E-2</v>
      </c>
      <c r="AZ628" s="18">
        <v>-0.1010782045247155</v>
      </c>
      <c r="BA628" s="18">
        <v>6.9190086793114919E-2</v>
      </c>
      <c r="BB628" s="18">
        <v>9.8251234740494922E-2</v>
      </c>
      <c r="BC628" s="18">
        <v>0.13565960122700063</v>
      </c>
      <c r="BD628" s="18">
        <v>7.0391951539370348E-2</v>
      </c>
      <c r="BE628" s="18">
        <v>0.1053694761822246</v>
      </c>
      <c r="BF628" s="18">
        <v>7.1602920528349531E-2</v>
      </c>
      <c r="BG628" s="19">
        <v>0.11158512300783886</v>
      </c>
    </row>
    <row r="629" spans="1:59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 t="str">
        <v>12.Construction cost underestimation</v>
      </c>
      <c r="AW629" s="25">
        <v>-0.21223022815346471</v>
      </c>
      <c r="AX629" s="26">
        <v>-5.8509958711591238E-2</v>
      </c>
      <c r="AY629" s="26">
        <v>4.6351105616898203E-2</v>
      </c>
      <c r="AZ629" s="18">
        <v>9.8172759360978426E-2</v>
      </c>
      <c r="BA629" s="18">
        <v>6.0454731701931282E-2</v>
      </c>
      <c r="BB629" s="18">
        <v>-1.8156906519280848E-2</v>
      </c>
      <c r="BC629" s="18">
        <v>-6.5954888318136978E-2</v>
      </c>
      <c r="BD629" s="18">
        <v>5.57386260078616E-2</v>
      </c>
      <c r="BE629" s="18">
        <v>0.19028690665016881</v>
      </c>
      <c r="BF629" s="18">
        <v>0.14619588252465726</v>
      </c>
      <c r="BG629" s="19">
        <v>1.3839163772459919E-2</v>
      </c>
    </row>
    <row r="630" spans="1:59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 t="str">
        <v>13.Poor site management</v>
      </c>
      <c r="AW630" s="25">
        <v>-0.20201289700158809</v>
      </c>
      <c r="AX630" s="26">
        <v>-4.8062059412335753E-2</v>
      </c>
      <c r="AY630" s="26">
        <v>1.9233295927731722E-2</v>
      </c>
      <c r="AZ630" s="18">
        <v>-5.8850496696574925E-3</v>
      </c>
      <c r="BA630" s="18">
        <v>-2.7626764127681287E-2</v>
      </c>
      <c r="BB630" s="18">
        <v>7.2010413890493341E-2</v>
      </c>
      <c r="BC630" s="18">
        <v>3.2749303186596454E-2</v>
      </c>
      <c r="BD630" s="18">
        <v>0.10589020991260492</v>
      </c>
      <c r="BE630" s="18">
        <v>0.12790108398158384</v>
      </c>
      <c r="BF630" s="18">
        <v>3.5969991758225538E-2</v>
      </c>
      <c r="BG630" s="19">
        <v>0.21023493572884169</v>
      </c>
    </row>
    <row r="631" spans="1:59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 t="str">
        <v>14.Delayed payment for completed work</v>
      </c>
      <c r="AW631" s="25">
        <v>-1.0806718424418838E-2</v>
      </c>
      <c r="AX631" s="26">
        <v>-3.0000200231243081E-2</v>
      </c>
      <c r="AY631" s="26">
        <v>-8.3108863114554635E-2</v>
      </c>
      <c r="AZ631" s="18">
        <v>2.418052048355341E-2</v>
      </c>
      <c r="BA631" s="18">
        <v>-0.11454354757522574</v>
      </c>
      <c r="BB631" s="18">
        <v>4.7827258197055633E-2</v>
      </c>
      <c r="BC631" s="18">
        <v>0.22185382295125661</v>
      </c>
      <c r="BD631" s="18">
        <v>0.27359355725102324</v>
      </c>
      <c r="BE631" s="18">
        <v>9.2705832916181695E-3</v>
      </c>
      <c r="BF631" s="18">
        <v>5.7115291190499601E-2</v>
      </c>
      <c r="BG631" s="19">
        <v>7.1090382187334655E-2</v>
      </c>
    </row>
    <row r="632" spans="1:59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 t="str">
        <v>15.Cash flow problem during construction</v>
      </c>
      <c r="AW632" s="25">
        <v>-2.4037002796617845E-3</v>
      </c>
      <c r="AX632" s="26">
        <v>2.5935634497967538E-2</v>
      </c>
      <c r="AY632" s="26">
        <v>5.6400640861806323E-2</v>
      </c>
      <c r="AZ632" s="18">
        <v>-3.1287042281091658E-2</v>
      </c>
      <c r="BA632" s="18">
        <v>2.8985601673892528E-2</v>
      </c>
      <c r="BB632" s="18">
        <v>0.11346061915406123</v>
      </c>
      <c r="BC632" s="18">
        <v>0.45524388775514174</v>
      </c>
      <c r="BD632" s="18">
        <v>3.0142817948198942E-2</v>
      </c>
      <c r="BE632" s="18">
        <v>-2.5499502005740186E-2</v>
      </c>
      <c r="BF632" s="18">
        <v>-0.10130946758115289</v>
      </c>
      <c r="BG632" s="19">
        <v>-7.1376492388866342E-2</v>
      </c>
    </row>
    <row r="633" spans="1:59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 t="str">
        <v>16.High rate of interest</v>
      </c>
      <c r="AW633" s="25">
        <v>-6.7503576732032874E-2</v>
      </c>
      <c r="AX633" s="26">
        <v>2.4792513514648361E-2</v>
      </c>
      <c r="AY633" s="26">
        <v>0.15257152895171383</v>
      </c>
      <c r="AZ633" s="18">
        <v>-5.6327743894363805E-2</v>
      </c>
      <c r="BA633" s="18">
        <v>-6.4669044287118532E-2</v>
      </c>
      <c r="BB633" s="18">
        <v>-6.5599443605607641E-2</v>
      </c>
      <c r="BC633" s="18">
        <v>0.16545668310229286</v>
      </c>
      <c r="BD633" s="18">
        <v>0.10350801276486928</v>
      </c>
      <c r="BE633" s="18">
        <v>0.16523652644514633</v>
      </c>
      <c r="BF633" s="18">
        <v>0.16323200503868121</v>
      </c>
      <c r="BG633" s="19">
        <v>-2.986338086726141E-2</v>
      </c>
    </row>
    <row r="634" spans="1:59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 t="str">
        <v>17.Contractor’s financial difficulties</v>
      </c>
      <c r="AW634" s="25">
        <v>3.6040571489815397E-2</v>
      </c>
      <c r="AX634" s="26">
        <v>-0.10068157867779258</v>
      </c>
      <c r="AY634" s="26">
        <v>8.2790499387839209E-2</v>
      </c>
      <c r="AZ634" s="18">
        <v>-4.7695487676418555E-2</v>
      </c>
      <c r="BA634" s="18">
        <v>0.12884304605310123</v>
      </c>
      <c r="BB634" s="18">
        <v>-8.8523330961962798E-2</v>
      </c>
      <c r="BC634" s="18">
        <v>0.32476990992943078</v>
      </c>
      <c r="BD634" s="18">
        <v>-0.1512229114325499</v>
      </c>
      <c r="BE634" s="18">
        <v>-4.4252875144505939E-2</v>
      </c>
      <c r="BF634" s="18">
        <v>-5.4800286473730857E-2</v>
      </c>
      <c r="BG634" s="19">
        <v>4.5762229704790311E-2</v>
      </c>
    </row>
    <row r="635" spans="1:59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 t="str">
        <v>18.Increase in salaries of skilled laborers</v>
      </c>
      <c r="AW635" s="25">
        <v>-1.3731323219482793E-2</v>
      </c>
      <c r="AX635" s="26">
        <v>-8.4888687402600277E-2</v>
      </c>
      <c r="AY635" s="26">
        <v>4.9397420567311105E-2</v>
      </c>
      <c r="AZ635" s="18">
        <v>-4.8360643021393718E-3</v>
      </c>
      <c r="BA635" s="18">
        <v>2.7487566671412209E-2</v>
      </c>
      <c r="BB635" s="18">
        <v>-0.36653218452548347</v>
      </c>
      <c r="BC635" s="18">
        <v>1.4764502918432512E-3</v>
      </c>
      <c r="BD635" s="18">
        <v>0.18394289970402394</v>
      </c>
      <c r="BE635" s="18">
        <v>-1.1357857290942826E-3</v>
      </c>
      <c r="BF635" s="18">
        <v>7.6730724218264476E-2</v>
      </c>
      <c r="BG635" s="19">
        <v>3.3309174271487774E-2</v>
      </c>
    </row>
    <row r="636" spans="1:59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 t="str">
        <v>19.Change design</v>
      </c>
      <c r="AW636" s="25">
        <v>-4.7327000683648562E-2</v>
      </c>
      <c r="AX636" s="26">
        <v>0.29590608936222801</v>
      </c>
      <c r="AY636" s="26">
        <v>4.8836773457491628E-2</v>
      </c>
      <c r="AZ636" s="18">
        <v>5.2458425046083078E-2</v>
      </c>
      <c r="BA636" s="18">
        <v>-7.99416801447069E-2</v>
      </c>
      <c r="BB636" s="18">
        <v>0.20299598765653445</v>
      </c>
      <c r="BC636" s="18">
        <v>-6.6176623477242028E-2</v>
      </c>
      <c r="BD636" s="18">
        <v>0.1787502795053722</v>
      </c>
      <c r="BE636" s="18">
        <v>-6.5891561999063741E-3</v>
      </c>
      <c r="BF636" s="18">
        <v>-4.7001784290694265E-2</v>
      </c>
      <c r="BG636" s="19">
        <v>3.1850514477345063E-2</v>
      </c>
    </row>
    <row r="637" spans="1:59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 t="str">
        <v>20.Errors and omission in design</v>
      </c>
      <c r="AW637" s="25">
        <v>2.9910129611225824E-2</v>
      </c>
      <c r="AX637" s="26">
        <v>0.33827156203928976</v>
      </c>
      <c r="AY637" s="26">
        <v>-1.0037212151270132E-2</v>
      </c>
      <c r="AZ637" s="18">
        <v>-6.514272476288599E-2</v>
      </c>
      <c r="BA637" s="18">
        <v>-1.0160697950766445E-2</v>
      </c>
      <c r="BB637" s="18">
        <v>0.11044166775559294</v>
      </c>
      <c r="BC637" s="18">
        <v>-5.0706102361374739E-2</v>
      </c>
      <c r="BD637" s="18">
        <v>7.6041893943503497E-2</v>
      </c>
      <c r="BE637" s="18">
        <v>-1.5835366463019938E-2</v>
      </c>
      <c r="BF637" s="18">
        <v>-4.1139691299826434E-2</v>
      </c>
      <c r="BG637" s="19">
        <v>-6.3939885664411694E-2</v>
      </c>
    </row>
    <row r="638" spans="1:59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 t="str">
        <v>21.Incomplete design drawings and specifications at tendering stage</v>
      </c>
      <c r="AW638" s="25">
        <v>2.8799760294734713E-2</v>
      </c>
      <c r="AX638" s="26">
        <v>0.23656712931059715</v>
      </c>
      <c r="AY638" s="26">
        <v>4.6045858204296151E-2</v>
      </c>
      <c r="AZ638" s="18">
        <v>0.1211511782816201</v>
      </c>
      <c r="BA638" s="18">
        <v>0.15666928653412562</v>
      </c>
      <c r="BB638" s="18">
        <v>6.4470033118891074E-2</v>
      </c>
      <c r="BC638" s="18">
        <v>4.0237618297052406E-2</v>
      </c>
      <c r="BD638" s="18">
        <v>8.1311371439909394E-2</v>
      </c>
      <c r="BE638" s="18">
        <v>1.701005111092261E-3</v>
      </c>
      <c r="BF638" s="18">
        <v>-1.7909371833600838E-2</v>
      </c>
      <c r="BG638" s="19">
        <v>-1.7224024793595277E-2</v>
      </c>
    </row>
    <row r="639" spans="1:59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 t="str">
        <v>22.Delay in preparation and approval of drawing</v>
      </c>
      <c r="AW639" s="25">
        <v>6.1680980919169327E-2</v>
      </c>
      <c r="AX639" s="26">
        <v>8.6761346949554632E-2</v>
      </c>
      <c r="AY639" s="26">
        <v>-6.022398958774481E-2</v>
      </c>
      <c r="AZ639" s="18">
        <v>5.7739222124146145E-2</v>
      </c>
      <c r="BA639" s="18">
        <v>1.8299320683233398E-2</v>
      </c>
      <c r="BB639" s="18">
        <v>-8.8568203446030114E-2</v>
      </c>
      <c r="BC639" s="18">
        <v>-5.0290934583076631E-2</v>
      </c>
      <c r="BD639" s="18">
        <v>2.1579076045929865E-3</v>
      </c>
      <c r="BE639" s="18">
        <v>-7.860912953039579E-3</v>
      </c>
      <c r="BF639" s="18">
        <v>-3.4834385315913846E-2</v>
      </c>
      <c r="BG639" s="19">
        <v>-5.2710817826320977E-2</v>
      </c>
    </row>
    <row r="640" spans="1:59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 t="str">
        <v>23.Inaccurate quantity take-off</v>
      </c>
      <c r="AW640" s="25">
        <v>7.5827441949321922E-2</v>
      </c>
      <c r="AX640" s="26">
        <v>0.13855391793670824</v>
      </c>
      <c r="AY640" s="26">
        <v>2.0184317669463738E-2</v>
      </c>
      <c r="AZ640" s="18">
        <v>-2.2053678437740074E-2</v>
      </c>
      <c r="BA640" s="18">
        <v>0.20614759490033405</v>
      </c>
      <c r="BB640" s="18">
        <v>-0.12831228205689096</v>
      </c>
      <c r="BC640" s="18">
        <v>-3.2136353332439124E-2</v>
      </c>
      <c r="BD640" s="18">
        <v>-0.13658085789912222</v>
      </c>
      <c r="BE640" s="18">
        <v>-1.5869010064115639E-2</v>
      </c>
      <c r="BF640" s="18">
        <v>-8.0629660524366917E-4</v>
      </c>
      <c r="BG640" s="19">
        <v>9.2836534483109731E-2</v>
      </c>
    </row>
    <row r="641" spans="1:59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 t="str">
        <v>24.Long period from planning of project to construction</v>
      </c>
      <c r="AW641" s="25">
        <v>9.9085956197215181E-3</v>
      </c>
      <c r="AX641" s="26">
        <v>-2.0873130362138788E-2</v>
      </c>
      <c r="AY641" s="26">
        <v>-4.9562172826166088E-2</v>
      </c>
      <c r="AZ641" s="18">
        <v>-6.3401679912975196E-3</v>
      </c>
      <c r="BA641" s="18">
        <v>-7.5947200640786791E-3</v>
      </c>
      <c r="BB641" s="18">
        <v>-5.0850550320171231E-4</v>
      </c>
      <c r="BC641" s="18">
        <v>-1.0609297204522271E-2</v>
      </c>
      <c r="BD641" s="18">
        <v>-1.2863292934329338E-2</v>
      </c>
      <c r="BE641" s="18">
        <v>2.4935740203809661E-3</v>
      </c>
      <c r="BF641" s="18">
        <v>2.0055485911011982E-2</v>
      </c>
      <c r="BG641" s="19">
        <v>0.44021409299120601</v>
      </c>
    </row>
    <row r="642" spans="1:59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 t="str">
        <v>25.Delays in issuing information to the contractor during construction stage</v>
      </c>
      <c r="AW642" s="25">
        <v>-4.0453440898784981E-3</v>
      </c>
      <c r="AX642" s="26">
        <v>0.14516688069903111</v>
      </c>
      <c r="AY642" s="26">
        <v>-0.17287896263619448</v>
      </c>
      <c r="AZ642" s="18">
        <v>-0.12932566824873126</v>
      </c>
      <c r="BA642" s="18">
        <v>-0.11204508377424918</v>
      </c>
      <c r="BB642" s="18">
        <v>2.2256690521845045E-2</v>
      </c>
      <c r="BC642" s="18">
        <v>-5.9556307154388428E-2</v>
      </c>
      <c r="BD642" s="18">
        <v>5.260167893907499E-2</v>
      </c>
      <c r="BE642" s="18">
        <v>1.160516221585697E-2</v>
      </c>
      <c r="BF642" s="18">
        <v>-6.7990989524330553E-2</v>
      </c>
      <c r="BG642" s="19">
        <v>9.5884667009087668E-2</v>
      </c>
    </row>
    <row r="643" spans="1:59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 t="str">
        <v>26.No practical use of earned value management system</v>
      </c>
      <c r="AW643" s="25">
        <v>3.0471927888115473E-2</v>
      </c>
      <c r="AX643" s="26">
        <v>1.4005904518709329E-2</v>
      </c>
      <c r="AY643" s="26">
        <v>2.8738001439783913E-2</v>
      </c>
      <c r="AZ643" s="18">
        <v>-2.3088786760234872E-2</v>
      </c>
      <c r="BA643" s="18">
        <v>-5.5578882507237321E-3</v>
      </c>
      <c r="BB643" s="18">
        <v>-0.29821301556086921</v>
      </c>
      <c r="BC643" s="18">
        <v>-1.8679306539809024E-2</v>
      </c>
      <c r="BD643" s="18">
        <v>-9.4226600603716917E-2</v>
      </c>
      <c r="BE643" s="18">
        <v>2.9638573971920443E-4</v>
      </c>
      <c r="BF643" s="18">
        <v>-0.11761967700438059</v>
      </c>
      <c r="BG643" s="19">
        <v>5.3306854315280087E-2</v>
      </c>
    </row>
    <row r="644" spans="1:59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 t="str">
        <v>27.Lack of cost planning/monitoring during pre and post contract stage</v>
      </c>
      <c r="AW644" s="25">
        <v>1.9769100985835397E-2</v>
      </c>
      <c r="AX644" s="26">
        <v>7.3722791692952136E-2</v>
      </c>
      <c r="AY644" s="26">
        <v>-0.11799362666156915</v>
      </c>
      <c r="AZ644" s="18">
        <v>-1.4531646961346232E-2</v>
      </c>
      <c r="BA644" s="18">
        <v>4.9666728644563458E-2</v>
      </c>
      <c r="BB644" s="18">
        <v>1.0646797371813865E-3</v>
      </c>
      <c r="BC644" s="18">
        <v>-2.1276659552886554E-3</v>
      </c>
      <c r="BD644" s="18">
        <v>-0.19663913171273684</v>
      </c>
      <c r="BE644" s="18">
        <v>-4.8831550174823768E-2</v>
      </c>
      <c r="BF644" s="18">
        <v>-0.16603566180915258</v>
      </c>
      <c r="BG644" s="19">
        <v>7.5451449412769697E-3</v>
      </c>
    </row>
    <row r="645" spans="1:59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 t="str">
        <v>28.Poor communication between client, consultant and contractor</v>
      </c>
      <c r="AW645" s="25">
        <v>-1.8881838712103423E-2</v>
      </c>
      <c r="AX645" s="26">
        <v>-1.6583396061585157E-2</v>
      </c>
      <c r="AY645" s="26">
        <v>-0.1417656470320425</v>
      </c>
      <c r="AZ645" s="18">
        <v>-2.3661173048387083E-2</v>
      </c>
      <c r="BA645" s="18">
        <v>0.15740212157793165</v>
      </c>
      <c r="BB645" s="18">
        <v>-0.16263044638427976</v>
      </c>
      <c r="BC645" s="18">
        <v>2.3790059598380979E-2</v>
      </c>
      <c r="BD645" s="18">
        <v>-3.2451358345256337E-2</v>
      </c>
      <c r="BE645" s="18">
        <v>1.1949765445490026E-3</v>
      </c>
      <c r="BF645" s="18">
        <v>-5.0087082794075678E-2</v>
      </c>
      <c r="BG645" s="19">
        <v>-0.14613422483605998</v>
      </c>
    </row>
    <row r="646" spans="1:59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 t="str">
        <v>29.Insufficient coordination between local authority who is responsible about road projects and service authorities</v>
      </c>
      <c r="AW646" s="25">
        <v>-4.883292260900593E-2</v>
      </c>
      <c r="AX646" s="26">
        <v>-6.3670301021448491E-3</v>
      </c>
      <c r="AY646" s="26">
        <v>-0.37479381464540945</v>
      </c>
      <c r="AZ646" s="18">
        <v>-2.2660992363938225E-2</v>
      </c>
      <c r="BA646" s="18">
        <v>0.17253783558125349</v>
      </c>
      <c r="BB646" s="18">
        <v>-2.8888800214186838E-2</v>
      </c>
      <c r="BC646" s="18">
        <v>-6.9009713706732062E-2</v>
      </c>
      <c r="BD646" s="18">
        <v>5.4301340398739215E-3</v>
      </c>
      <c r="BE646" s="18">
        <v>4.9522420817216979E-2</v>
      </c>
      <c r="BF646" s="18">
        <v>-9.358274610433831E-2</v>
      </c>
      <c r="BG646" s="19">
        <v>-1.5988641856621466E-2</v>
      </c>
    </row>
    <row r="647" spans="1:59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 t="str">
        <v>30.Delays in decisions making by the approval authorities</v>
      </c>
      <c r="AW647" s="25">
        <v>-9.5005147918750983E-3</v>
      </c>
      <c r="AX647" s="26">
        <v>-4.4237243572043949E-2</v>
      </c>
      <c r="AY647" s="26">
        <v>-0.21931813633779984</v>
      </c>
      <c r="AZ647" s="18">
        <v>-2.2530327125264726E-3</v>
      </c>
      <c r="BA647" s="18">
        <v>-0.10942722602778859</v>
      </c>
      <c r="BB647" s="18">
        <v>2.5876728910900128E-2</v>
      </c>
      <c r="BC647" s="18">
        <v>-1.453689311555559E-2</v>
      </c>
      <c r="BD647" s="18">
        <v>7.2900172406460878E-2</v>
      </c>
      <c r="BE647" s="18">
        <v>7.1231572611535149E-2</v>
      </c>
      <c r="BF647" s="18">
        <v>3.2107863615403825E-2</v>
      </c>
      <c r="BG647" s="19">
        <v>0.21749383029888614</v>
      </c>
    </row>
    <row r="648" spans="1:59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 t="str">
        <v>31.Change schedule</v>
      </c>
      <c r="AW648" s="25">
        <v>5.2344981041641023E-2</v>
      </c>
      <c r="AX648" s="26">
        <v>2.7537021479080636E-3</v>
      </c>
      <c r="AY648" s="26">
        <v>2.5363924050351796E-3</v>
      </c>
      <c r="AZ648" s="18">
        <v>-2.0224659873784939E-2</v>
      </c>
      <c r="BA648" s="18">
        <v>-0.17390962656567188</v>
      </c>
      <c r="BB648" s="18">
        <v>-0.21085219807829694</v>
      </c>
      <c r="BC648" s="18">
        <v>-2.2920308397424718E-2</v>
      </c>
      <c r="BD648" s="18">
        <v>2.434173187254866E-2</v>
      </c>
      <c r="BE648" s="18">
        <v>3.5498267060754839E-2</v>
      </c>
      <c r="BF648" s="18">
        <v>1.8740776021764521E-2</v>
      </c>
      <c r="BG648" s="19">
        <v>1.882645208685137E-2</v>
      </c>
    </row>
    <row r="649" spans="1:59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 t="str">
        <v>32.Stoppages because of work being rejected by consultant</v>
      </c>
      <c r="AW649" s="25">
        <v>6.6746006370175984E-2</v>
      </c>
      <c r="AX649" s="26">
        <v>0.125503575078035</v>
      </c>
      <c r="AY649" s="26">
        <v>4.6254431421756767E-2</v>
      </c>
      <c r="AZ649" s="18">
        <v>-4.6789000184562168E-2</v>
      </c>
      <c r="BA649" s="18">
        <v>-9.2140311795894395E-2</v>
      </c>
      <c r="BB649" s="18">
        <v>-6.3279578952993173E-2</v>
      </c>
      <c r="BC649" s="18">
        <v>-4.9081804714585092E-2</v>
      </c>
      <c r="BD649" s="18">
        <v>-1.700109449297638E-2</v>
      </c>
      <c r="BE649" s="18">
        <v>-9.193113949765859E-2</v>
      </c>
      <c r="BF649" s="18">
        <v>3.1871279888508138E-3</v>
      </c>
      <c r="BG649" s="19">
        <v>-0.10833502697043418</v>
      </c>
    </row>
    <row r="650" spans="1:59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 t="str">
        <v>33.Lowest bid price</v>
      </c>
      <c r="AW650" s="25">
        <v>6.8386099013483609E-2</v>
      </c>
      <c r="AX650" s="26">
        <v>-9.7903580823782421E-3</v>
      </c>
      <c r="AY650" s="26">
        <v>1.4554630860457302E-2</v>
      </c>
      <c r="AZ650" s="18">
        <v>2.088863652826253E-2</v>
      </c>
      <c r="BA650" s="18">
        <v>-0.44783514631226684</v>
      </c>
      <c r="BB650" s="18">
        <v>-3.3392327465179006E-2</v>
      </c>
      <c r="BC650" s="18">
        <v>-6.4665942746622615E-2</v>
      </c>
      <c r="BD650" s="18">
        <v>3.0485192260587029E-2</v>
      </c>
      <c r="BE650" s="18">
        <v>-0.16092246221712508</v>
      </c>
      <c r="BF650" s="18">
        <v>-0.10972078420722101</v>
      </c>
      <c r="BG650" s="19">
        <v>6.298063098626358E-2</v>
      </c>
    </row>
    <row r="651" spans="1:59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 t="str">
        <v>34.Insufficient time for preparation of contract documents</v>
      </c>
      <c r="AW651" s="25">
        <v>-2.7366295017054759E-2</v>
      </c>
      <c r="AX651" s="26">
        <v>-3.404254891312837E-2</v>
      </c>
      <c r="AY651" s="26">
        <v>0.10506665723379686</v>
      </c>
      <c r="AZ651" s="18">
        <v>-2.149146215940536E-2</v>
      </c>
      <c r="BA651" s="18">
        <v>-0.40814135620604225</v>
      </c>
      <c r="BB651" s="18">
        <v>7.9056707640926295E-3</v>
      </c>
      <c r="BC651" s="18">
        <v>7.496640166504287E-2</v>
      </c>
      <c r="BD651" s="18">
        <v>-0.16069203757203529</v>
      </c>
      <c r="BE651" s="18">
        <v>0.15169284547132619</v>
      </c>
      <c r="BF651" s="18">
        <v>4.6798009004845778E-2</v>
      </c>
      <c r="BG651" s="19">
        <v>-7.955792028875304E-2</v>
      </c>
    </row>
    <row r="652" spans="1:59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 t="str">
        <v>35.Discrepancies in contract documents</v>
      </c>
      <c r="AW652" s="25">
        <v>-8.8486777779143572E-3</v>
      </c>
      <c r="AX652" s="26">
        <v>-3.7609865789610217E-2</v>
      </c>
      <c r="AY652" s="26">
        <v>-1.0789439055837395E-2</v>
      </c>
      <c r="AZ652" s="18">
        <v>-2.2543767553383842E-2</v>
      </c>
      <c r="BA652" s="18">
        <v>-0.27629167155475687</v>
      </c>
      <c r="BB652" s="18">
        <v>5.6139155990988558E-2</v>
      </c>
      <c r="BC652" s="18">
        <v>-1.9386793145403181E-3</v>
      </c>
      <c r="BD652" s="18">
        <v>-0.32902366660682736</v>
      </c>
      <c r="BE652" s="18">
        <v>0.11573825043819566</v>
      </c>
      <c r="BF652" s="18">
        <v>-2.7691892733381889E-2</v>
      </c>
      <c r="BG652" s="19">
        <v>-4.1894865762294037E-2</v>
      </c>
    </row>
    <row r="653" spans="1:59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 t="str">
        <v>36.Underestimation of time for completion of project</v>
      </c>
      <c r="AW653" s="25">
        <v>3.2069629833536874E-2</v>
      </c>
      <c r="AX653" s="26">
        <v>-6.2203508414191491E-2</v>
      </c>
      <c r="AY653" s="26">
        <v>-4.9176722147989731E-2</v>
      </c>
      <c r="AZ653" s="18">
        <v>3.967566864294006E-2</v>
      </c>
      <c r="BA653" s="18">
        <v>4.7376691169220657E-2</v>
      </c>
      <c r="BB653" s="18">
        <v>0.11566261710948367</v>
      </c>
      <c r="BC653" s="18">
        <v>-6.2353814999626236E-2</v>
      </c>
      <c r="BD653" s="18">
        <v>-0.31235197125441855</v>
      </c>
      <c r="BE653" s="18">
        <v>-9.1762239273520202E-2</v>
      </c>
      <c r="BF653" s="18">
        <v>2.9675623389202224E-2</v>
      </c>
      <c r="BG653" s="19">
        <v>0.1036061927832013</v>
      </c>
    </row>
    <row r="654" spans="1:59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 t="str">
        <v>37.Extension of time with cost claims</v>
      </c>
      <c r="AW654" s="25">
        <v>8.7886291158121549E-2</v>
      </c>
      <c r="AX654" s="26">
        <v>-4.4796879415830576E-2</v>
      </c>
      <c r="AY654" s="26">
        <v>-6.3553167201523E-2</v>
      </c>
      <c r="AZ654" s="18">
        <v>0.10496516016281421</v>
      </c>
      <c r="BA654" s="18">
        <v>6.2356430165571415E-2</v>
      </c>
      <c r="BB654" s="18">
        <v>7.2370923686345012E-2</v>
      </c>
      <c r="BC654" s="18">
        <v>2.2314785365597761E-2</v>
      </c>
      <c r="BD654" s="18">
        <v>-0.11360324165603942</v>
      </c>
      <c r="BE654" s="18">
        <v>-0.12664492109406075</v>
      </c>
      <c r="BF654" s="18">
        <v>5.9893162033408373E-2</v>
      </c>
      <c r="BG654" s="19">
        <v>5.3550420975981179E-2</v>
      </c>
    </row>
    <row r="655" spans="1:59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 t="str">
        <v>38.Scope and specification changes</v>
      </c>
      <c r="AW655" s="25">
        <v>6.1364026673926535E-2</v>
      </c>
      <c r="AX655" s="26">
        <v>-4.3384306432582051E-2</v>
      </c>
      <c r="AY655" s="26">
        <v>2.4753566648819982E-2</v>
      </c>
      <c r="AZ655" s="18">
        <v>0.30801753337009014</v>
      </c>
      <c r="BA655" s="18">
        <v>2.8747988948674241E-3</v>
      </c>
      <c r="BB655" s="18">
        <v>-3.9997427128971551E-2</v>
      </c>
      <c r="BC655" s="18">
        <v>-5.0530346685902894E-2</v>
      </c>
      <c r="BD655" s="18">
        <v>-6.444385002950781E-2</v>
      </c>
      <c r="BE655" s="18">
        <v>-1.9693459116608702E-2</v>
      </c>
      <c r="BF655" s="18">
        <v>1.9811292203635374E-2</v>
      </c>
      <c r="BG655" s="19">
        <v>6.1918347506733917E-2</v>
      </c>
    </row>
    <row r="656" spans="1:59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 t="str">
        <v>39.Changes in client requirements</v>
      </c>
      <c r="AW656" s="25">
        <v>6.9557781638506129E-3</v>
      </c>
      <c r="AX656" s="26">
        <v>-6.9631222232288709E-2</v>
      </c>
      <c r="AY656" s="26">
        <v>1.5879854643463222E-2</v>
      </c>
      <c r="AZ656" s="18">
        <v>0.38048712141174251</v>
      </c>
      <c r="BA656" s="18">
        <v>3.5143990884983697E-2</v>
      </c>
      <c r="BB656" s="18">
        <v>5.2807334214360541E-2</v>
      </c>
      <c r="BC656" s="18">
        <v>-9.3138011122279284E-3</v>
      </c>
      <c r="BD656" s="18">
        <v>-3.1155926384946048E-3</v>
      </c>
      <c r="BE656" s="18">
        <v>-4.9679150658443416E-2</v>
      </c>
      <c r="BF656" s="18">
        <v>-2.0502627966428186E-2</v>
      </c>
      <c r="BG656" s="19">
        <v>0.12373596422871697</v>
      </c>
    </row>
    <row r="657" spans="1:59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 t="str">
        <v>40.Frequency of variation orders and additional works</v>
      </c>
      <c r="AW657" s="25">
        <v>4.2895319283600866E-2</v>
      </c>
      <c r="AX657" s="26">
        <v>1.9888923556800994E-2</v>
      </c>
      <c r="AY657" s="26">
        <v>-5.0060236497608971E-3</v>
      </c>
      <c r="AZ657" s="18">
        <v>0.34582136567937127</v>
      </c>
      <c r="BA657" s="18">
        <v>6.5405619892178218E-2</v>
      </c>
      <c r="BB657" s="18">
        <v>0.11044912024376365</v>
      </c>
      <c r="BC657" s="18">
        <v>-2.858211145301813E-2</v>
      </c>
      <c r="BD657" s="18">
        <v>-5.0147941449740004E-2</v>
      </c>
      <c r="BE657" s="18">
        <v>2.7361061814561372E-2</v>
      </c>
      <c r="BF657" s="18">
        <v>6.5222620972282347E-2</v>
      </c>
      <c r="BG657" s="19">
        <v>-0.1936395311818542</v>
      </c>
    </row>
    <row r="658" spans="1:59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 t="str">
        <v>41.Rework due to error in execution</v>
      </c>
      <c r="AW658" s="25">
        <v>-2.7571567746062221E-2</v>
      </c>
      <c r="AX658" s="26">
        <v>-6.6088183102059717E-2</v>
      </c>
      <c r="AY658" s="26">
        <v>0.2021200969846674</v>
      </c>
      <c r="AZ658" s="18">
        <v>9.5209997734446994E-2</v>
      </c>
      <c r="BA658" s="18">
        <v>7.815114696978806E-2</v>
      </c>
      <c r="BB658" s="18">
        <v>7.6341181805537839E-2</v>
      </c>
      <c r="BC658" s="18">
        <v>0.1207763682173808</v>
      </c>
      <c r="BD658" s="18">
        <v>-0.25045454163672853</v>
      </c>
      <c r="BE658" s="18">
        <v>7.8444426363628028E-3</v>
      </c>
      <c r="BF658" s="18">
        <v>3.5491823140650504E-2</v>
      </c>
      <c r="BG658" s="19">
        <v>2.611031768962771E-2</v>
      </c>
    </row>
    <row r="659" spans="1:59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 t="str">
        <v>42.Weather conditions</v>
      </c>
      <c r="AW659" s="25">
        <v>8.4205045650057084E-2</v>
      </c>
      <c r="AX659" s="26">
        <v>2.1560205291860778E-2</v>
      </c>
      <c r="AY659" s="26">
        <v>-9.8451851058262457E-2</v>
      </c>
      <c r="AZ659" s="18">
        <v>-5.5362842838837974E-2</v>
      </c>
      <c r="BA659" s="18">
        <v>9.1449604454628783E-2</v>
      </c>
      <c r="BB659" s="18">
        <v>-9.4434209420242332E-2</v>
      </c>
      <c r="BC659" s="18">
        <v>-6.9928488971705116E-2</v>
      </c>
      <c r="BD659" s="18">
        <v>-5.1390694008821784E-2</v>
      </c>
      <c r="BE659" s="18">
        <v>1.6302997759585117E-2</v>
      </c>
      <c r="BF659" s="18">
        <v>0.47823029336769241</v>
      </c>
      <c r="BG659" s="19">
        <v>-7.6685066142771152E-2</v>
      </c>
    </row>
    <row r="660" spans="1:59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 t="str">
        <v>43.Accidents during construction</v>
      </c>
      <c r="AW660" s="25">
        <v>2.2800984600449509E-2</v>
      </c>
      <c r="AX660" s="26">
        <v>-6.474352807496396E-2</v>
      </c>
      <c r="AY660" s="26">
        <v>1.9186498089274202E-2</v>
      </c>
      <c r="AZ660" s="18">
        <v>5.5671557881026609E-2</v>
      </c>
      <c r="BA660" s="18">
        <v>6.9819770546650728E-2</v>
      </c>
      <c r="BB660" s="18">
        <v>3.4749924664973821E-2</v>
      </c>
      <c r="BC660" s="18">
        <v>-3.8960131219365222E-2</v>
      </c>
      <c r="BD660" s="18">
        <v>6.5578615093065576E-2</v>
      </c>
      <c r="BE660" s="18">
        <v>-3.9341182994167188E-2</v>
      </c>
      <c r="BF660" s="18">
        <v>0.47572928263622499</v>
      </c>
      <c r="BG660" s="19">
        <v>0.12441968901535985</v>
      </c>
    </row>
    <row r="661" spans="1:59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 t="str">
        <v>44.Delay in getting NOCs from different government authorities</v>
      </c>
      <c r="AW661" s="27">
        <v>6.5894700277805668E-2</v>
      </c>
      <c r="AX661" s="28">
        <v>-3.9549749148446799E-2</v>
      </c>
      <c r="AY661" s="28">
        <v>-0.27150753705929043</v>
      </c>
      <c r="AZ661" s="20">
        <v>4.2190160617862092E-2</v>
      </c>
      <c r="BA661" s="20">
        <v>9.8781057143259889E-3</v>
      </c>
      <c r="BB661" s="20">
        <v>9.4474898412794828E-2</v>
      </c>
      <c r="BC661" s="20">
        <v>-2.8236654409306807E-2</v>
      </c>
      <c r="BD661" s="20">
        <v>7.3196340344490116E-3</v>
      </c>
      <c r="BE661" s="20">
        <v>-7.2461998357739268E-2</v>
      </c>
      <c r="BF661" s="20">
        <v>0.14091393274634029</v>
      </c>
      <c r="BG661" s="21">
        <v>-1.2026775684658573E-2</v>
      </c>
    </row>
    <row r="662" spans="1:59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9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9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9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9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9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9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9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9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9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9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 spans="1:5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1:5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1:5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 spans="1:5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1:5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1:5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1:5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 spans="1:5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 spans="1:5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 spans="1:5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 spans="1:5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 spans="1:5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 spans="1:5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 spans="1:5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 spans="1:5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 spans="1:5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 spans="1:5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 spans="1:5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 spans="1:5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 spans="1:5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 spans="1:5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 spans="1:5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 spans="1:5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 spans="1:5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 spans="1:5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 spans="1:5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 spans="1:5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 spans="1:5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 spans="1:5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</row>
    <row r="990" spans="1:5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 spans="1:5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 spans="1:5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 spans="1:5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 spans="1:5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 spans="1:5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 spans="1:5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 spans="1:5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 spans="1:5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 spans="1:5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 spans="1:5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CorrelationMatrix</vt:lpstr>
      <vt:lpstr>FactorAnalysis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2026-03-12T05:00:22Z</dcterms:modified>
</cp:coreProperties>
</file>